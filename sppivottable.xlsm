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jlag\Downloads\"/>
    </mc:Choice>
  </mc:AlternateContent>
  <xr:revisionPtr revIDLastSave="0" documentId="13_ncr:1_{8F1582EA-D17D-459B-9A6D-39E20457F426}" xr6:coauthVersionLast="47" xr6:coauthVersionMax="47" xr10:uidLastSave="{00000000-0000-0000-0000-000000000000}"/>
  <bookViews>
    <workbookView xWindow="-120" yWindow="-120" windowWidth="29040" windowHeight="15840" activeTab="4" xr2:uid="{C238E4A6-21DB-4884-9B67-6725C2FDDB5D}"/>
  </bookViews>
  <sheets>
    <sheet name="Sheet1" sheetId="2" r:id="rId1"/>
    <sheet name="^spx_d (3)" sheetId="1" r:id="rId2"/>
    <sheet name="vix(413-411)" sheetId="4" r:id="rId3"/>
    <sheet name="Correlation of VIX and S&amp;P" sheetId="5" r:id="rId4"/>
    <sheet name="CovarianceStationaryWeaklyDepen" sheetId="3" r:id="rId5"/>
  </sheet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2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F2" i="3"/>
  <c r="E2" i="3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3" i="1"/>
</calcChain>
</file>

<file path=xl/sharedStrings.xml><?xml version="1.0" encoding="utf-8"?>
<sst xmlns="http://schemas.openxmlformats.org/spreadsheetml/2006/main" count="29" uniqueCount="20">
  <si>
    <t>Date</t>
  </si>
  <si>
    <t>Close</t>
  </si>
  <si>
    <t>Average Daily close</t>
  </si>
  <si>
    <t>Rolling 10 day average</t>
  </si>
  <si>
    <t xml:space="preserve">Rolling 10 day volatility </t>
  </si>
  <si>
    <t>Row Labels</t>
  </si>
  <si>
    <t>Grand Total</t>
  </si>
  <si>
    <t>2020</t>
  </si>
  <si>
    <t>2021</t>
  </si>
  <si>
    <t>2022</t>
  </si>
  <si>
    <t>2023</t>
  </si>
  <si>
    <t>2024</t>
  </si>
  <si>
    <t>2025</t>
  </si>
  <si>
    <t>Average Close</t>
  </si>
  <si>
    <t>% Average Daily close</t>
  </si>
  <si>
    <t>diff(vix)</t>
  </si>
  <si>
    <t>Close (sp)</t>
  </si>
  <si>
    <t>diff(sp)</t>
  </si>
  <si>
    <t>Close (vix)</t>
  </si>
  <si>
    <t>log of STD of diff(sp)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</si>
</sst>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44" fontId="0" fillId="0" borderId="0" xfId="1" applyFont="1"/>
    <xf numFmtId="10" fontId="0" fillId="0" borderId="0" xfId="2" applyNumberFormat="1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43" fontId="0" fillId="0" borderId="0" xfId="44" applyFon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43" fontId="0" fillId="0" borderId="0" xfId="0" applyNumberForma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44" builtinId="3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[sppivottable.xlsm]Sheet1!PivotTable1</c:name>
    <c:fmtId val="1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1"/>
          <c:order val="1"/>
          <c:tx>
            <c:strRef>
              <c:f>Sheet1!$C$1</c:f>
              <c:strCache>
                <c:ptCount val="1"/>
                <c:pt idx="0">
                  <c:v>Average 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Sheet1!$A$2:$A$8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Sheet1!$C$2:$C$8</c:f>
              <c:numCache>
                <c:formatCode>_("$"* #,##0.00_);_("$"* \(#,##0.00\);_("$"* "-"??_);_(@_)</c:formatCode>
                <c:ptCount val="6"/>
                <c:pt idx="0">
                  <c:v>3295.1342391304333</c:v>
                </c:pt>
                <c:pt idx="1">
                  <c:v>4273.3856349206344</c:v>
                </c:pt>
                <c:pt idx="2">
                  <c:v>4098.5147410358568</c:v>
                </c:pt>
                <c:pt idx="3">
                  <c:v>4283.7294400000001</c:v>
                </c:pt>
                <c:pt idx="4">
                  <c:v>5428.2351190476211</c:v>
                </c:pt>
                <c:pt idx="5">
                  <c:v>5820.2469565217398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B7-4954-9E8B-396508C7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614863"/>
        <c:axId val="880621103"/>
      </c:lineChart>
      <c:lineChart>
        <c:grouping val="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% Average Daily 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Sheet1!$A$2:$A$8</c:f>
              <c:strCach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strCache>
            </c:strRef>
          </c:cat>
          <c:val>
            <c:numRef>
              <c:f>Sheet1!$B$2:$B$8</c:f>
              <c:numCache>
                <c:formatCode>0.00%</c:formatCode>
                <c:ptCount val="6"/>
                <c:pt idx="0">
                  <c:v>1.7644980673786545E-3</c:v>
                </c:pt>
                <c:pt idx="1">
                  <c:v>9.7952167431686094E-4</c:v>
                </c:pt>
                <c:pt idx="2">
                  <c:v>-7.4544159873643294E-4</c:v>
                </c:pt>
                <c:pt idx="3">
                  <c:v>9.0210079903603306E-4</c:v>
                </c:pt>
                <c:pt idx="4">
                  <c:v>8.6347381305704098E-4</c:v>
                </c:pt>
                <c:pt idx="5">
                  <c:v>-1.1712164891277258E-3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7-4954-9E8B-396508C7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198415"/>
        <c:axId val="349198895"/>
      </c:lineChart>
      <c:catAx>
        <c:axId val="880614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621103"/>
        <c:crosses val="autoZero"/>
        <c:auto val="1"/>
        <c:lblAlgn val="ctr"/>
        <c:lblOffset val="100"/>
        <c:noMultiLvlLbl val="0"/>
      </c:catAx>
      <c:valAx>
        <c:axId val="880621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614863"/>
        <c:crosses val="autoZero"/>
        <c:crossBetween val="between"/>
      </c:valAx>
      <c:valAx>
        <c:axId val="349198895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198415"/>
        <c:crosses val="max"/>
        <c:crossBetween val="between"/>
      </c:valAx>
      <c:catAx>
        <c:axId val="349198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91988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CovarianceStationaryWeaklyDepen!$E$1</c:f>
              <c:strCache>
                <c:ptCount val="1"/>
                <c:pt idx="0">
                  <c:v> diff(sp)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CovarianceStationaryWeaklyDepen!$A$2:$A$1259</c:f>
              <c:numCache>
                <c:formatCode>m/d/yyyy</c:formatCode>
                <c:ptCount val="1258"/>
                <c:pt idx="0">
                  <c:v>43935</c:v>
                </c:pt>
                <c:pt idx="1">
                  <c:v>43936</c:v>
                </c:pt>
                <c:pt idx="2">
                  <c:v>43937</c:v>
                </c:pt>
                <c:pt idx="3">
                  <c:v>43938</c:v>
                </c:pt>
                <c:pt idx="4">
                  <c:v>43941</c:v>
                </c:pt>
                <c:pt idx="5">
                  <c:v>43942</c:v>
                </c:pt>
                <c:pt idx="6">
                  <c:v>43943</c:v>
                </c:pt>
                <c:pt idx="7">
                  <c:v>43944</c:v>
                </c:pt>
                <c:pt idx="8">
                  <c:v>43945</c:v>
                </c:pt>
                <c:pt idx="9">
                  <c:v>43948</c:v>
                </c:pt>
                <c:pt idx="10">
                  <c:v>43949</c:v>
                </c:pt>
                <c:pt idx="11">
                  <c:v>43950</c:v>
                </c:pt>
                <c:pt idx="12">
                  <c:v>43951</c:v>
                </c:pt>
                <c:pt idx="13">
                  <c:v>43952</c:v>
                </c:pt>
                <c:pt idx="14">
                  <c:v>43955</c:v>
                </c:pt>
                <c:pt idx="15">
                  <c:v>43956</c:v>
                </c:pt>
                <c:pt idx="16">
                  <c:v>43957</c:v>
                </c:pt>
                <c:pt idx="17">
                  <c:v>43958</c:v>
                </c:pt>
                <c:pt idx="18">
                  <c:v>43959</c:v>
                </c:pt>
                <c:pt idx="19">
                  <c:v>43962</c:v>
                </c:pt>
                <c:pt idx="20">
                  <c:v>43963</c:v>
                </c:pt>
                <c:pt idx="21">
                  <c:v>43964</c:v>
                </c:pt>
                <c:pt idx="22">
                  <c:v>43965</c:v>
                </c:pt>
                <c:pt idx="23">
                  <c:v>43966</c:v>
                </c:pt>
                <c:pt idx="24">
                  <c:v>43969</c:v>
                </c:pt>
                <c:pt idx="25">
                  <c:v>43970</c:v>
                </c:pt>
                <c:pt idx="26">
                  <c:v>43971</c:v>
                </c:pt>
                <c:pt idx="27">
                  <c:v>43972</c:v>
                </c:pt>
                <c:pt idx="28">
                  <c:v>43973</c:v>
                </c:pt>
                <c:pt idx="29">
                  <c:v>43977</c:v>
                </c:pt>
                <c:pt idx="30">
                  <c:v>43978</c:v>
                </c:pt>
                <c:pt idx="31">
                  <c:v>43979</c:v>
                </c:pt>
                <c:pt idx="32">
                  <c:v>43980</c:v>
                </c:pt>
                <c:pt idx="33">
                  <c:v>43983</c:v>
                </c:pt>
                <c:pt idx="34">
                  <c:v>43984</c:v>
                </c:pt>
                <c:pt idx="35">
                  <c:v>43985</c:v>
                </c:pt>
                <c:pt idx="36">
                  <c:v>43986</c:v>
                </c:pt>
                <c:pt idx="37">
                  <c:v>43987</c:v>
                </c:pt>
                <c:pt idx="38">
                  <c:v>43990</c:v>
                </c:pt>
                <c:pt idx="39">
                  <c:v>43991</c:v>
                </c:pt>
                <c:pt idx="40">
                  <c:v>43992</c:v>
                </c:pt>
                <c:pt idx="41">
                  <c:v>43993</c:v>
                </c:pt>
                <c:pt idx="42">
                  <c:v>43994</c:v>
                </c:pt>
                <c:pt idx="43">
                  <c:v>43997</c:v>
                </c:pt>
                <c:pt idx="44">
                  <c:v>43998</c:v>
                </c:pt>
                <c:pt idx="45">
                  <c:v>43999</c:v>
                </c:pt>
                <c:pt idx="46">
                  <c:v>44000</c:v>
                </c:pt>
                <c:pt idx="47">
                  <c:v>44001</c:v>
                </c:pt>
                <c:pt idx="48">
                  <c:v>44004</c:v>
                </c:pt>
                <c:pt idx="49">
                  <c:v>44005</c:v>
                </c:pt>
                <c:pt idx="50">
                  <c:v>44006</c:v>
                </c:pt>
                <c:pt idx="51">
                  <c:v>44007</c:v>
                </c:pt>
                <c:pt idx="52">
                  <c:v>44008</c:v>
                </c:pt>
                <c:pt idx="53">
                  <c:v>44011</c:v>
                </c:pt>
                <c:pt idx="54">
                  <c:v>44012</c:v>
                </c:pt>
                <c:pt idx="55">
                  <c:v>44013</c:v>
                </c:pt>
                <c:pt idx="56">
                  <c:v>44014</c:v>
                </c:pt>
                <c:pt idx="57">
                  <c:v>44018</c:v>
                </c:pt>
                <c:pt idx="58">
                  <c:v>44019</c:v>
                </c:pt>
                <c:pt idx="59">
                  <c:v>44020</c:v>
                </c:pt>
                <c:pt idx="60">
                  <c:v>44021</c:v>
                </c:pt>
                <c:pt idx="61">
                  <c:v>44022</c:v>
                </c:pt>
                <c:pt idx="62">
                  <c:v>44025</c:v>
                </c:pt>
                <c:pt idx="63">
                  <c:v>44026</c:v>
                </c:pt>
                <c:pt idx="64">
                  <c:v>44027</c:v>
                </c:pt>
                <c:pt idx="65">
                  <c:v>44028</c:v>
                </c:pt>
                <c:pt idx="66">
                  <c:v>44029</c:v>
                </c:pt>
                <c:pt idx="67">
                  <c:v>44032</c:v>
                </c:pt>
                <c:pt idx="68">
                  <c:v>44033</c:v>
                </c:pt>
                <c:pt idx="69">
                  <c:v>44034</c:v>
                </c:pt>
                <c:pt idx="70">
                  <c:v>44035</c:v>
                </c:pt>
                <c:pt idx="71">
                  <c:v>44036</c:v>
                </c:pt>
                <c:pt idx="72">
                  <c:v>44039</c:v>
                </c:pt>
                <c:pt idx="73">
                  <c:v>44040</c:v>
                </c:pt>
                <c:pt idx="74">
                  <c:v>44041</c:v>
                </c:pt>
                <c:pt idx="75">
                  <c:v>44042</c:v>
                </c:pt>
                <c:pt idx="76">
                  <c:v>44043</c:v>
                </c:pt>
                <c:pt idx="77">
                  <c:v>44046</c:v>
                </c:pt>
                <c:pt idx="78">
                  <c:v>44047</c:v>
                </c:pt>
                <c:pt idx="79">
                  <c:v>44048</c:v>
                </c:pt>
                <c:pt idx="80">
                  <c:v>44049</c:v>
                </c:pt>
                <c:pt idx="81">
                  <c:v>44050</c:v>
                </c:pt>
                <c:pt idx="82">
                  <c:v>44053</c:v>
                </c:pt>
                <c:pt idx="83">
                  <c:v>44054</c:v>
                </c:pt>
                <c:pt idx="84">
                  <c:v>44055</c:v>
                </c:pt>
                <c:pt idx="85">
                  <c:v>44056</c:v>
                </c:pt>
                <c:pt idx="86">
                  <c:v>44057</c:v>
                </c:pt>
                <c:pt idx="87">
                  <c:v>44060</c:v>
                </c:pt>
                <c:pt idx="88">
                  <c:v>44061</c:v>
                </c:pt>
                <c:pt idx="89">
                  <c:v>44062</c:v>
                </c:pt>
                <c:pt idx="90">
                  <c:v>44063</c:v>
                </c:pt>
                <c:pt idx="91">
                  <c:v>44064</c:v>
                </c:pt>
                <c:pt idx="92">
                  <c:v>44067</c:v>
                </c:pt>
                <c:pt idx="93">
                  <c:v>44068</c:v>
                </c:pt>
                <c:pt idx="94">
                  <c:v>44069</c:v>
                </c:pt>
                <c:pt idx="95">
                  <c:v>44070</c:v>
                </c:pt>
                <c:pt idx="96">
                  <c:v>44071</c:v>
                </c:pt>
                <c:pt idx="97">
                  <c:v>44074</c:v>
                </c:pt>
                <c:pt idx="98">
                  <c:v>44075</c:v>
                </c:pt>
                <c:pt idx="99">
                  <c:v>44076</c:v>
                </c:pt>
                <c:pt idx="100">
                  <c:v>44077</c:v>
                </c:pt>
                <c:pt idx="101">
                  <c:v>44078</c:v>
                </c:pt>
                <c:pt idx="102">
                  <c:v>44082</c:v>
                </c:pt>
                <c:pt idx="103">
                  <c:v>44083</c:v>
                </c:pt>
                <c:pt idx="104">
                  <c:v>44084</c:v>
                </c:pt>
                <c:pt idx="105">
                  <c:v>44085</c:v>
                </c:pt>
                <c:pt idx="106">
                  <c:v>44088</c:v>
                </c:pt>
                <c:pt idx="107">
                  <c:v>44089</c:v>
                </c:pt>
                <c:pt idx="108">
                  <c:v>44090</c:v>
                </c:pt>
                <c:pt idx="109">
                  <c:v>44091</c:v>
                </c:pt>
                <c:pt idx="110">
                  <c:v>44092</c:v>
                </c:pt>
                <c:pt idx="111">
                  <c:v>44095</c:v>
                </c:pt>
                <c:pt idx="112">
                  <c:v>44096</c:v>
                </c:pt>
                <c:pt idx="113">
                  <c:v>44097</c:v>
                </c:pt>
                <c:pt idx="114">
                  <c:v>44098</c:v>
                </c:pt>
                <c:pt idx="115">
                  <c:v>44099</c:v>
                </c:pt>
                <c:pt idx="116">
                  <c:v>44102</c:v>
                </c:pt>
                <c:pt idx="117">
                  <c:v>44103</c:v>
                </c:pt>
                <c:pt idx="118">
                  <c:v>44104</c:v>
                </c:pt>
                <c:pt idx="119">
                  <c:v>44105</c:v>
                </c:pt>
                <c:pt idx="120">
                  <c:v>44106</c:v>
                </c:pt>
                <c:pt idx="121">
                  <c:v>44109</c:v>
                </c:pt>
                <c:pt idx="122">
                  <c:v>44110</c:v>
                </c:pt>
                <c:pt idx="123">
                  <c:v>44111</c:v>
                </c:pt>
                <c:pt idx="124">
                  <c:v>44112</c:v>
                </c:pt>
                <c:pt idx="125">
                  <c:v>44113</c:v>
                </c:pt>
                <c:pt idx="126">
                  <c:v>44116</c:v>
                </c:pt>
                <c:pt idx="127">
                  <c:v>44117</c:v>
                </c:pt>
                <c:pt idx="128">
                  <c:v>44118</c:v>
                </c:pt>
                <c:pt idx="129">
                  <c:v>44119</c:v>
                </c:pt>
                <c:pt idx="130">
                  <c:v>44120</c:v>
                </c:pt>
                <c:pt idx="131">
                  <c:v>44123</c:v>
                </c:pt>
                <c:pt idx="132">
                  <c:v>44124</c:v>
                </c:pt>
                <c:pt idx="133">
                  <c:v>44125</c:v>
                </c:pt>
                <c:pt idx="134">
                  <c:v>44126</c:v>
                </c:pt>
                <c:pt idx="135">
                  <c:v>44127</c:v>
                </c:pt>
                <c:pt idx="136">
                  <c:v>44130</c:v>
                </c:pt>
                <c:pt idx="137">
                  <c:v>44131</c:v>
                </c:pt>
                <c:pt idx="138">
                  <c:v>44132</c:v>
                </c:pt>
                <c:pt idx="139">
                  <c:v>44133</c:v>
                </c:pt>
                <c:pt idx="140">
                  <c:v>44134</c:v>
                </c:pt>
                <c:pt idx="141">
                  <c:v>44137</c:v>
                </c:pt>
                <c:pt idx="142">
                  <c:v>44138</c:v>
                </c:pt>
                <c:pt idx="143">
                  <c:v>44139</c:v>
                </c:pt>
                <c:pt idx="144">
                  <c:v>44140</c:v>
                </c:pt>
                <c:pt idx="145">
                  <c:v>44141</c:v>
                </c:pt>
                <c:pt idx="146">
                  <c:v>44144</c:v>
                </c:pt>
                <c:pt idx="147">
                  <c:v>44145</c:v>
                </c:pt>
                <c:pt idx="148">
                  <c:v>44146</c:v>
                </c:pt>
                <c:pt idx="149">
                  <c:v>44147</c:v>
                </c:pt>
                <c:pt idx="150">
                  <c:v>44148</c:v>
                </c:pt>
                <c:pt idx="151">
                  <c:v>44151</c:v>
                </c:pt>
                <c:pt idx="152">
                  <c:v>44152</c:v>
                </c:pt>
                <c:pt idx="153">
                  <c:v>44153</c:v>
                </c:pt>
                <c:pt idx="154">
                  <c:v>44154</c:v>
                </c:pt>
                <c:pt idx="155">
                  <c:v>44155</c:v>
                </c:pt>
                <c:pt idx="156">
                  <c:v>44158</c:v>
                </c:pt>
                <c:pt idx="157">
                  <c:v>44159</c:v>
                </c:pt>
                <c:pt idx="158">
                  <c:v>44160</c:v>
                </c:pt>
                <c:pt idx="159">
                  <c:v>44162</c:v>
                </c:pt>
                <c:pt idx="160">
                  <c:v>44165</c:v>
                </c:pt>
                <c:pt idx="161">
                  <c:v>44166</c:v>
                </c:pt>
                <c:pt idx="162">
                  <c:v>44167</c:v>
                </c:pt>
                <c:pt idx="163">
                  <c:v>44168</c:v>
                </c:pt>
                <c:pt idx="164">
                  <c:v>44169</c:v>
                </c:pt>
                <c:pt idx="165">
                  <c:v>44172</c:v>
                </c:pt>
                <c:pt idx="166">
                  <c:v>44173</c:v>
                </c:pt>
                <c:pt idx="167">
                  <c:v>44174</c:v>
                </c:pt>
                <c:pt idx="168">
                  <c:v>44175</c:v>
                </c:pt>
                <c:pt idx="169">
                  <c:v>44176</c:v>
                </c:pt>
                <c:pt idx="170">
                  <c:v>44179</c:v>
                </c:pt>
                <c:pt idx="171">
                  <c:v>44180</c:v>
                </c:pt>
                <c:pt idx="172">
                  <c:v>44181</c:v>
                </c:pt>
                <c:pt idx="173">
                  <c:v>44182</c:v>
                </c:pt>
                <c:pt idx="174">
                  <c:v>44183</c:v>
                </c:pt>
                <c:pt idx="175">
                  <c:v>44186</c:v>
                </c:pt>
                <c:pt idx="176">
                  <c:v>44187</c:v>
                </c:pt>
                <c:pt idx="177">
                  <c:v>44188</c:v>
                </c:pt>
                <c:pt idx="178">
                  <c:v>44189</c:v>
                </c:pt>
                <c:pt idx="179">
                  <c:v>44193</c:v>
                </c:pt>
                <c:pt idx="180">
                  <c:v>44194</c:v>
                </c:pt>
                <c:pt idx="181">
                  <c:v>44195</c:v>
                </c:pt>
                <c:pt idx="182">
                  <c:v>44196</c:v>
                </c:pt>
                <c:pt idx="183">
                  <c:v>44200</c:v>
                </c:pt>
                <c:pt idx="184">
                  <c:v>44201</c:v>
                </c:pt>
                <c:pt idx="185">
                  <c:v>44202</c:v>
                </c:pt>
                <c:pt idx="186">
                  <c:v>44203</c:v>
                </c:pt>
                <c:pt idx="187">
                  <c:v>44204</c:v>
                </c:pt>
                <c:pt idx="188">
                  <c:v>44207</c:v>
                </c:pt>
                <c:pt idx="189">
                  <c:v>44208</c:v>
                </c:pt>
                <c:pt idx="190">
                  <c:v>44209</c:v>
                </c:pt>
                <c:pt idx="191">
                  <c:v>44210</c:v>
                </c:pt>
                <c:pt idx="192">
                  <c:v>44211</c:v>
                </c:pt>
                <c:pt idx="193">
                  <c:v>44215</c:v>
                </c:pt>
                <c:pt idx="194">
                  <c:v>44216</c:v>
                </c:pt>
                <c:pt idx="195">
                  <c:v>44217</c:v>
                </c:pt>
                <c:pt idx="196">
                  <c:v>44218</c:v>
                </c:pt>
                <c:pt idx="197">
                  <c:v>44221</c:v>
                </c:pt>
                <c:pt idx="198">
                  <c:v>44222</c:v>
                </c:pt>
                <c:pt idx="199">
                  <c:v>44223</c:v>
                </c:pt>
                <c:pt idx="200">
                  <c:v>44224</c:v>
                </c:pt>
                <c:pt idx="201">
                  <c:v>44225</c:v>
                </c:pt>
                <c:pt idx="202">
                  <c:v>44228</c:v>
                </c:pt>
                <c:pt idx="203">
                  <c:v>44229</c:v>
                </c:pt>
                <c:pt idx="204">
                  <c:v>44230</c:v>
                </c:pt>
                <c:pt idx="205">
                  <c:v>44231</c:v>
                </c:pt>
                <c:pt idx="206">
                  <c:v>44232</c:v>
                </c:pt>
                <c:pt idx="207">
                  <c:v>44235</c:v>
                </c:pt>
                <c:pt idx="208">
                  <c:v>44236</c:v>
                </c:pt>
                <c:pt idx="209">
                  <c:v>44237</c:v>
                </c:pt>
                <c:pt idx="210">
                  <c:v>44238</c:v>
                </c:pt>
                <c:pt idx="211">
                  <c:v>44239</c:v>
                </c:pt>
                <c:pt idx="212">
                  <c:v>44243</c:v>
                </c:pt>
                <c:pt idx="213">
                  <c:v>44244</c:v>
                </c:pt>
                <c:pt idx="214">
                  <c:v>44245</c:v>
                </c:pt>
                <c:pt idx="215">
                  <c:v>44246</c:v>
                </c:pt>
                <c:pt idx="216">
                  <c:v>44249</c:v>
                </c:pt>
                <c:pt idx="217">
                  <c:v>44250</c:v>
                </c:pt>
                <c:pt idx="218">
                  <c:v>44251</c:v>
                </c:pt>
                <c:pt idx="219">
                  <c:v>44252</c:v>
                </c:pt>
                <c:pt idx="220">
                  <c:v>44253</c:v>
                </c:pt>
                <c:pt idx="221">
                  <c:v>44256</c:v>
                </c:pt>
                <c:pt idx="222">
                  <c:v>44257</c:v>
                </c:pt>
                <c:pt idx="223">
                  <c:v>44258</c:v>
                </c:pt>
                <c:pt idx="224">
                  <c:v>44259</c:v>
                </c:pt>
                <c:pt idx="225">
                  <c:v>44260</c:v>
                </c:pt>
                <c:pt idx="226">
                  <c:v>44263</c:v>
                </c:pt>
                <c:pt idx="227">
                  <c:v>44264</c:v>
                </c:pt>
                <c:pt idx="228">
                  <c:v>44265</c:v>
                </c:pt>
                <c:pt idx="229">
                  <c:v>44266</c:v>
                </c:pt>
                <c:pt idx="230">
                  <c:v>44267</c:v>
                </c:pt>
                <c:pt idx="231">
                  <c:v>44270</c:v>
                </c:pt>
                <c:pt idx="232">
                  <c:v>44271</c:v>
                </c:pt>
                <c:pt idx="233">
                  <c:v>44272</c:v>
                </c:pt>
                <c:pt idx="234">
                  <c:v>44273</c:v>
                </c:pt>
                <c:pt idx="235">
                  <c:v>44274</c:v>
                </c:pt>
                <c:pt idx="236">
                  <c:v>44277</c:v>
                </c:pt>
                <c:pt idx="237">
                  <c:v>44278</c:v>
                </c:pt>
                <c:pt idx="238">
                  <c:v>44279</c:v>
                </c:pt>
                <c:pt idx="239">
                  <c:v>44280</c:v>
                </c:pt>
                <c:pt idx="240">
                  <c:v>44281</c:v>
                </c:pt>
                <c:pt idx="241">
                  <c:v>44284</c:v>
                </c:pt>
                <c:pt idx="242">
                  <c:v>44285</c:v>
                </c:pt>
                <c:pt idx="243">
                  <c:v>44286</c:v>
                </c:pt>
                <c:pt idx="244">
                  <c:v>44287</c:v>
                </c:pt>
                <c:pt idx="245">
                  <c:v>44291</c:v>
                </c:pt>
                <c:pt idx="246">
                  <c:v>44292</c:v>
                </c:pt>
                <c:pt idx="247">
                  <c:v>44293</c:v>
                </c:pt>
                <c:pt idx="248">
                  <c:v>44294</c:v>
                </c:pt>
                <c:pt idx="249">
                  <c:v>44295</c:v>
                </c:pt>
                <c:pt idx="250">
                  <c:v>44298</c:v>
                </c:pt>
                <c:pt idx="251">
                  <c:v>44299</c:v>
                </c:pt>
                <c:pt idx="252">
                  <c:v>44300</c:v>
                </c:pt>
                <c:pt idx="253">
                  <c:v>44301</c:v>
                </c:pt>
                <c:pt idx="254">
                  <c:v>44302</c:v>
                </c:pt>
                <c:pt idx="255">
                  <c:v>44305</c:v>
                </c:pt>
                <c:pt idx="256">
                  <c:v>44306</c:v>
                </c:pt>
                <c:pt idx="257">
                  <c:v>44307</c:v>
                </c:pt>
                <c:pt idx="258">
                  <c:v>44308</c:v>
                </c:pt>
                <c:pt idx="259">
                  <c:v>44309</c:v>
                </c:pt>
                <c:pt idx="260">
                  <c:v>44312</c:v>
                </c:pt>
                <c:pt idx="261">
                  <c:v>44313</c:v>
                </c:pt>
                <c:pt idx="262">
                  <c:v>44314</c:v>
                </c:pt>
                <c:pt idx="263">
                  <c:v>44315</c:v>
                </c:pt>
                <c:pt idx="264">
                  <c:v>44316</c:v>
                </c:pt>
                <c:pt idx="265">
                  <c:v>44319</c:v>
                </c:pt>
                <c:pt idx="266">
                  <c:v>44320</c:v>
                </c:pt>
                <c:pt idx="267">
                  <c:v>44321</c:v>
                </c:pt>
                <c:pt idx="268">
                  <c:v>44322</c:v>
                </c:pt>
                <c:pt idx="269">
                  <c:v>44323</c:v>
                </c:pt>
                <c:pt idx="270">
                  <c:v>44326</c:v>
                </c:pt>
                <c:pt idx="271">
                  <c:v>44327</c:v>
                </c:pt>
                <c:pt idx="272">
                  <c:v>44328</c:v>
                </c:pt>
                <c:pt idx="273">
                  <c:v>44329</c:v>
                </c:pt>
                <c:pt idx="274">
                  <c:v>44330</c:v>
                </c:pt>
                <c:pt idx="275">
                  <c:v>44333</c:v>
                </c:pt>
                <c:pt idx="276">
                  <c:v>44334</c:v>
                </c:pt>
                <c:pt idx="277">
                  <c:v>44335</c:v>
                </c:pt>
                <c:pt idx="278">
                  <c:v>44336</c:v>
                </c:pt>
                <c:pt idx="279">
                  <c:v>44337</c:v>
                </c:pt>
                <c:pt idx="280">
                  <c:v>44340</c:v>
                </c:pt>
                <c:pt idx="281">
                  <c:v>44341</c:v>
                </c:pt>
                <c:pt idx="282">
                  <c:v>44342</c:v>
                </c:pt>
                <c:pt idx="283">
                  <c:v>44343</c:v>
                </c:pt>
                <c:pt idx="284">
                  <c:v>44344</c:v>
                </c:pt>
                <c:pt idx="285">
                  <c:v>44348</c:v>
                </c:pt>
                <c:pt idx="286">
                  <c:v>44349</c:v>
                </c:pt>
                <c:pt idx="287">
                  <c:v>44350</c:v>
                </c:pt>
                <c:pt idx="288">
                  <c:v>44351</c:v>
                </c:pt>
                <c:pt idx="289">
                  <c:v>44354</c:v>
                </c:pt>
                <c:pt idx="290">
                  <c:v>44355</c:v>
                </c:pt>
                <c:pt idx="291">
                  <c:v>44356</c:v>
                </c:pt>
                <c:pt idx="292">
                  <c:v>44357</c:v>
                </c:pt>
                <c:pt idx="293">
                  <c:v>44358</c:v>
                </c:pt>
                <c:pt idx="294">
                  <c:v>44361</c:v>
                </c:pt>
                <c:pt idx="295">
                  <c:v>44362</c:v>
                </c:pt>
                <c:pt idx="296">
                  <c:v>44363</c:v>
                </c:pt>
                <c:pt idx="297">
                  <c:v>44364</c:v>
                </c:pt>
                <c:pt idx="298">
                  <c:v>44365</c:v>
                </c:pt>
                <c:pt idx="299">
                  <c:v>44368</c:v>
                </c:pt>
                <c:pt idx="300">
                  <c:v>44369</c:v>
                </c:pt>
                <c:pt idx="301">
                  <c:v>44370</c:v>
                </c:pt>
                <c:pt idx="302">
                  <c:v>44371</c:v>
                </c:pt>
                <c:pt idx="303">
                  <c:v>44372</c:v>
                </c:pt>
                <c:pt idx="304">
                  <c:v>44375</c:v>
                </c:pt>
                <c:pt idx="305">
                  <c:v>44376</c:v>
                </c:pt>
                <c:pt idx="306">
                  <c:v>44377</c:v>
                </c:pt>
                <c:pt idx="307">
                  <c:v>44378</c:v>
                </c:pt>
                <c:pt idx="308">
                  <c:v>44379</c:v>
                </c:pt>
                <c:pt idx="309">
                  <c:v>44383</c:v>
                </c:pt>
                <c:pt idx="310">
                  <c:v>44384</c:v>
                </c:pt>
                <c:pt idx="311">
                  <c:v>44385</c:v>
                </c:pt>
                <c:pt idx="312">
                  <c:v>44386</c:v>
                </c:pt>
                <c:pt idx="313">
                  <c:v>44389</c:v>
                </c:pt>
                <c:pt idx="314">
                  <c:v>44390</c:v>
                </c:pt>
                <c:pt idx="315">
                  <c:v>44391</c:v>
                </c:pt>
                <c:pt idx="316">
                  <c:v>44392</c:v>
                </c:pt>
                <c:pt idx="317">
                  <c:v>44393</c:v>
                </c:pt>
                <c:pt idx="318">
                  <c:v>44396</c:v>
                </c:pt>
                <c:pt idx="319">
                  <c:v>44397</c:v>
                </c:pt>
                <c:pt idx="320">
                  <c:v>44398</c:v>
                </c:pt>
                <c:pt idx="321">
                  <c:v>44399</c:v>
                </c:pt>
                <c:pt idx="322">
                  <c:v>44400</c:v>
                </c:pt>
                <c:pt idx="323">
                  <c:v>44403</c:v>
                </c:pt>
                <c:pt idx="324">
                  <c:v>44404</c:v>
                </c:pt>
                <c:pt idx="325">
                  <c:v>44405</c:v>
                </c:pt>
                <c:pt idx="326">
                  <c:v>44406</c:v>
                </c:pt>
                <c:pt idx="327">
                  <c:v>44407</c:v>
                </c:pt>
                <c:pt idx="328">
                  <c:v>44410</c:v>
                </c:pt>
                <c:pt idx="329">
                  <c:v>44411</c:v>
                </c:pt>
                <c:pt idx="330">
                  <c:v>44412</c:v>
                </c:pt>
                <c:pt idx="331">
                  <c:v>44413</c:v>
                </c:pt>
                <c:pt idx="332">
                  <c:v>44414</c:v>
                </c:pt>
                <c:pt idx="333">
                  <c:v>44417</c:v>
                </c:pt>
                <c:pt idx="334">
                  <c:v>44418</c:v>
                </c:pt>
                <c:pt idx="335">
                  <c:v>44419</c:v>
                </c:pt>
                <c:pt idx="336">
                  <c:v>44420</c:v>
                </c:pt>
                <c:pt idx="337">
                  <c:v>44421</c:v>
                </c:pt>
                <c:pt idx="338">
                  <c:v>44424</c:v>
                </c:pt>
                <c:pt idx="339">
                  <c:v>44425</c:v>
                </c:pt>
                <c:pt idx="340">
                  <c:v>44426</c:v>
                </c:pt>
                <c:pt idx="341">
                  <c:v>44427</c:v>
                </c:pt>
                <c:pt idx="342">
                  <c:v>44428</c:v>
                </c:pt>
                <c:pt idx="343">
                  <c:v>44431</c:v>
                </c:pt>
                <c:pt idx="344">
                  <c:v>44432</c:v>
                </c:pt>
                <c:pt idx="345">
                  <c:v>44433</c:v>
                </c:pt>
                <c:pt idx="346">
                  <c:v>44434</c:v>
                </c:pt>
                <c:pt idx="347">
                  <c:v>44435</c:v>
                </c:pt>
                <c:pt idx="348">
                  <c:v>44438</c:v>
                </c:pt>
                <c:pt idx="349">
                  <c:v>44439</c:v>
                </c:pt>
                <c:pt idx="350">
                  <c:v>44440</c:v>
                </c:pt>
                <c:pt idx="351">
                  <c:v>44441</c:v>
                </c:pt>
                <c:pt idx="352">
                  <c:v>44442</c:v>
                </c:pt>
                <c:pt idx="353">
                  <c:v>44446</c:v>
                </c:pt>
                <c:pt idx="354">
                  <c:v>44447</c:v>
                </c:pt>
                <c:pt idx="355">
                  <c:v>44448</c:v>
                </c:pt>
                <c:pt idx="356">
                  <c:v>44449</c:v>
                </c:pt>
                <c:pt idx="357">
                  <c:v>44452</c:v>
                </c:pt>
                <c:pt idx="358">
                  <c:v>44453</c:v>
                </c:pt>
                <c:pt idx="359">
                  <c:v>44454</c:v>
                </c:pt>
                <c:pt idx="360">
                  <c:v>44455</c:v>
                </c:pt>
                <c:pt idx="361">
                  <c:v>44456</c:v>
                </c:pt>
                <c:pt idx="362">
                  <c:v>44459</c:v>
                </c:pt>
                <c:pt idx="363">
                  <c:v>44460</c:v>
                </c:pt>
                <c:pt idx="364">
                  <c:v>44461</c:v>
                </c:pt>
                <c:pt idx="365">
                  <c:v>44462</c:v>
                </c:pt>
                <c:pt idx="366">
                  <c:v>44463</c:v>
                </c:pt>
                <c:pt idx="367">
                  <c:v>44466</c:v>
                </c:pt>
                <c:pt idx="368">
                  <c:v>44467</c:v>
                </c:pt>
                <c:pt idx="369">
                  <c:v>44468</c:v>
                </c:pt>
                <c:pt idx="370">
                  <c:v>44469</c:v>
                </c:pt>
                <c:pt idx="371">
                  <c:v>44470</c:v>
                </c:pt>
                <c:pt idx="372">
                  <c:v>44473</c:v>
                </c:pt>
                <c:pt idx="373">
                  <c:v>44474</c:v>
                </c:pt>
                <c:pt idx="374">
                  <c:v>44475</c:v>
                </c:pt>
                <c:pt idx="375">
                  <c:v>44476</c:v>
                </c:pt>
                <c:pt idx="376">
                  <c:v>44477</c:v>
                </c:pt>
                <c:pt idx="377">
                  <c:v>44480</c:v>
                </c:pt>
                <c:pt idx="378">
                  <c:v>44481</c:v>
                </c:pt>
                <c:pt idx="379">
                  <c:v>44482</c:v>
                </c:pt>
                <c:pt idx="380">
                  <c:v>44483</c:v>
                </c:pt>
                <c:pt idx="381">
                  <c:v>44484</c:v>
                </c:pt>
                <c:pt idx="382">
                  <c:v>44487</c:v>
                </c:pt>
                <c:pt idx="383">
                  <c:v>44488</c:v>
                </c:pt>
                <c:pt idx="384">
                  <c:v>44489</c:v>
                </c:pt>
                <c:pt idx="385">
                  <c:v>44490</c:v>
                </c:pt>
                <c:pt idx="386">
                  <c:v>44491</c:v>
                </c:pt>
                <c:pt idx="387">
                  <c:v>44494</c:v>
                </c:pt>
                <c:pt idx="388">
                  <c:v>44495</c:v>
                </c:pt>
                <c:pt idx="389">
                  <c:v>44496</c:v>
                </c:pt>
                <c:pt idx="390">
                  <c:v>44497</c:v>
                </c:pt>
                <c:pt idx="391">
                  <c:v>44498</c:v>
                </c:pt>
                <c:pt idx="392">
                  <c:v>44501</c:v>
                </c:pt>
                <c:pt idx="393">
                  <c:v>44502</c:v>
                </c:pt>
                <c:pt idx="394">
                  <c:v>44503</c:v>
                </c:pt>
                <c:pt idx="395">
                  <c:v>44504</c:v>
                </c:pt>
                <c:pt idx="396">
                  <c:v>44505</c:v>
                </c:pt>
                <c:pt idx="397">
                  <c:v>44508</c:v>
                </c:pt>
                <c:pt idx="398">
                  <c:v>44509</c:v>
                </c:pt>
                <c:pt idx="399">
                  <c:v>44510</c:v>
                </c:pt>
                <c:pt idx="400">
                  <c:v>44511</c:v>
                </c:pt>
                <c:pt idx="401">
                  <c:v>44512</c:v>
                </c:pt>
                <c:pt idx="402">
                  <c:v>44515</c:v>
                </c:pt>
                <c:pt idx="403">
                  <c:v>44516</c:v>
                </c:pt>
                <c:pt idx="404">
                  <c:v>44517</c:v>
                </c:pt>
                <c:pt idx="405">
                  <c:v>44518</c:v>
                </c:pt>
                <c:pt idx="406">
                  <c:v>44519</c:v>
                </c:pt>
                <c:pt idx="407">
                  <c:v>44522</c:v>
                </c:pt>
                <c:pt idx="408">
                  <c:v>44523</c:v>
                </c:pt>
                <c:pt idx="409">
                  <c:v>44524</c:v>
                </c:pt>
                <c:pt idx="410">
                  <c:v>44526</c:v>
                </c:pt>
                <c:pt idx="411">
                  <c:v>44529</c:v>
                </c:pt>
                <c:pt idx="412">
                  <c:v>44530</c:v>
                </c:pt>
                <c:pt idx="413">
                  <c:v>44531</c:v>
                </c:pt>
                <c:pt idx="414">
                  <c:v>44532</c:v>
                </c:pt>
                <c:pt idx="415">
                  <c:v>44533</c:v>
                </c:pt>
                <c:pt idx="416">
                  <c:v>44536</c:v>
                </c:pt>
                <c:pt idx="417">
                  <c:v>44537</c:v>
                </c:pt>
                <c:pt idx="418">
                  <c:v>44538</c:v>
                </c:pt>
                <c:pt idx="419">
                  <c:v>44539</c:v>
                </c:pt>
                <c:pt idx="420">
                  <c:v>44540</c:v>
                </c:pt>
                <c:pt idx="421">
                  <c:v>44543</c:v>
                </c:pt>
                <c:pt idx="422">
                  <c:v>44544</c:v>
                </c:pt>
                <c:pt idx="423">
                  <c:v>44545</c:v>
                </c:pt>
                <c:pt idx="424">
                  <c:v>44546</c:v>
                </c:pt>
                <c:pt idx="425">
                  <c:v>44547</c:v>
                </c:pt>
                <c:pt idx="426">
                  <c:v>44550</c:v>
                </c:pt>
                <c:pt idx="427">
                  <c:v>44551</c:v>
                </c:pt>
                <c:pt idx="428">
                  <c:v>44552</c:v>
                </c:pt>
                <c:pt idx="429">
                  <c:v>44553</c:v>
                </c:pt>
                <c:pt idx="430">
                  <c:v>44557</c:v>
                </c:pt>
                <c:pt idx="431">
                  <c:v>44558</c:v>
                </c:pt>
                <c:pt idx="432">
                  <c:v>44559</c:v>
                </c:pt>
                <c:pt idx="433">
                  <c:v>44560</c:v>
                </c:pt>
                <c:pt idx="434">
                  <c:v>44561</c:v>
                </c:pt>
                <c:pt idx="435">
                  <c:v>44564</c:v>
                </c:pt>
                <c:pt idx="436">
                  <c:v>44565</c:v>
                </c:pt>
                <c:pt idx="437">
                  <c:v>44566</c:v>
                </c:pt>
                <c:pt idx="438">
                  <c:v>44567</c:v>
                </c:pt>
                <c:pt idx="439">
                  <c:v>44568</c:v>
                </c:pt>
                <c:pt idx="440">
                  <c:v>44571</c:v>
                </c:pt>
                <c:pt idx="441">
                  <c:v>44572</c:v>
                </c:pt>
                <c:pt idx="442">
                  <c:v>44573</c:v>
                </c:pt>
                <c:pt idx="443">
                  <c:v>44574</c:v>
                </c:pt>
                <c:pt idx="444">
                  <c:v>44575</c:v>
                </c:pt>
                <c:pt idx="445">
                  <c:v>44579</c:v>
                </c:pt>
                <c:pt idx="446">
                  <c:v>44580</c:v>
                </c:pt>
                <c:pt idx="447">
                  <c:v>44581</c:v>
                </c:pt>
                <c:pt idx="448">
                  <c:v>44582</c:v>
                </c:pt>
                <c:pt idx="449">
                  <c:v>44585</c:v>
                </c:pt>
                <c:pt idx="450">
                  <c:v>44586</c:v>
                </c:pt>
                <c:pt idx="451">
                  <c:v>44587</c:v>
                </c:pt>
                <c:pt idx="452">
                  <c:v>44588</c:v>
                </c:pt>
                <c:pt idx="453">
                  <c:v>44589</c:v>
                </c:pt>
                <c:pt idx="454">
                  <c:v>44592</c:v>
                </c:pt>
                <c:pt idx="455">
                  <c:v>44593</c:v>
                </c:pt>
                <c:pt idx="456">
                  <c:v>44594</c:v>
                </c:pt>
                <c:pt idx="457">
                  <c:v>44595</c:v>
                </c:pt>
                <c:pt idx="458">
                  <c:v>44596</c:v>
                </c:pt>
                <c:pt idx="459">
                  <c:v>44599</c:v>
                </c:pt>
                <c:pt idx="460">
                  <c:v>44600</c:v>
                </c:pt>
                <c:pt idx="461">
                  <c:v>44601</c:v>
                </c:pt>
                <c:pt idx="462">
                  <c:v>44602</c:v>
                </c:pt>
                <c:pt idx="463">
                  <c:v>44603</c:v>
                </c:pt>
                <c:pt idx="464">
                  <c:v>44606</c:v>
                </c:pt>
                <c:pt idx="465">
                  <c:v>44607</c:v>
                </c:pt>
                <c:pt idx="466">
                  <c:v>44608</c:v>
                </c:pt>
                <c:pt idx="467">
                  <c:v>44609</c:v>
                </c:pt>
                <c:pt idx="468">
                  <c:v>44610</c:v>
                </c:pt>
                <c:pt idx="469">
                  <c:v>44614</c:v>
                </c:pt>
                <c:pt idx="470">
                  <c:v>44615</c:v>
                </c:pt>
                <c:pt idx="471">
                  <c:v>44616</c:v>
                </c:pt>
                <c:pt idx="472">
                  <c:v>44617</c:v>
                </c:pt>
                <c:pt idx="473">
                  <c:v>44620</c:v>
                </c:pt>
                <c:pt idx="474">
                  <c:v>44621</c:v>
                </c:pt>
                <c:pt idx="475">
                  <c:v>44622</c:v>
                </c:pt>
                <c:pt idx="476">
                  <c:v>44623</c:v>
                </c:pt>
                <c:pt idx="477">
                  <c:v>44624</c:v>
                </c:pt>
                <c:pt idx="478">
                  <c:v>44627</c:v>
                </c:pt>
                <c:pt idx="479">
                  <c:v>44628</c:v>
                </c:pt>
                <c:pt idx="480">
                  <c:v>44629</c:v>
                </c:pt>
                <c:pt idx="481">
                  <c:v>44630</c:v>
                </c:pt>
                <c:pt idx="482">
                  <c:v>44631</c:v>
                </c:pt>
                <c:pt idx="483">
                  <c:v>44634</c:v>
                </c:pt>
                <c:pt idx="484">
                  <c:v>44635</c:v>
                </c:pt>
                <c:pt idx="485">
                  <c:v>44636</c:v>
                </c:pt>
                <c:pt idx="486">
                  <c:v>44637</c:v>
                </c:pt>
                <c:pt idx="487">
                  <c:v>44638</c:v>
                </c:pt>
                <c:pt idx="488">
                  <c:v>44641</c:v>
                </c:pt>
                <c:pt idx="489">
                  <c:v>44642</c:v>
                </c:pt>
                <c:pt idx="490">
                  <c:v>44643</c:v>
                </c:pt>
                <c:pt idx="491">
                  <c:v>44644</c:v>
                </c:pt>
                <c:pt idx="492">
                  <c:v>44645</c:v>
                </c:pt>
                <c:pt idx="493">
                  <c:v>44648</c:v>
                </c:pt>
                <c:pt idx="494">
                  <c:v>44649</c:v>
                </c:pt>
                <c:pt idx="495">
                  <c:v>44650</c:v>
                </c:pt>
                <c:pt idx="496">
                  <c:v>44651</c:v>
                </c:pt>
                <c:pt idx="497">
                  <c:v>44652</c:v>
                </c:pt>
                <c:pt idx="498">
                  <c:v>44655</c:v>
                </c:pt>
                <c:pt idx="499">
                  <c:v>44656</c:v>
                </c:pt>
                <c:pt idx="500">
                  <c:v>44657</c:v>
                </c:pt>
                <c:pt idx="501">
                  <c:v>44658</c:v>
                </c:pt>
                <c:pt idx="502">
                  <c:v>44659</c:v>
                </c:pt>
                <c:pt idx="503">
                  <c:v>44662</c:v>
                </c:pt>
                <c:pt idx="504">
                  <c:v>44663</c:v>
                </c:pt>
                <c:pt idx="505">
                  <c:v>44664</c:v>
                </c:pt>
                <c:pt idx="506">
                  <c:v>44665</c:v>
                </c:pt>
                <c:pt idx="507">
                  <c:v>44669</c:v>
                </c:pt>
                <c:pt idx="508">
                  <c:v>44670</c:v>
                </c:pt>
                <c:pt idx="509">
                  <c:v>44671</c:v>
                </c:pt>
                <c:pt idx="510">
                  <c:v>44672</c:v>
                </c:pt>
                <c:pt idx="511">
                  <c:v>44673</c:v>
                </c:pt>
                <c:pt idx="512">
                  <c:v>44676</c:v>
                </c:pt>
                <c:pt idx="513">
                  <c:v>44677</c:v>
                </c:pt>
                <c:pt idx="514">
                  <c:v>44678</c:v>
                </c:pt>
                <c:pt idx="515">
                  <c:v>44679</c:v>
                </c:pt>
                <c:pt idx="516">
                  <c:v>44680</c:v>
                </c:pt>
                <c:pt idx="517">
                  <c:v>44683</c:v>
                </c:pt>
                <c:pt idx="518">
                  <c:v>44684</c:v>
                </c:pt>
                <c:pt idx="519">
                  <c:v>44685</c:v>
                </c:pt>
                <c:pt idx="520">
                  <c:v>44686</c:v>
                </c:pt>
                <c:pt idx="521">
                  <c:v>44687</c:v>
                </c:pt>
                <c:pt idx="522">
                  <c:v>44690</c:v>
                </c:pt>
                <c:pt idx="523">
                  <c:v>44691</c:v>
                </c:pt>
                <c:pt idx="524">
                  <c:v>44692</c:v>
                </c:pt>
                <c:pt idx="525">
                  <c:v>44693</c:v>
                </c:pt>
                <c:pt idx="526">
                  <c:v>44694</c:v>
                </c:pt>
                <c:pt idx="527">
                  <c:v>44697</c:v>
                </c:pt>
                <c:pt idx="528">
                  <c:v>44698</c:v>
                </c:pt>
                <c:pt idx="529">
                  <c:v>44699</c:v>
                </c:pt>
                <c:pt idx="530">
                  <c:v>44700</c:v>
                </c:pt>
                <c:pt idx="531">
                  <c:v>44701</c:v>
                </c:pt>
                <c:pt idx="532">
                  <c:v>44704</c:v>
                </c:pt>
                <c:pt idx="533">
                  <c:v>44705</c:v>
                </c:pt>
                <c:pt idx="534">
                  <c:v>44706</c:v>
                </c:pt>
                <c:pt idx="535">
                  <c:v>44707</c:v>
                </c:pt>
                <c:pt idx="536">
                  <c:v>44708</c:v>
                </c:pt>
                <c:pt idx="537">
                  <c:v>44712</c:v>
                </c:pt>
                <c:pt idx="538">
                  <c:v>44713</c:v>
                </c:pt>
                <c:pt idx="539">
                  <c:v>44714</c:v>
                </c:pt>
                <c:pt idx="540">
                  <c:v>44715</c:v>
                </c:pt>
                <c:pt idx="541">
                  <c:v>44718</c:v>
                </c:pt>
                <c:pt idx="542">
                  <c:v>44719</c:v>
                </c:pt>
                <c:pt idx="543">
                  <c:v>44720</c:v>
                </c:pt>
                <c:pt idx="544">
                  <c:v>44721</c:v>
                </c:pt>
                <c:pt idx="545">
                  <c:v>44722</c:v>
                </c:pt>
                <c:pt idx="546">
                  <c:v>44725</c:v>
                </c:pt>
                <c:pt idx="547">
                  <c:v>44726</c:v>
                </c:pt>
                <c:pt idx="548">
                  <c:v>44727</c:v>
                </c:pt>
                <c:pt idx="549">
                  <c:v>44728</c:v>
                </c:pt>
                <c:pt idx="550">
                  <c:v>44729</c:v>
                </c:pt>
                <c:pt idx="551">
                  <c:v>44733</c:v>
                </c:pt>
                <c:pt idx="552">
                  <c:v>44734</c:v>
                </c:pt>
                <c:pt idx="553">
                  <c:v>44735</c:v>
                </c:pt>
                <c:pt idx="554">
                  <c:v>44736</c:v>
                </c:pt>
                <c:pt idx="555">
                  <c:v>44739</c:v>
                </c:pt>
                <c:pt idx="556">
                  <c:v>44740</c:v>
                </c:pt>
                <c:pt idx="557">
                  <c:v>44741</c:v>
                </c:pt>
                <c:pt idx="558">
                  <c:v>44742</c:v>
                </c:pt>
                <c:pt idx="559">
                  <c:v>44743</c:v>
                </c:pt>
                <c:pt idx="560">
                  <c:v>44747</c:v>
                </c:pt>
                <c:pt idx="561">
                  <c:v>44748</c:v>
                </c:pt>
                <c:pt idx="562">
                  <c:v>44749</c:v>
                </c:pt>
                <c:pt idx="563">
                  <c:v>44750</c:v>
                </c:pt>
                <c:pt idx="564">
                  <c:v>44753</c:v>
                </c:pt>
                <c:pt idx="565">
                  <c:v>44754</c:v>
                </c:pt>
                <c:pt idx="566">
                  <c:v>44755</c:v>
                </c:pt>
                <c:pt idx="567">
                  <c:v>44756</c:v>
                </c:pt>
                <c:pt idx="568">
                  <c:v>44757</c:v>
                </c:pt>
                <c:pt idx="569">
                  <c:v>44760</c:v>
                </c:pt>
                <c:pt idx="570">
                  <c:v>44761</c:v>
                </c:pt>
                <c:pt idx="571">
                  <c:v>44762</c:v>
                </c:pt>
                <c:pt idx="572">
                  <c:v>44763</c:v>
                </c:pt>
                <c:pt idx="573">
                  <c:v>44764</c:v>
                </c:pt>
                <c:pt idx="574">
                  <c:v>44767</c:v>
                </c:pt>
                <c:pt idx="575">
                  <c:v>44768</c:v>
                </c:pt>
                <c:pt idx="576">
                  <c:v>44769</c:v>
                </c:pt>
                <c:pt idx="577">
                  <c:v>44770</c:v>
                </c:pt>
                <c:pt idx="578">
                  <c:v>44771</c:v>
                </c:pt>
                <c:pt idx="579">
                  <c:v>44774</c:v>
                </c:pt>
                <c:pt idx="580">
                  <c:v>44775</c:v>
                </c:pt>
                <c:pt idx="581">
                  <c:v>44776</c:v>
                </c:pt>
                <c:pt idx="582">
                  <c:v>44777</c:v>
                </c:pt>
                <c:pt idx="583">
                  <c:v>44778</c:v>
                </c:pt>
                <c:pt idx="584">
                  <c:v>44781</c:v>
                </c:pt>
                <c:pt idx="585">
                  <c:v>44782</c:v>
                </c:pt>
                <c:pt idx="586">
                  <c:v>44783</c:v>
                </c:pt>
                <c:pt idx="587">
                  <c:v>44784</c:v>
                </c:pt>
                <c:pt idx="588">
                  <c:v>44785</c:v>
                </c:pt>
                <c:pt idx="589">
                  <c:v>44788</c:v>
                </c:pt>
                <c:pt idx="590">
                  <c:v>44789</c:v>
                </c:pt>
                <c:pt idx="591">
                  <c:v>44790</c:v>
                </c:pt>
                <c:pt idx="592">
                  <c:v>44791</c:v>
                </c:pt>
                <c:pt idx="593">
                  <c:v>44792</c:v>
                </c:pt>
                <c:pt idx="594">
                  <c:v>44795</c:v>
                </c:pt>
                <c:pt idx="595">
                  <c:v>44796</c:v>
                </c:pt>
                <c:pt idx="596">
                  <c:v>44797</c:v>
                </c:pt>
                <c:pt idx="597">
                  <c:v>44798</c:v>
                </c:pt>
                <c:pt idx="598">
                  <c:v>44799</c:v>
                </c:pt>
                <c:pt idx="599">
                  <c:v>44802</c:v>
                </c:pt>
                <c:pt idx="600">
                  <c:v>44803</c:v>
                </c:pt>
                <c:pt idx="601">
                  <c:v>44804</c:v>
                </c:pt>
                <c:pt idx="602">
                  <c:v>44805</c:v>
                </c:pt>
                <c:pt idx="603">
                  <c:v>44806</c:v>
                </c:pt>
                <c:pt idx="604">
                  <c:v>44810</c:v>
                </c:pt>
                <c:pt idx="605">
                  <c:v>44811</c:v>
                </c:pt>
                <c:pt idx="606">
                  <c:v>44812</c:v>
                </c:pt>
                <c:pt idx="607">
                  <c:v>44813</c:v>
                </c:pt>
                <c:pt idx="608">
                  <c:v>44816</c:v>
                </c:pt>
                <c:pt idx="609">
                  <c:v>44817</c:v>
                </c:pt>
                <c:pt idx="610">
                  <c:v>44818</c:v>
                </c:pt>
                <c:pt idx="611">
                  <c:v>44819</c:v>
                </c:pt>
                <c:pt idx="612">
                  <c:v>44820</c:v>
                </c:pt>
                <c:pt idx="613">
                  <c:v>44823</c:v>
                </c:pt>
                <c:pt idx="614">
                  <c:v>44824</c:v>
                </c:pt>
                <c:pt idx="615">
                  <c:v>44825</c:v>
                </c:pt>
                <c:pt idx="616">
                  <c:v>44826</c:v>
                </c:pt>
                <c:pt idx="617">
                  <c:v>44827</c:v>
                </c:pt>
                <c:pt idx="618">
                  <c:v>44830</c:v>
                </c:pt>
                <c:pt idx="619">
                  <c:v>44831</c:v>
                </c:pt>
                <c:pt idx="620">
                  <c:v>44832</c:v>
                </c:pt>
                <c:pt idx="621">
                  <c:v>44833</c:v>
                </c:pt>
                <c:pt idx="622">
                  <c:v>44834</c:v>
                </c:pt>
                <c:pt idx="623">
                  <c:v>44837</c:v>
                </c:pt>
                <c:pt idx="624">
                  <c:v>44838</c:v>
                </c:pt>
                <c:pt idx="625">
                  <c:v>44839</c:v>
                </c:pt>
                <c:pt idx="626">
                  <c:v>44840</c:v>
                </c:pt>
                <c:pt idx="627">
                  <c:v>44841</c:v>
                </c:pt>
                <c:pt idx="628">
                  <c:v>44844</c:v>
                </c:pt>
                <c:pt idx="629">
                  <c:v>44845</c:v>
                </c:pt>
                <c:pt idx="630">
                  <c:v>44846</c:v>
                </c:pt>
                <c:pt idx="631">
                  <c:v>44847</c:v>
                </c:pt>
                <c:pt idx="632">
                  <c:v>44848</c:v>
                </c:pt>
                <c:pt idx="633">
                  <c:v>44851</c:v>
                </c:pt>
                <c:pt idx="634">
                  <c:v>44852</c:v>
                </c:pt>
                <c:pt idx="635">
                  <c:v>44853</c:v>
                </c:pt>
                <c:pt idx="636">
                  <c:v>44854</c:v>
                </c:pt>
                <c:pt idx="637">
                  <c:v>44855</c:v>
                </c:pt>
                <c:pt idx="638">
                  <c:v>44858</c:v>
                </c:pt>
                <c:pt idx="639">
                  <c:v>44859</c:v>
                </c:pt>
                <c:pt idx="640">
                  <c:v>44860</c:v>
                </c:pt>
                <c:pt idx="641">
                  <c:v>44861</c:v>
                </c:pt>
                <c:pt idx="642">
                  <c:v>44862</c:v>
                </c:pt>
                <c:pt idx="643">
                  <c:v>44865</c:v>
                </c:pt>
                <c:pt idx="644">
                  <c:v>44866</c:v>
                </c:pt>
                <c:pt idx="645">
                  <c:v>44867</c:v>
                </c:pt>
                <c:pt idx="646">
                  <c:v>44868</c:v>
                </c:pt>
                <c:pt idx="647">
                  <c:v>44869</c:v>
                </c:pt>
                <c:pt idx="648">
                  <c:v>44872</c:v>
                </c:pt>
                <c:pt idx="649">
                  <c:v>44873</c:v>
                </c:pt>
                <c:pt idx="650">
                  <c:v>44874</c:v>
                </c:pt>
                <c:pt idx="651">
                  <c:v>44875</c:v>
                </c:pt>
                <c:pt idx="652">
                  <c:v>44876</c:v>
                </c:pt>
                <c:pt idx="653">
                  <c:v>44879</c:v>
                </c:pt>
                <c:pt idx="654">
                  <c:v>44880</c:v>
                </c:pt>
                <c:pt idx="655">
                  <c:v>44881</c:v>
                </c:pt>
                <c:pt idx="656">
                  <c:v>44882</c:v>
                </c:pt>
                <c:pt idx="657">
                  <c:v>44883</c:v>
                </c:pt>
                <c:pt idx="658">
                  <c:v>44886</c:v>
                </c:pt>
                <c:pt idx="659">
                  <c:v>44887</c:v>
                </c:pt>
                <c:pt idx="660">
                  <c:v>44888</c:v>
                </c:pt>
                <c:pt idx="661">
                  <c:v>44890</c:v>
                </c:pt>
                <c:pt idx="662">
                  <c:v>44893</c:v>
                </c:pt>
                <c:pt idx="663">
                  <c:v>44894</c:v>
                </c:pt>
                <c:pt idx="664">
                  <c:v>44895</c:v>
                </c:pt>
                <c:pt idx="665">
                  <c:v>44896</c:v>
                </c:pt>
                <c:pt idx="666">
                  <c:v>44897</c:v>
                </c:pt>
                <c:pt idx="667">
                  <c:v>44900</c:v>
                </c:pt>
                <c:pt idx="668">
                  <c:v>44901</c:v>
                </c:pt>
                <c:pt idx="669">
                  <c:v>44902</c:v>
                </c:pt>
                <c:pt idx="670">
                  <c:v>44903</c:v>
                </c:pt>
                <c:pt idx="671">
                  <c:v>44904</c:v>
                </c:pt>
                <c:pt idx="672">
                  <c:v>44907</c:v>
                </c:pt>
                <c:pt idx="673">
                  <c:v>44908</c:v>
                </c:pt>
                <c:pt idx="674">
                  <c:v>44909</c:v>
                </c:pt>
                <c:pt idx="675">
                  <c:v>44910</c:v>
                </c:pt>
                <c:pt idx="676">
                  <c:v>44911</c:v>
                </c:pt>
                <c:pt idx="677">
                  <c:v>44914</c:v>
                </c:pt>
                <c:pt idx="678">
                  <c:v>44915</c:v>
                </c:pt>
                <c:pt idx="679">
                  <c:v>44916</c:v>
                </c:pt>
                <c:pt idx="680">
                  <c:v>44917</c:v>
                </c:pt>
                <c:pt idx="681">
                  <c:v>44918</c:v>
                </c:pt>
                <c:pt idx="682">
                  <c:v>44922</c:v>
                </c:pt>
                <c:pt idx="683">
                  <c:v>44923</c:v>
                </c:pt>
                <c:pt idx="684">
                  <c:v>44924</c:v>
                </c:pt>
                <c:pt idx="685">
                  <c:v>44925</c:v>
                </c:pt>
                <c:pt idx="686">
                  <c:v>44929</c:v>
                </c:pt>
                <c:pt idx="687">
                  <c:v>44930</c:v>
                </c:pt>
                <c:pt idx="688">
                  <c:v>44931</c:v>
                </c:pt>
                <c:pt idx="689">
                  <c:v>44932</c:v>
                </c:pt>
                <c:pt idx="690">
                  <c:v>44935</c:v>
                </c:pt>
                <c:pt idx="691">
                  <c:v>44936</c:v>
                </c:pt>
                <c:pt idx="692">
                  <c:v>44937</c:v>
                </c:pt>
                <c:pt idx="693">
                  <c:v>44938</c:v>
                </c:pt>
                <c:pt idx="694">
                  <c:v>44939</c:v>
                </c:pt>
                <c:pt idx="695">
                  <c:v>44943</c:v>
                </c:pt>
                <c:pt idx="696">
                  <c:v>44944</c:v>
                </c:pt>
                <c:pt idx="697">
                  <c:v>44945</c:v>
                </c:pt>
                <c:pt idx="698">
                  <c:v>44946</c:v>
                </c:pt>
                <c:pt idx="699">
                  <c:v>44949</c:v>
                </c:pt>
                <c:pt idx="700">
                  <c:v>44950</c:v>
                </c:pt>
                <c:pt idx="701">
                  <c:v>44951</c:v>
                </c:pt>
                <c:pt idx="702">
                  <c:v>44952</c:v>
                </c:pt>
                <c:pt idx="703">
                  <c:v>44953</c:v>
                </c:pt>
                <c:pt idx="704">
                  <c:v>44956</c:v>
                </c:pt>
                <c:pt idx="705">
                  <c:v>44957</c:v>
                </c:pt>
                <c:pt idx="706">
                  <c:v>44958</c:v>
                </c:pt>
                <c:pt idx="707">
                  <c:v>44959</c:v>
                </c:pt>
                <c:pt idx="708">
                  <c:v>44960</c:v>
                </c:pt>
                <c:pt idx="709">
                  <c:v>44963</c:v>
                </c:pt>
                <c:pt idx="710">
                  <c:v>44964</c:v>
                </c:pt>
                <c:pt idx="711">
                  <c:v>44965</c:v>
                </c:pt>
                <c:pt idx="712">
                  <c:v>44966</c:v>
                </c:pt>
                <c:pt idx="713">
                  <c:v>44967</c:v>
                </c:pt>
                <c:pt idx="714">
                  <c:v>44970</c:v>
                </c:pt>
                <c:pt idx="715">
                  <c:v>44971</c:v>
                </c:pt>
                <c:pt idx="716">
                  <c:v>44972</c:v>
                </c:pt>
                <c:pt idx="717">
                  <c:v>44973</c:v>
                </c:pt>
                <c:pt idx="718">
                  <c:v>44974</c:v>
                </c:pt>
                <c:pt idx="719">
                  <c:v>44978</c:v>
                </c:pt>
                <c:pt idx="720">
                  <c:v>44979</c:v>
                </c:pt>
                <c:pt idx="721">
                  <c:v>44980</c:v>
                </c:pt>
                <c:pt idx="722">
                  <c:v>44981</c:v>
                </c:pt>
                <c:pt idx="723">
                  <c:v>44984</c:v>
                </c:pt>
                <c:pt idx="724">
                  <c:v>44985</c:v>
                </c:pt>
                <c:pt idx="725">
                  <c:v>44986</c:v>
                </c:pt>
                <c:pt idx="726">
                  <c:v>44987</c:v>
                </c:pt>
                <c:pt idx="727">
                  <c:v>44988</c:v>
                </c:pt>
                <c:pt idx="728">
                  <c:v>44991</c:v>
                </c:pt>
                <c:pt idx="729">
                  <c:v>44992</c:v>
                </c:pt>
                <c:pt idx="730">
                  <c:v>44993</c:v>
                </c:pt>
                <c:pt idx="731">
                  <c:v>44994</c:v>
                </c:pt>
                <c:pt idx="732">
                  <c:v>44995</c:v>
                </c:pt>
                <c:pt idx="733">
                  <c:v>44998</c:v>
                </c:pt>
                <c:pt idx="734">
                  <c:v>44999</c:v>
                </c:pt>
                <c:pt idx="735">
                  <c:v>45000</c:v>
                </c:pt>
                <c:pt idx="736">
                  <c:v>45001</c:v>
                </c:pt>
                <c:pt idx="737">
                  <c:v>45002</c:v>
                </c:pt>
                <c:pt idx="738">
                  <c:v>45005</c:v>
                </c:pt>
                <c:pt idx="739">
                  <c:v>45006</c:v>
                </c:pt>
                <c:pt idx="740">
                  <c:v>45007</c:v>
                </c:pt>
                <c:pt idx="741">
                  <c:v>45008</c:v>
                </c:pt>
                <c:pt idx="742">
                  <c:v>45009</c:v>
                </c:pt>
                <c:pt idx="743">
                  <c:v>45012</c:v>
                </c:pt>
                <c:pt idx="744">
                  <c:v>45013</c:v>
                </c:pt>
                <c:pt idx="745">
                  <c:v>45014</c:v>
                </c:pt>
                <c:pt idx="746">
                  <c:v>45015</c:v>
                </c:pt>
                <c:pt idx="747">
                  <c:v>45016</c:v>
                </c:pt>
                <c:pt idx="748">
                  <c:v>45019</c:v>
                </c:pt>
                <c:pt idx="749">
                  <c:v>45020</c:v>
                </c:pt>
                <c:pt idx="750">
                  <c:v>45021</c:v>
                </c:pt>
                <c:pt idx="751">
                  <c:v>45022</c:v>
                </c:pt>
                <c:pt idx="752">
                  <c:v>45026</c:v>
                </c:pt>
                <c:pt idx="753">
                  <c:v>45027</c:v>
                </c:pt>
                <c:pt idx="754">
                  <c:v>45028</c:v>
                </c:pt>
                <c:pt idx="755">
                  <c:v>45029</c:v>
                </c:pt>
                <c:pt idx="756">
                  <c:v>45030</c:v>
                </c:pt>
                <c:pt idx="757">
                  <c:v>45033</c:v>
                </c:pt>
                <c:pt idx="758">
                  <c:v>45034</c:v>
                </c:pt>
                <c:pt idx="759">
                  <c:v>45035</c:v>
                </c:pt>
                <c:pt idx="760">
                  <c:v>45036</c:v>
                </c:pt>
                <c:pt idx="761">
                  <c:v>45037</c:v>
                </c:pt>
                <c:pt idx="762">
                  <c:v>45040</c:v>
                </c:pt>
                <c:pt idx="763">
                  <c:v>45041</c:v>
                </c:pt>
                <c:pt idx="764">
                  <c:v>45042</c:v>
                </c:pt>
                <c:pt idx="765">
                  <c:v>45043</c:v>
                </c:pt>
                <c:pt idx="766">
                  <c:v>45044</c:v>
                </c:pt>
                <c:pt idx="767">
                  <c:v>45047</c:v>
                </c:pt>
                <c:pt idx="768">
                  <c:v>45048</c:v>
                </c:pt>
                <c:pt idx="769">
                  <c:v>45049</c:v>
                </c:pt>
                <c:pt idx="770">
                  <c:v>45050</c:v>
                </c:pt>
                <c:pt idx="771">
                  <c:v>45051</c:v>
                </c:pt>
                <c:pt idx="772">
                  <c:v>45054</c:v>
                </c:pt>
                <c:pt idx="773">
                  <c:v>45055</c:v>
                </c:pt>
                <c:pt idx="774">
                  <c:v>45056</c:v>
                </c:pt>
                <c:pt idx="775">
                  <c:v>45057</c:v>
                </c:pt>
                <c:pt idx="776">
                  <c:v>45058</c:v>
                </c:pt>
                <c:pt idx="777">
                  <c:v>45061</c:v>
                </c:pt>
                <c:pt idx="778">
                  <c:v>45062</c:v>
                </c:pt>
                <c:pt idx="779">
                  <c:v>45063</c:v>
                </c:pt>
                <c:pt idx="780">
                  <c:v>45064</c:v>
                </c:pt>
                <c:pt idx="781">
                  <c:v>45065</c:v>
                </c:pt>
                <c:pt idx="782">
                  <c:v>45068</c:v>
                </c:pt>
                <c:pt idx="783">
                  <c:v>45069</c:v>
                </c:pt>
                <c:pt idx="784">
                  <c:v>45070</c:v>
                </c:pt>
                <c:pt idx="785">
                  <c:v>45071</c:v>
                </c:pt>
                <c:pt idx="786">
                  <c:v>45072</c:v>
                </c:pt>
                <c:pt idx="787">
                  <c:v>45076</c:v>
                </c:pt>
                <c:pt idx="788">
                  <c:v>45077</c:v>
                </c:pt>
                <c:pt idx="789">
                  <c:v>45078</c:v>
                </c:pt>
                <c:pt idx="790">
                  <c:v>45079</c:v>
                </c:pt>
                <c:pt idx="791">
                  <c:v>45082</c:v>
                </c:pt>
                <c:pt idx="792">
                  <c:v>45083</c:v>
                </c:pt>
                <c:pt idx="793">
                  <c:v>45084</c:v>
                </c:pt>
                <c:pt idx="794">
                  <c:v>45085</c:v>
                </c:pt>
                <c:pt idx="795">
                  <c:v>45086</c:v>
                </c:pt>
                <c:pt idx="796">
                  <c:v>45089</c:v>
                </c:pt>
                <c:pt idx="797">
                  <c:v>45090</c:v>
                </c:pt>
                <c:pt idx="798">
                  <c:v>45091</c:v>
                </c:pt>
                <c:pt idx="799">
                  <c:v>45092</c:v>
                </c:pt>
                <c:pt idx="800">
                  <c:v>45093</c:v>
                </c:pt>
                <c:pt idx="801">
                  <c:v>45097</c:v>
                </c:pt>
                <c:pt idx="802">
                  <c:v>45098</c:v>
                </c:pt>
                <c:pt idx="803">
                  <c:v>45099</c:v>
                </c:pt>
                <c:pt idx="804">
                  <c:v>45100</c:v>
                </c:pt>
                <c:pt idx="805">
                  <c:v>45103</c:v>
                </c:pt>
                <c:pt idx="806">
                  <c:v>45104</c:v>
                </c:pt>
                <c:pt idx="807">
                  <c:v>45105</c:v>
                </c:pt>
                <c:pt idx="808">
                  <c:v>45106</c:v>
                </c:pt>
                <c:pt idx="809">
                  <c:v>45107</c:v>
                </c:pt>
                <c:pt idx="810">
                  <c:v>45110</c:v>
                </c:pt>
                <c:pt idx="811">
                  <c:v>45112</c:v>
                </c:pt>
                <c:pt idx="812">
                  <c:v>45113</c:v>
                </c:pt>
                <c:pt idx="813">
                  <c:v>45114</c:v>
                </c:pt>
                <c:pt idx="814">
                  <c:v>45117</c:v>
                </c:pt>
                <c:pt idx="815">
                  <c:v>45118</c:v>
                </c:pt>
                <c:pt idx="816">
                  <c:v>45119</c:v>
                </c:pt>
                <c:pt idx="817">
                  <c:v>45120</c:v>
                </c:pt>
                <c:pt idx="818">
                  <c:v>45121</c:v>
                </c:pt>
                <c:pt idx="819">
                  <c:v>45124</c:v>
                </c:pt>
                <c:pt idx="820">
                  <c:v>45125</c:v>
                </c:pt>
                <c:pt idx="821">
                  <c:v>45126</c:v>
                </c:pt>
                <c:pt idx="822">
                  <c:v>45127</c:v>
                </c:pt>
                <c:pt idx="823">
                  <c:v>45128</c:v>
                </c:pt>
                <c:pt idx="824">
                  <c:v>45131</c:v>
                </c:pt>
                <c:pt idx="825">
                  <c:v>45132</c:v>
                </c:pt>
                <c:pt idx="826">
                  <c:v>45133</c:v>
                </c:pt>
                <c:pt idx="827">
                  <c:v>45134</c:v>
                </c:pt>
                <c:pt idx="828">
                  <c:v>45135</c:v>
                </c:pt>
                <c:pt idx="829">
                  <c:v>45138</c:v>
                </c:pt>
                <c:pt idx="830">
                  <c:v>45139</c:v>
                </c:pt>
                <c:pt idx="831">
                  <c:v>45140</c:v>
                </c:pt>
                <c:pt idx="832">
                  <c:v>45141</c:v>
                </c:pt>
                <c:pt idx="833">
                  <c:v>45142</c:v>
                </c:pt>
                <c:pt idx="834">
                  <c:v>45145</c:v>
                </c:pt>
                <c:pt idx="835">
                  <c:v>45146</c:v>
                </c:pt>
                <c:pt idx="836">
                  <c:v>45147</c:v>
                </c:pt>
                <c:pt idx="837">
                  <c:v>45148</c:v>
                </c:pt>
                <c:pt idx="838">
                  <c:v>45149</c:v>
                </c:pt>
                <c:pt idx="839">
                  <c:v>45152</c:v>
                </c:pt>
                <c:pt idx="840">
                  <c:v>45153</c:v>
                </c:pt>
                <c:pt idx="841">
                  <c:v>45154</c:v>
                </c:pt>
                <c:pt idx="842">
                  <c:v>45155</c:v>
                </c:pt>
                <c:pt idx="843">
                  <c:v>45156</c:v>
                </c:pt>
                <c:pt idx="844">
                  <c:v>45159</c:v>
                </c:pt>
                <c:pt idx="845">
                  <c:v>45160</c:v>
                </c:pt>
                <c:pt idx="846">
                  <c:v>45161</c:v>
                </c:pt>
                <c:pt idx="847">
                  <c:v>45162</c:v>
                </c:pt>
                <c:pt idx="848">
                  <c:v>45163</c:v>
                </c:pt>
                <c:pt idx="849">
                  <c:v>45166</c:v>
                </c:pt>
                <c:pt idx="850">
                  <c:v>45167</c:v>
                </c:pt>
                <c:pt idx="851">
                  <c:v>45168</c:v>
                </c:pt>
                <c:pt idx="852">
                  <c:v>45169</c:v>
                </c:pt>
                <c:pt idx="853">
                  <c:v>45170</c:v>
                </c:pt>
                <c:pt idx="854">
                  <c:v>45174</c:v>
                </c:pt>
                <c:pt idx="855">
                  <c:v>45175</c:v>
                </c:pt>
                <c:pt idx="856">
                  <c:v>45176</c:v>
                </c:pt>
                <c:pt idx="857">
                  <c:v>45177</c:v>
                </c:pt>
                <c:pt idx="858">
                  <c:v>45180</c:v>
                </c:pt>
                <c:pt idx="859">
                  <c:v>45181</c:v>
                </c:pt>
                <c:pt idx="860">
                  <c:v>45182</c:v>
                </c:pt>
                <c:pt idx="861">
                  <c:v>45183</c:v>
                </c:pt>
                <c:pt idx="862">
                  <c:v>45184</c:v>
                </c:pt>
                <c:pt idx="863">
                  <c:v>45187</c:v>
                </c:pt>
                <c:pt idx="864">
                  <c:v>45188</c:v>
                </c:pt>
                <c:pt idx="865">
                  <c:v>45189</c:v>
                </c:pt>
                <c:pt idx="866">
                  <c:v>45190</c:v>
                </c:pt>
                <c:pt idx="867">
                  <c:v>45191</c:v>
                </c:pt>
                <c:pt idx="868">
                  <c:v>45194</c:v>
                </c:pt>
                <c:pt idx="869">
                  <c:v>45195</c:v>
                </c:pt>
                <c:pt idx="870">
                  <c:v>45196</c:v>
                </c:pt>
                <c:pt idx="871">
                  <c:v>45197</c:v>
                </c:pt>
                <c:pt idx="872">
                  <c:v>45198</c:v>
                </c:pt>
                <c:pt idx="873">
                  <c:v>45201</c:v>
                </c:pt>
                <c:pt idx="874">
                  <c:v>45202</c:v>
                </c:pt>
                <c:pt idx="875">
                  <c:v>45203</c:v>
                </c:pt>
                <c:pt idx="876">
                  <c:v>45204</c:v>
                </c:pt>
                <c:pt idx="877">
                  <c:v>45205</c:v>
                </c:pt>
                <c:pt idx="878">
                  <c:v>45208</c:v>
                </c:pt>
                <c:pt idx="879">
                  <c:v>45209</c:v>
                </c:pt>
                <c:pt idx="880">
                  <c:v>45210</c:v>
                </c:pt>
                <c:pt idx="881">
                  <c:v>45211</c:v>
                </c:pt>
                <c:pt idx="882">
                  <c:v>45212</c:v>
                </c:pt>
                <c:pt idx="883">
                  <c:v>45215</c:v>
                </c:pt>
                <c:pt idx="884">
                  <c:v>45216</c:v>
                </c:pt>
                <c:pt idx="885">
                  <c:v>45217</c:v>
                </c:pt>
                <c:pt idx="886">
                  <c:v>45218</c:v>
                </c:pt>
                <c:pt idx="887">
                  <c:v>45219</c:v>
                </c:pt>
                <c:pt idx="888">
                  <c:v>45222</c:v>
                </c:pt>
                <c:pt idx="889">
                  <c:v>45223</c:v>
                </c:pt>
                <c:pt idx="890">
                  <c:v>45224</c:v>
                </c:pt>
                <c:pt idx="891">
                  <c:v>45225</c:v>
                </c:pt>
                <c:pt idx="892">
                  <c:v>45226</c:v>
                </c:pt>
                <c:pt idx="893">
                  <c:v>45229</c:v>
                </c:pt>
                <c:pt idx="894">
                  <c:v>45230</c:v>
                </c:pt>
                <c:pt idx="895">
                  <c:v>45231</c:v>
                </c:pt>
                <c:pt idx="896">
                  <c:v>45232</c:v>
                </c:pt>
                <c:pt idx="897">
                  <c:v>45233</c:v>
                </c:pt>
                <c:pt idx="898">
                  <c:v>45236</c:v>
                </c:pt>
                <c:pt idx="899">
                  <c:v>45237</c:v>
                </c:pt>
                <c:pt idx="900">
                  <c:v>45238</c:v>
                </c:pt>
                <c:pt idx="901">
                  <c:v>45239</c:v>
                </c:pt>
                <c:pt idx="902">
                  <c:v>45240</c:v>
                </c:pt>
                <c:pt idx="903">
                  <c:v>45243</c:v>
                </c:pt>
                <c:pt idx="904">
                  <c:v>45244</c:v>
                </c:pt>
                <c:pt idx="905">
                  <c:v>45245</c:v>
                </c:pt>
                <c:pt idx="906">
                  <c:v>45246</c:v>
                </c:pt>
                <c:pt idx="907">
                  <c:v>45247</c:v>
                </c:pt>
                <c:pt idx="908">
                  <c:v>45250</c:v>
                </c:pt>
                <c:pt idx="909">
                  <c:v>45251</c:v>
                </c:pt>
                <c:pt idx="910">
                  <c:v>45252</c:v>
                </c:pt>
                <c:pt idx="911">
                  <c:v>45254</c:v>
                </c:pt>
                <c:pt idx="912">
                  <c:v>45257</c:v>
                </c:pt>
                <c:pt idx="913">
                  <c:v>45258</c:v>
                </c:pt>
                <c:pt idx="914">
                  <c:v>45259</c:v>
                </c:pt>
                <c:pt idx="915">
                  <c:v>45260</c:v>
                </c:pt>
                <c:pt idx="916">
                  <c:v>45261</c:v>
                </c:pt>
                <c:pt idx="917">
                  <c:v>45264</c:v>
                </c:pt>
                <c:pt idx="918">
                  <c:v>45265</c:v>
                </c:pt>
                <c:pt idx="919">
                  <c:v>45266</c:v>
                </c:pt>
                <c:pt idx="920">
                  <c:v>45267</c:v>
                </c:pt>
                <c:pt idx="921">
                  <c:v>45268</c:v>
                </c:pt>
                <c:pt idx="922">
                  <c:v>45271</c:v>
                </c:pt>
                <c:pt idx="923">
                  <c:v>45272</c:v>
                </c:pt>
                <c:pt idx="924">
                  <c:v>45273</c:v>
                </c:pt>
                <c:pt idx="925">
                  <c:v>45274</c:v>
                </c:pt>
                <c:pt idx="926">
                  <c:v>45275</c:v>
                </c:pt>
                <c:pt idx="927">
                  <c:v>45278</c:v>
                </c:pt>
                <c:pt idx="928">
                  <c:v>45279</c:v>
                </c:pt>
                <c:pt idx="929">
                  <c:v>45280</c:v>
                </c:pt>
                <c:pt idx="930">
                  <c:v>45281</c:v>
                </c:pt>
                <c:pt idx="931">
                  <c:v>45282</c:v>
                </c:pt>
                <c:pt idx="932">
                  <c:v>45286</c:v>
                </c:pt>
                <c:pt idx="933">
                  <c:v>45287</c:v>
                </c:pt>
                <c:pt idx="934">
                  <c:v>45288</c:v>
                </c:pt>
                <c:pt idx="935">
                  <c:v>45289</c:v>
                </c:pt>
                <c:pt idx="936">
                  <c:v>45293</c:v>
                </c:pt>
                <c:pt idx="937">
                  <c:v>45294</c:v>
                </c:pt>
                <c:pt idx="938">
                  <c:v>45295</c:v>
                </c:pt>
                <c:pt idx="939">
                  <c:v>45296</c:v>
                </c:pt>
                <c:pt idx="940">
                  <c:v>45299</c:v>
                </c:pt>
                <c:pt idx="941">
                  <c:v>45300</c:v>
                </c:pt>
                <c:pt idx="942">
                  <c:v>45301</c:v>
                </c:pt>
                <c:pt idx="943">
                  <c:v>45302</c:v>
                </c:pt>
                <c:pt idx="944">
                  <c:v>45303</c:v>
                </c:pt>
                <c:pt idx="945">
                  <c:v>45307</c:v>
                </c:pt>
                <c:pt idx="946">
                  <c:v>45308</c:v>
                </c:pt>
                <c:pt idx="947">
                  <c:v>45309</c:v>
                </c:pt>
                <c:pt idx="948">
                  <c:v>45310</c:v>
                </c:pt>
                <c:pt idx="949">
                  <c:v>45313</c:v>
                </c:pt>
                <c:pt idx="950">
                  <c:v>45314</c:v>
                </c:pt>
                <c:pt idx="951">
                  <c:v>45315</c:v>
                </c:pt>
                <c:pt idx="952">
                  <c:v>45316</c:v>
                </c:pt>
                <c:pt idx="953">
                  <c:v>45317</c:v>
                </c:pt>
                <c:pt idx="954">
                  <c:v>45320</c:v>
                </c:pt>
                <c:pt idx="955">
                  <c:v>45321</c:v>
                </c:pt>
                <c:pt idx="956">
                  <c:v>45322</c:v>
                </c:pt>
                <c:pt idx="957">
                  <c:v>45323</c:v>
                </c:pt>
                <c:pt idx="958">
                  <c:v>45324</c:v>
                </c:pt>
                <c:pt idx="959">
                  <c:v>45327</c:v>
                </c:pt>
                <c:pt idx="960">
                  <c:v>45328</c:v>
                </c:pt>
                <c:pt idx="961">
                  <c:v>45329</c:v>
                </c:pt>
                <c:pt idx="962">
                  <c:v>45330</c:v>
                </c:pt>
                <c:pt idx="963">
                  <c:v>45331</c:v>
                </c:pt>
                <c:pt idx="964">
                  <c:v>45334</c:v>
                </c:pt>
                <c:pt idx="965">
                  <c:v>45335</c:v>
                </c:pt>
                <c:pt idx="966">
                  <c:v>45336</c:v>
                </c:pt>
                <c:pt idx="967">
                  <c:v>45337</c:v>
                </c:pt>
                <c:pt idx="968">
                  <c:v>45338</c:v>
                </c:pt>
                <c:pt idx="969">
                  <c:v>45342</c:v>
                </c:pt>
                <c:pt idx="970">
                  <c:v>45343</c:v>
                </c:pt>
                <c:pt idx="971">
                  <c:v>45344</c:v>
                </c:pt>
                <c:pt idx="972">
                  <c:v>45345</c:v>
                </c:pt>
                <c:pt idx="973">
                  <c:v>45348</c:v>
                </c:pt>
                <c:pt idx="974">
                  <c:v>45349</c:v>
                </c:pt>
                <c:pt idx="975">
                  <c:v>45350</c:v>
                </c:pt>
                <c:pt idx="976">
                  <c:v>45351</c:v>
                </c:pt>
                <c:pt idx="977">
                  <c:v>45352</c:v>
                </c:pt>
                <c:pt idx="978">
                  <c:v>45355</c:v>
                </c:pt>
                <c:pt idx="979">
                  <c:v>45356</c:v>
                </c:pt>
                <c:pt idx="980">
                  <c:v>45357</c:v>
                </c:pt>
                <c:pt idx="981">
                  <c:v>45358</c:v>
                </c:pt>
                <c:pt idx="982">
                  <c:v>45359</c:v>
                </c:pt>
                <c:pt idx="983">
                  <c:v>45362</c:v>
                </c:pt>
                <c:pt idx="984">
                  <c:v>45363</c:v>
                </c:pt>
                <c:pt idx="985">
                  <c:v>45364</c:v>
                </c:pt>
                <c:pt idx="986">
                  <c:v>45365</c:v>
                </c:pt>
                <c:pt idx="987">
                  <c:v>45366</c:v>
                </c:pt>
                <c:pt idx="988">
                  <c:v>45369</c:v>
                </c:pt>
                <c:pt idx="989">
                  <c:v>45370</c:v>
                </c:pt>
                <c:pt idx="990">
                  <c:v>45371</c:v>
                </c:pt>
                <c:pt idx="991">
                  <c:v>45372</c:v>
                </c:pt>
                <c:pt idx="992">
                  <c:v>45373</c:v>
                </c:pt>
                <c:pt idx="993">
                  <c:v>45376</c:v>
                </c:pt>
                <c:pt idx="994">
                  <c:v>45377</c:v>
                </c:pt>
                <c:pt idx="995">
                  <c:v>45378</c:v>
                </c:pt>
                <c:pt idx="996">
                  <c:v>45379</c:v>
                </c:pt>
                <c:pt idx="997">
                  <c:v>45383</c:v>
                </c:pt>
                <c:pt idx="998">
                  <c:v>45384</c:v>
                </c:pt>
                <c:pt idx="999">
                  <c:v>45385</c:v>
                </c:pt>
                <c:pt idx="1000">
                  <c:v>45386</c:v>
                </c:pt>
                <c:pt idx="1001">
                  <c:v>45387</c:v>
                </c:pt>
                <c:pt idx="1002">
                  <c:v>45390</c:v>
                </c:pt>
                <c:pt idx="1003">
                  <c:v>45391</c:v>
                </c:pt>
                <c:pt idx="1004">
                  <c:v>45392</c:v>
                </c:pt>
                <c:pt idx="1005">
                  <c:v>45393</c:v>
                </c:pt>
                <c:pt idx="1006">
                  <c:v>45394</c:v>
                </c:pt>
                <c:pt idx="1007">
                  <c:v>45397</c:v>
                </c:pt>
                <c:pt idx="1008">
                  <c:v>45398</c:v>
                </c:pt>
                <c:pt idx="1009">
                  <c:v>45399</c:v>
                </c:pt>
                <c:pt idx="1010">
                  <c:v>45400</c:v>
                </c:pt>
                <c:pt idx="1011">
                  <c:v>45401</c:v>
                </c:pt>
                <c:pt idx="1012">
                  <c:v>45404</c:v>
                </c:pt>
                <c:pt idx="1013">
                  <c:v>45405</c:v>
                </c:pt>
                <c:pt idx="1014">
                  <c:v>45406</c:v>
                </c:pt>
                <c:pt idx="1015">
                  <c:v>45407</c:v>
                </c:pt>
                <c:pt idx="1016">
                  <c:v>45408</c:v>
                </c:pt>
                <c:pt idx="1017">
                  <c:v>45411</c:v>
                </c:pt>
                <c:pt idx="1018">
                  <c:v>45412</c:v>
                </c:pt>
                <c:pt idx="1019">
                  <c:v>45413</c:v>
                </c:pt>
                <c:pt idx="1020">
                  <c:v>45414</c:v>
                </c:pt>
                <c:pt idx="1021">
                  <c:v>45415</c:v>
                </c:pt>
                <c:pt idx="1022">
                  <c:v>45418</c:v>
                </c:pt>
                <c:pt idx="1023">
                  <c:v>45419</c:v>
                </c:pt>
                <c:pt idx="1024">
                  <c:v>45420</c:v>
                </c:pt>
                <c:pt idx="1025">
                  <c:v>45421</c:v>
                </c:pt>
                <c:pt idx="1026">
                  <c:v>45422</c:v>
                </c:pt>
                <c:pt idx="1027">
                  <c:v>45425</c:v>
                </c:pt>
                <c:pt idx="1028">
                  <c:v>45426</c:v>
                </c:pt>
                <c:pt idx="1029">
                  <c:v>45427</c:v>
                </c:pt>
                <c:pt idx="1030">
                  <c:v>45428</c:v>
                </c:pt>
                <c:pt idx="1031">
                  <c:v>45429</c:v>
                </c:pt>
                <c:pt idx="1032">
                  <c:v>45432</c:v>
                </c:pt>
                <c:pt idx="1033">
                  <c:v>45433</c:v>
                </c:pt>
                <c:pt idx="1034">
                  <c:v>45434</c:v>
                </c:pt>
                <c:pt idx="1035">
                  <c:v>45435</c:v>
                </c:pt>
                <c:pt idx="1036">
                  <c:v>45436</c:v>
                </c:pt>
                <c:pt idx="1037">
                  <c:v>45440</c:v>
                </c:pt>
                <c:pt idx="1038">
                  <c:v>45441</c:v>
                </c:pt>
                <c:pt idx="1039">
                  <c:v>45442</c:v>
                </c:pt>
                <c:pt idx="1040">
                  <c:v>45443</c:v>
                </c:pt>
                <c:pt idx="1041">
                  <c:v>45446</c:v>
                </c:pt>
                <c:pt idx="1042">
                  <c:v>45447</c:v>
                </c:pt>
                <c:pt idx="1043">
                  <c:v>45448</c:v>
                </c:pt>
                <c:pt idx="1044">
                  <c:v>45449</c:v>
                </c:pt>
                <c:pt idx="1045">
                  <c:v>45450</c:v>
                </c:pt>
                <c:pt idx="1046">
                  <c:v>45453</c:v>
                </c:pt>
                <c:pt idx="1047">
                  <c:v>45454</c:v>
                </c:pt>
                <c:pt idx="1048">
                  <c:v>45455</c:v>
                </c:pt>
                <c:pt idx="1049">
                  <c:v>45456</c:v>
                </c:pt>
                <c:pt idx="1050">
                  <c:v>45457</c:v>
                </c:pt>
                <c:pt idx="1051">
                  <c:v>45460</c:v>
                </c:pt>
                <c:pt idx="1052">
                  <c:v>45461</c:v>
                </c:pt>
                <c:pt idx="1053">
                  <c:v>45463</c:v>
                </c:pt>
                <c:pt idx="1054">
                  <c:v>45464</c:v>
                </c:pt>
                <c:pt idx="1055">
                  <c:v>45467</c:v>
                </c:pt>
                <c:pt idx="1056">
                  <c:v>45468</c:v>
                </c:pt>
                <c:pt idx="1057">
                  <c:v>45469</c:v>
                </c:pt>
                <c:pt idx="1058">
                  <c:v>45470</c:v>
                </c:pt>
                <c:pt idx="1059">
                  <c:v>45471</c:v>
                </c:pt>
                <c:pt idx="1060">
                  <c:v>45474</c:v>
                </c:pt>
                <c:pt idx="1061">
                  <c:v>45475</c:v>
                </c:pt>
                <c:pt idx="1062">
                  <c:v>45476</c:v>
                </c:pt>
                <c:pt idx="1063">
                  <c:v>45478</c:v>
                </c:pt>
                <c:pt idx="1064">
                  <c:v>45481</c:v>
                </c:pt>
                <c:pt idx="1065">
                  <c:v>45482</c:v>
                </c:pt>
                <c:pt idx="1066">
                  <c:v>45483</c:v>
                </c:pt>
                <c:pt idx="1067">
                  <c:v>45484</c:v>
                </c:pt>
                <c:pt idx="1068">
                  <c:v>45485</c:v>
                </c:pt>
                <c:pt idx="1069">
                  <c:v>45488</c:v>
                </c:pt>
                <c:pt idx="1070">
                  <c:v>45489</c:v>
                </c:pt>
                <c:pt idx="1071">
                  <c:v>45490</c:v>
                </c:pt>
                <c:pt idx="1072">
                  <c:v>45491</c:v>
                </c:pt>
                <c:pt idx="1073">
                  <c:v>45492</c:v>
                </c:pt>
                <c:pt idx="1074">
                  <c:v>45495</c:v>
                </c:pt>
                <c:pt idx="1075">
                  <c:v>45496</c:v>
                </c:pt>
                <c:pt idx="1076">
                  <c:v>45497</c:v>
                </c:pt>
                <c:pt idx="1077">
                  <c:v>45498</c:v>
                </c:pt>
                <c:pt idx="1078">
                  <c:v>45499</c:v>
                </c:pt>
                <c:pt idx="1079">
                  <c:v>45502</c:v>
                </c:pt>
                <c:pt idx="1080">
                  <c:v>45503</c:v>
                </c:pt>
                <c:pt idx="1081">
                  <c:v>45504</c:v>
                </c:pt>
                <c:pt idx="1082">
                  <c:v>45505</c:v>
                </c:pt>
                <c:pt idx="1083">
                  <c:v>45506</c:v>
                </c:pt>
                <c:pt idx="1084">
                  <c:v>45509</c:v>
                </c:pt>
                <c:pt idx="1085">
                  <c:v>45510</c:v>
                </c:pt>
                <c:pt idx="1086">
                  <c:v>45511</c:v>
                </c:pt>
                <c:pt idx="1087">
                  <c:v>45512</c:v>
                </c:pt>
                <c:pt idx="1088">
                  <c:v>45513</c:v>
                </c:pt>
                <c:pt idx="1089">
                  <c:v>45516</c:v>
                </c:pt>
                <c:pt idx="1090">
                  <c:v>45517</c:v>
                </c:pt>
                <c:pt idx="1091">
                  <c:v>45518</c:v>
                </c:pt>
                <c:pt idx="1092">
                  <c:v>45519</c:v>
                </c:pt>
                <c:pt idx="1093">
                  <c:v>45520</c:v>
                </c:pt>
                <c:pt idx="1094">
                  <c:v>45523</c:v>
                </c:pt>
                <c:pt idx="1095">
                  <c:v>45524</c:v>
                </c:pt>
                <c:pt idx="1096">
                  <c:v>45525</c:v>
                </c:pt>
                <c:pt idx="1097">
                  <c:v>45526</c:v>
                </c:pt>
                <c:pt idx="1098">
                  <c:v>45527</c:v>
                </c:pt>
                <c:pt idx="1099">
                  <c:v>45530</c:v>
                </c:pt>
                <c:pt idx="1100">
                  <c:v>45531</c:v>
                </c:pt>
                <c:pt idx="1101">
                  <c:v>45532</c:v>
                </c:pt>
                <c:pt idx="1102">
                  <c:v>45533</c:v>
                </c:pt>
                <c:pt idx="1103">
                  <c:v>45534</c:v>
                </c:pt>
                <c:pt idx="1104">
                  <c:v>45538</c:v>
                </c:pt>
                <c:pt idx="1105">
                  <c:v>45539</c:v>
                </c:pt>
                <c:pt idx="1106">
                  <c:v>45540</c:v>
                </c:pt>
                <c:pt idx="1107">
                  <c:v>45541</c:v>
                </c:pt>
                <c:pt idx="1108">
                  <c:v>45544</c:v>
                </c:pt>
                <c:pt idx="1109">
                  <c:v>45545</c:v>
                </c:pt>
                <c:pt idx="1110">
                  <c:v>45546</c:v>
                </c:pt>
                <c:pt idx="1111">
                  <c:v>45547</c:v>
                </c:pt>
                <c:pt idx="1112">
                  <c:v>45548</c:v>
                </c:pt>
                <c:pt idx="1113">
                  <c:v>45551</c:v>
                </c:pt>
                <c:pt idx="1114">
                  <c:v>45552</c:v>
                </c:pt>
                <c:pt idx="1115">
                  <c:v>45553</c:v>
                </c:pt>
                <c:pt idx="1116">
                  <c:v>45554</c:v>
                </c:pt>
                <c:pt idx="1117">
                  <c:v>45555</c:v>
                </c:pt>
                <c:pt idx="1118">
                  <c:v>45558</c:v>
                </c:pt>
                <c:pt idx="1119">
                  <c:v>45559</c:v>
                </c:pt>
                <c:pt idx="1120">
                  <c:v>45560</c:v>
                </c:pt>
                <c:pt idx="1121">
                  <c:v>45561</c:v>
                </c:pt>
                <c:pt idx="1122">
                  <c:v>45562</c:v>
                </c:pt>
                <c:pt idx="1123">
                  <c:v>45565</c:v>
                </c:pt>
                <c:pt idx="1124">
                  <c:v>45566</c:v>
                </c:pt>
                <c:pt idx="1125">
                  <c:v>45567</c:v>
                </c:pt>
                <c:pt idx="1126">
                  <c:v>45568</c:v>
                </c:pt>
                <c:pt idx="1127">
                  <c:v>45569</c:v>
                </c:pt>
                <c:pt idx="1128">
                  <c:v>45572</c:v>
                </c:pt>
                <c:pt idx="1129">
                  <c:v>45573</c:v>
                </c:pt>
                <c:pt idx="1130">
                  <c:v>45574</c:v>
                </c:pt>
                <c:pt idx="1131">
                  <c:v>45575</c:v>
                </c:pt>
                <c:pt idx="1132">
                  <c:v>45576</c:v>
                </c:pt>
                <c:pt idx="1133">
                  <c:v>45579</c:v>
                </c:pt>
                <c:pt idx="1134">
                  <c:v>45580</c:v>
                </c:pt>
                <c:pt idx="1135">
                  <c:v>45581</c:v>
                </c:pt>
                <c:pt idx="1136">
                  <c:v>45582</c:v>
                </c:pt>
                <c:pt idx="1137">
                  <c:v>45583</c:v>
                </c:pt>
                <c:pt idx="1138">
                  <c:v>45586</c:v>
                </c:pt>
                <c:pt idx="1139">
                  <c:v>45587</c:v>
                </c:pt>
                <c:pt idx="1140">
                  <c:v>45588</c:v>
                </c:pt>
                <c:pt idx="1141">
                  <c:v>45589</c:v>
                </c:pt>
                <c:pt idx="1142">
                  <c:v>45590</c:v>
                </c:pt>
                <c:pt idx="1143">
                  <c:v>45593</c:v>
                </c:pt>
                <c:pt idx="1144">
                  <c:v>45594</c:v>
                </c:pt>
                <c:pt idx="1145">
                  <c:v>45595</c:v>
                </c:pt>
                <c:pt idx="1146">
                  <c:v>45596</c:v>
                </c:pt>
                <c:pt idx="1147">
                  <c:v>45597</c:v>
                </c:pt>
                <c:pt idx="1148">
                  <c:v>45600</c:v>
                </c:pt>
                <c:pt idx="1149">
                  <c:v>45601</c:v>
                </c:pt>
                <c:pt idx="1150">
                  <c:v>45602</c:v>
                </c:pt>
                <c:pt idx="1151">
                  <c:v>45603</c:v>
                </c:pt>
                <c:pt idx="1152">
                  <c:v>45604</c:v>
                </c:pt>
                <c:pt idx="1153">
                  <c:v>45607</c:v>
                </c:pt>
                <c:pt idx="1154">
                  <c:v>45608</c:v>
                </c:pt>
                <c:pt idx="1155">
                  <c:v>45609</c:v>
                </c:pt>
                <c:pt idx="1156">
                  <c:v>45610</c:v>
                </c:pt>
                <c:pt idx="1157">
                  <c:v>45611</c:v>
                </c:pt>
                <c:pt idx="1158">
                  <c:v>45614</c:v>
                </c:pt>
                <c:pt idx="1159">
                  <c:v>45615</c:v>
                </c:pt>
                <c:pt idx="1160">
                  <c:v>45616</c:v>
                </c:pt>
                <c:pt idx="1161">
                  <c:v>45617</c:v>
                </c:pt>
                <c:pt idx="1162">
                  <c:v>45618</c:v>
                </c:pt>
                <c:pt idx="1163">
                  <c:v>45621</c:v>
                </c:pt>
                <c:pt idx="1164">
                  <c:v>45622</c:v>
                </c:pt>
                <c:pt idx="1165">
                  <c:v>45623</c:v>
                </c:pt>
                <c:pt idx="1166">
                  <c:v>45625</c:v>
                </c:pt>
                <c:pt idx="1167">
                  <c:v>45628</c:v>
                </c:pt>
                <c:pt idx="1168">
                  <c:v>45629</c:v>
                </c:pt>
                <c:pt idx="1169">
                  <c:v>45630</c:v>
                </c:pt>
                <c:pt idx="1170">
                  <c:v>45631</c:v>
                </c:pt>
                <c:pt idx="1171">
                  <c:v>45632</c:v>
                </c:pt>
                <c:pt idx="1172">
                  <c:v>45635</c:v>
                </c:pt>
                <c:pt idx="1173">
                  <c:v>45636</c:v>
                </c:pt>
                <c:pt idx="1174">
                  <c:v>45637</c:v>
                </c:pt>
                <c:pt idx="1175">
                  <c:v>45638</c:v>
                </c:pt>
                <c:pt idx="1176">
                  <c:v>45639</c:v>
                </c:pt>
                <c:pt idx="1177">
                  <c:v>45642</c:v>
                </c:pt>
                <c:pt idx="1178">
                  <c:v>45643</c:v>
                </c:pt>
                <c:pt idx="1179">
                  <c:v>45644</c:v>
                </c:pt>
                <c:pt idx="1180">
                  <c:v>45645</c:v>
                </c:pt>
                <c:pt idx="1181">
                  <c:v>45646</c:v>
                </c:pt>
                <c:pt idx="1182">
                  <c:v>45649</c:v>
                </c:pt>
                <c:pt idx="1183">
                  <c:v>45650</c:v>
                </c:pt>
                <c:pt idx="1184">
                  <c:v>45652</c:v>
                </c:pt>
                <c:pt idx="1185">
                  <c:v>45653</c:v>
                </c:pt>
                <c:pt idx="1186">
                  <c:v>45656</c:v>
                </c:pt>
                <c:pt idx="1187">
                  <c:v>45657</c:v>
                </c:pt>
                <c:pt idx="1188">
                  <c:v>45659</c:v>
                </c:pt>
                <c:pt idx="1189">
                  <c:v>45660</c:v>
                </c:pt>
                <c:pt idx="1190">
                  <c:v>45663</c:v>
                </c:pt>
                <c:pt idx="1191">
                  <c:v>45664</c:v>
                </c:pt>
                <c:pt idx="1192">
                  <c:v>45665</c:v>
                </c:pt>
                <c:pt idx="1193">
                  <c:v>45667</c:v>
                </c:pt>
                <c:pt idx="1194">
                  <c:v>45670</c:v>
                </c:pt>
                <c:pt idx="1195">
                  <c:v>45671</c:v>
                </c:pt>
                <c:pt idx="1196">
                  <c:v>45672</c:v>
                </c:pt>
                <c:pt idx="1197">
                  <c:v>45673</c:v>
                </c:pt>
                <c:pt idx="1198">
                  <c:v>45674</c:v>
                </c:pt>
                <c:pt idx="1199">
                  <c:v>45678</c:v>
                </c:pt>
                <c:pt idx="1200">
                  <c:v>45679</c:v>
                </c:pt>
                <c:pt idx="1201">
                  <c:v>45680</c:v>
                </c:pt>
                <c:pt idx="1202">
                  <c:v>45681</c:v>
                </c:pt>
                <c:pt idx="1203">
                  <c:v>45684</c:v>
                </c:pt>
                <c:pt idx="1204">
                  <c:v>45685</c:v>
                </c:pt>
                <c:pt idx="1205">
                  <c:v>45686</c:v>
                </c:pt>
                <c:pt idx="1206">
                  <c:v>45687</c:v>
                </c:pt>
                <c:pt idx="1207">
                  <c:v>45688</c:v>
                </c:pt>
                <c:pt idx="1208">
                  <c:v>45691</c:v>
                </c:pt>
                <c:pt idx="1209">
                  <c:v>45692</c:v>
                </c:pt>
                <c:pt idx="1210">
                  <c:v>45693</c:v>
                </c:pt>
                <c:pt idx="1211">
                  <c:v>45694</c:v>
                </c:pt>
                <c:pt idx="1212">
                  <c:v>45695</c:v>
                </c:pt>
                <c:pt idx="1213">
                  <c:v>45698</c:v>
                </c:pt>
                <c:pt idx="1214">
                  <c:v>45699</c:v>
                </c:pt>
                <c:pt idx="1215">
                  <c:v>45700</c:v>
                </c:pt>
                <c:pt idx="1216">
                  <c:v>45701</c:v>
                </c:pt>
                <c:pt idx="1217">
                  <c:v>45702</c:v>
                </c:pt>
                <c:pt idx="1218">
                  <c:v>45706</c:v>
                </c:pt>
                <c:pt idx="1219">
                  <c:v>45707</c:v>
                </c:pt>
                <c:pt idx="1220">
                  <c:v>45708</c:v>
                </c:pt>
                <c:pt idx="1221">
                  <c:v>45709</c:v>
                </c:pt>
                <c:pt idx="1222">
                  <c:v>45712</c:v>
                </c:pt>
                <c:pt idx="1223">
                  <c:v>45713</c:v>
                </c:pt>
                <c:pt idx="1224">
                  <c:v>45714</c:v>
                </c:pt>
                <c:pt idx="1225">
                  <c:v>45715</c:v>
                </c:pt>
                <c:pt idx="1226">
                  <c:v>45716</c:v>
                </c:pt>
                <c:pt idx="1227">
                  <c:v>45719</c:v>
                </c:pt>
                <c:pt idx="1228">
                  <c:v>45720</c:v>
                </c:pt>
                <c:pt idx="1229">
                  <c:v>45721</c:v>
                </c:pt>
                <c:pt idx="1230">
                  <c:v>45722</c:v>
                </c:pt>
                <c:pt idx="1231">
                  <c:v>45723</c:v>
                </c:pt>
                <c:pt idx="1232">
                  <c:v>45726</c:v>
                </c:pt>
                <c:pt idx="1233">
                  <c:v>45727</c:v>
                </c:pt>
                <c:pt idx="1234">
                  <c:v>45728</c:v>
                </c:pt>
                <c:pt idx="1235">
                  <c:v>45729</c:v>
                </c:pt>
                <c:pt idx="1236">
                  <c:v>45730</c:v>
                </c:pt>
                <c:pt idx="1237">
                  <c:v>45733</c:v>
                </c:pt>
                <c:pt idx="1238">
                  <c:v>45734</c:v>
                </c:pt>
                <c:pt idx="1239">
                  <c:v>45735</c:v>
                </c:pt>
                <c:pt idx="1240">
                  <c:v>45736</c:v>
                </c:pt>
                <c:pt idx="1241">
                  <c:v>45737</c:v>
                </c:pt>
                <c:pt idx="1242">
                  <c:v>45740</c:v>
                </c:pt>
                <c:pt idx="1243">
                  <c:v>45741</c:v>
                </c:pt>
                <c:pt idx="1244">
                  <c:v>45742</c:v>
                </c:pt>
                <c:pt idx="1245">
                  <c:v>45743</c:v>
                </c:pt>
                <c:pt idx="1246">
                  <c:v>45744</c:v>
                </c:pt>
                <c:pt idx="1247">
                  <c:v>45747</c:v>
                </c:pt>
                <c:pt idx="1248">
                  <c:v>45748</c:v>
                </c:pt>
                <c:pt idx="1249">
                  <c:v>45749</c:v>
                </c:pt>
                <c:pt idx="1250">
                  <c:v>45750</c:v>
                </c:pt>
                <c:pt idx="1251">
                  <c:v>45751</c:v>
                </c:pt>
                <c:pt idx="1252">
                  <c:v>45754</c:v>
                </c:pt>
                <c:pt idx="1253">
                  <c:v>45755</c:v>
                </c:pt>
                <c:pt idx="1254">
                  <c:v>45756</c:v>
                </c:pt>
                <c:pt idx="1255">
                  <c:v>45757</c:v>
                </c:pt>
                <c:pt idx="1256">
                  <c:v>45758</c:v>
                </c:pt>
              </c:numCache>
            </c:numRef>
          </c:cat>
          <c:val>
            <c:numRef>
              <c:f>CovarianceStationaryWeaklyDepen!$E$2:$E$1259</c:f>
              <c:numCache>
                <c:formatCode>_(* #,##0.00_);_(* \(#,##0.00\);_(* "-"??_);_(@_)</c:formatCode>
                <c:ptCount val="1258"/>
                <c:pt idx="0">
                  <c:v>84.429999999999836</c:v>
                </c:pt>
                <c:pt idx="1">
                  <c:v>-62.699999999999818</c:v>
                </c:pt>
                <c:pt idx="2">
                  <c:v>16.190000000000055</c:v>
                </c:pt>
                <c:pt idx="3">
                  <c:v>75.009999999999764</c:v>
                </c:pt>
                <c:pt idx="4">
                  <c:v>-51.400000000000091</c:v>
                </c:pt>
                <c:pt idx="5">
                  <c:v>-86.599999999999909</c:v>
                </c:pt>
                <c:pt idx="6">
                  <c:v>62.75</c:v>
                </c:pt>
                <c:pt idx="7">
                  <c:v>-1.5099999999997635</c:v>
                </c:pt>
                <c:pt idx="8">
                  <c:v>38.9399999999996</c:v>
                </c:pt>
                <c:pt idx="9">
                  <c:v>41.740000000000236</c:v>
                </c:pt>
                <c:pt idx="10">
                  <c:v>-15.090000000000146</c:v>
                </c:pt>
                <c:pt idx="11">
                  <c:v>76.120000000000346</c:v>
                </c:pt>
                <c:pt idx="12">
                  <c:v>-27.080000000000382</c:v>
                </c:pt>
                <c:pt idx="13">
                  <c:v>-81.7199999999998</c:v>
                </c:pt>
                <c:pt idx="14">
                  <c:v>12.029999999999745</c:v>
                </c:pt>
                <c:pt idx="15">
                  <c:v>25.700000000000273</c:v>
                </c:pt>
                <c:pt idx="16">
                  <c:v>-20.019999999999982</c:v>
                </c:pt>
                <c:pt idx="17">
                  <c:v>32.769999999999982</c:v>
                </c:pt>
                <c:pt idx="18">
                  <c:v>48.610000000000127</c:v>
                </c:pt>
                <c:pt idx="19">
                  <c:v>0.38999999999987267</c:v>
                </c:pt>
                <c:pt idx="20">
                  <c:v>-60.070000000000164</c:v>
                </c:pt>
                <c:pt idx="21">
                  <c:v>-50.119999999999891</c:v>
                </c:pt>
                <c:pt idx="22">
                  <c:v>32.5</c:v>
                </c:pt>
                <c:pt idx="23">
                  <c:v>11.199999999999818</c:v>
                </c:pt>
                <c:pt idx="24">
                  <c:v>90.210000000000036</c:v>
                </c:pt>
                <c:pt idx="25">
                  <c:v>-30.9699999999998</c:v>
                </c:pt>
                <c:pt idx="26">
                  <c:v>48.670000000000073</c:v>
                </c:pt>
                <c:pt idx="27">
                  <c:v>-23.099999999999909</c:v>
                </c:pt>
                <c:pt idx="28">
                  <c:v>6.9399999999995998</c:v>
                </c:pt>
                <c:pt idx="29">
                  <c:v>36.320000000000164</c:v>
                </c:pt>
                <c:pt idx="30">
                  <c:v>44.360000000000127</c:v>
                </c:pt>
                <c:pt idx="31">
                  <c:v>-6.4000000000000909</c:v>
                </c:pt>
                <c:pt idx="32">
                  <c:v>14.579999999999927</c:v>
                </c:pt>
                <c:pt idx="33">
                  <c:v>11.420000000000073</c:v>
                </c:pt>
                <c:pt idx="34">
                  <c:v>25.090000000000146</c:v>
                </c:pt>
                <c:pt idx="35">
                  <c:v>42.049999999999727</c:v>
                </c:pt>
                <c:pt idx="36">
                  <c:v>-10.519999999999982</c:v>
                </c:pt>
                <c:pt idx="37">
                  <c:v>81.579999999999927</c:v>
                </c:pt>
                <c:pt idx="38">
                  <c:v>38.460000000000036</c:v>
                </c:pt>
                <c:pt idx="39">
                  <c:v>-25.210000000000036</c:v>
                </c:pt>
                <c:pt idx="40">
                  <c:v>-17.039999999999964</c:v>
                </c:pt>
                <c:pt idx="41">
                  <c:v>-188.03999999999996</c:v>
                </c:pt>
                <c:pt idx="42">
                  <c:v>39.210000000000036</c:v>
                </c:pt>
                <c:pt idx="43">
                  <c:v>25.2800000000002</c:v>
                </c:pt>
                <c:pt idx="44">
                  <c:v>58.149999999999636</c:v>
                </c:pt>
                <c:pt idx="45">
                  <c:v>-11.25</c:v>
                </c:pt>
                <c:pt idx="46">
                  <c:v>1.8500000000003638</c:v>
                </c:pt>
                <c:pt idx="47">
                  <c:v>-17.600000000000364</c:v>
                </c:pt>
                <c:pt idx="48">
                  <c:v>20.120000000000346</c:v>
                </c:pt>
                <c:pt idx="49">
                  <c:v>13.429999999999836</c:v>
                </c:pt>
                <c:pt idx="50">
                  <c:v>-80.960000000000036</c:v>
                </c:pt>
                <c:pt idx="51">
                  <c:v>33.430000000000291</c:v>
                </c:pt>
                <c:pt idx="52">
                  <c:v>-74.710000000000036</c:v>
                </c:pt>
                <c:pt idx="53">
                  <c:v>44.1899999999996</c:v>
                </c:pt>
                <c:pt idx="54">
                  <c:v>47.050000000000182</c:v>
                </c:pt>
                <c:pt idx="55">
                  <c:v>15.570000000000164</c:v>
                </c:pt>
                <c:pt idx="56">
                  <c:v>14.150000000000091</c:v>
                </c:pt>
                <c:pt idx="57">
                  <c:v>49.709999999999582</c:v>
                </c:pt>
                <c:pt idx="58">
                  <c:v>-34.399999999999636</c:v>
                </c:pt>
                <c:pt idx="59">
                  <c:v>24.619999999999891</c:v>
                </c:pt>
                <c:pt idx="60">
                  <c:v>-17.889999999999873</c:v>
                </c:pt>
                <c:pt idx="61">
                  <c:v>32.989999999999782</c:v>
                </c:pt>
                <c:pt idx="62">
                  <c:v>-29.820000000000164</c:v>
                </c:pt>
                <c:pt idx="63">
                  <c:v>42.300000000000182</c:v>
                </c:pt>
                <c:pt idx="64">
                  <c:v>29.039999999999964</c:v>
                </c:pt>
                <c:pt idx="65">
                  <c:v>-10.989999999999782</c:v>
                </c:pt>
                <c:pt idx="66">
                  <c:v>9.1599999999998545</c:v>
                </c:pt>
                <c:pt idx="67">
                  <c:v>27.110000000000127</c:v>
                </c:pt>
                <c:pt idx="68">
                  <c:v>5.4600000000000364</c:v>
                </c:pt>
                <c:pt idx="69">
                  <c:v>18.7199999999998</c:v>
                </c:pt>
                <c:pt idx="70">
                  <c:v>-40.360000000000127</c:v>
                </c:pt>
                <c:pt idx="71">
                  <c:v>-20.029999999999745</c:v>
                </c:pt>
                <c:pt idx="72">
                  <c:v>23.779999999999745</c:v>
                </c:pt>
                <c:pt idx="73">
                  <c:v>-20.9699999999998</c:v>
                </c:pt>
                <c:pt idx="74">
                  <c:v>40</c:v>
                </c:pt>
                <c:pt idx="75">
                  <c:v>-12.220000000000255</c:v>
                </c:pt>
                <c:pt idx="76">
                  <c:v>24.900000000000091</c:v>
                </c:pt>
                <c:pt idx="77">
                  <c:v>23.490000000000236</c:v>
                </c:pt>
                <c:pt idx="78">
                  <c:v>11.900000000000091</c:v>
                </c:pt>
                <c:pt idx="79">
                  <c:v>21.259999999999764</c:v>
                </c:pt>
                <c:pt idx="80">
                  <c:v>21.389999999999873</c:v>
                </c:pt>
                <c:pt idx="81">
                  <c:v>2.1200000000003456</c:v>
                </c:pt>
                <c:pt idx="82">
                  <c:v>9.1899999999995998</c:v>
                </c:pt>
                <c:pt idx="83">
                  <c:v>-26.779999999999745</c:v>
                </c:pt>
                <c:pt idx="84">
                  <c:v>46.659999999999854</c:v>
                </c:pt>
                <c:pt idx="85">
                  <c:v>-6.9200000000000728</c:v>
                </c:pt>
                <c:pt idx="86">
                  <c:v>-0.57999999999992724</c:v>
                </c:pt>
                <c:pt idx="87">
                  <c:v>9.1399999999998727</c:v>
                </c:pt>
                <c:pt idx="88">
                  <c:v>7.7900000000004184</c:v>
                </c:pt>
                <c:pt idx="89">
                  <c:v>-14.930000000000291</c:v>
                </c:pt>
                <c:pt idx="90">
                  <c:v>10.660000000000309</c:v>
                </c:pt>
                <c:pt idx="91">
                  <c:v>11.649999999999636</c:v>
                </c:pt>
                <c:pt idx="92">
                  <c:v>34.120000000000346</c:v>
                </c:pt>
                <c:pt idx="93">
                  <c:v>12.339999999999691</c:v>
                </c:pt>
                <c:pt idx="94">
                  <c:v>35.110000000000127</c:v>
                </c:pt>
                <c:pt idx="95">
                  <c:v>5.8200000000001637</c:v>
                </c:pt>
                <c:pt idx="96">
                  <c:v>23.460000000000036</c:v>
                </c:pt>
                <c:pt idx="97">
                  <c:v>-7.7000000000002728</c:v>
                </c:pt>
                <c:pt idx="98">
                  <c:v>26.340000000000146</c:v>
                </c:pt>
                <c:pt idx="99">
                  <c:v>54.190000000000055</c:v>
                </c:pt>
                <c:pt idx="100">
                  <c:v>-125.7800000000002</c:v>
                </c:pt>
                <c:pt idx="101">
                  <c:v>-28.099999999999909</c:v>
                </c:pt>
                <c:pt idx="102">
                  <c:v>-95.119999999999891</c:v>
                </c:pt>
                <c:pt idx="103">
                  <c:v>67.119999999999891</c:v>
                </c:pt>
                <c:pt idx="104">
                  <c:v>-59.769999999999982</c:v>
                </c:pt>
                <c:pt idx="105">
                  <c:v>1.7799999999997453</c:v>
                </c:pt>
                <c:pt idx="106">
                  <c:v>42.570000000000164</c:v>
                </c:pt>
                <c:pt idx="107">
                  <c:v>17.659999999999854</c:v>
                </c:pt>
                <c:pt idx="108">
                  <c:v>-15.710000000000036</c:v>
                </c:pt>
                <c:pt idx="109">
                  <c:v>-28.479999999999563</c:v>
                </c:pt>
                <c:pt idx="110">
                  <c:v>-37.540000000000418</c:v>
                </c:pt>
                <c:pt idx="111">
                  <c:v>-38.409999999999854</c:v>
                </c:pt>
                <c:pt idx="112">
                  <c:v>34.510000000000218</c:v>
                </c:pt>
                <c:pt idx="113">
                  <c:v>-78.650000000000091</c:v>
                </c:pt>
                <c:pt idx="114">
                  <c:v>9.6700000000000728</c:v>
                </c:pt>
                <c:pt idx="115">
                  <c:v>51.869999999999891</c:v>
                </c:pt>
                <c:pt idx="116">
                  <c:v>53.139999999999873</c:v>
                </c:pt>
                <c:pt idx="117">
                  <c:v>-16.130000000000109</c:v>
                </c:pt>
                <c:pt idx="118">
                  <c:v>27.5300000000002</c:v>
                </c:pt>
                <c:pt idx="119">
                  <c:v>17.800000000000182</c:v>
                </c:pt>
                <c:pt idx="120">
                  <c:v>-32.380000000000109</c:v>
                </c:pt>
                <c:pt idx="121">
                  <c:v>60.179999999999836</c:v>
                </c:pt>
                <c:pt idx="122">
                  <c:v>-47.630000000000109</c:v>
                </c:pt>
                <c:pt idx="123">
                  <c:v>58.470000000000255</c:v>
                </c:pt>
                <c:pt idx="124">
                  <c:v>27.389999999999873</c:v>
                </c:pt>
                <c:pt idx="125">
                  <c:v>30.309999999999945</c:v>
                </c:pt>
                <c:pt idx="126">
                  <c:v>57.079999999999927</c:v>
                </c:pt>
                <c:pt idx="127">
                  <c:v>-22.289999999999964</c:v>
                </c:pt>
                <c:pt idx="128">
                  <c:v>-23.259999999999764</c:v>
                </c:pt>
                <c:pt idx="129">
                  <c:v>-5.3299999999999272</c:v>
                </c:pt>
                <c:pt idx="130">
                  <c:v>0.46999999999979991</c:v>
                </c:pt>
                <c:pt idx="131">
                  <c:v>-56.889999999999873</c:v>
                </c:pt>
                <c:pt idx="132">
                  <c:v>16.199999999999818</c:v>
                </c:pt>
                <c:pt idx="133">
                  <c:v>-7.5599999999999454</c:v>
                </c:pt>
                <c:pt idx="134">
                  <c:v>17.929999999999836</c:v>
                </c:pt>
                <c:pt idx="135">
                  <c:v>11.900000000000091</c:v>
                </c:pt>
                <c:pt idx="136">
                  <c:v>-64.420000000000073</c:v>
                </c:pt>
                <c:pt idx="137">
                  <c:v>-10.289999999999964</c:v>
                </c:pt>
                <c:pt idx="138">
                  <c:v>-119.64999999999964</c:v>
                </c:pt>
                <c:pt idx="139">
                  <c:v>39.079999999999927</c:v>
                </c:pt>
                <c:pt idx="140">
                  <c:v>-40.150000000000091</c:v>
                </c:pt>
                <c:pt idx="141">
                  <c:v>40.279999999999745</c:v>
                </c:pt>
                <c:pt idx="142">
                  <c:v>58.920000000000073</c:v>
                </c:pt>
                <c:pt idx="143">
                  <c:v>74.2800000000002</c:v>
                </c:pt>
                <c:pt idx="144">
                  <c:v>67.009999999999764</c:v>
                </c:pt>
                <c:pt idx="145">
                  <c:v>-1.0099999999997635</c:v>
                </c:pt>
                <c:pt idx="146">
                  <c:v>41.059999999999945</c:v>
                </c:pt>
                <c:pt idx="147">
                  <c:v>-4.9699999999997999</c:v>
                </c:pt>
                <c:pt idx="148">
                  <c:v>27.129999999999654</c:v>
                </c:pt>
                <c:pt idx="149">
                  <c:v>-35.649999999999636</c:v>
                </c:pt>
                <c:pt idx="150">
                  <c:v>48.139999999999873</c:v>
                </c:pt>
                <c:pt idx="151">
                  <c:v>41.759999999999764</c:v>
                </c:pt>
                <c:pt idx="152">
                  <c:v>-17.379999999999654</c:v>
                </c:pt>
                <c:pt idx="153">
                  <c:v>-41.740000000000236</c:v>
                </c:pt>
                <c:pt idx="154">
                  <c:v>14.079999999999927</c:v>
                </c:pt>
                <c:pt idx="155">
                  <c:v>-24.329999999999927</c:v>
                </c:pt>
                <c:pt idx="156">
                  <c:v>20.050000000000182</c:v>
                </c:pt>
                <c:pt idx="157">
                  <c:v>57.819999999999709</c:v>
                </c:pt>
                <c:pt idx="158">
                  <c:v>-5.7599999999997635</c:v>
                </c:pt>
                <c:pt idx="159">
                  <c:v>8.6999999999998181</c:v>
                </c:pt>
                <c:pt idx="160">
                  <c:v>-16.7199999999998</c:v>
                </c:pt>
                <c:pt idx="161">
                  <c:v>40.819999999999709</c:v>
                </c:pt>
                <c:pt idx="162">
                  <c:v>6.5600000000004002</c:v>
                </c:pt>
                <c:pt idx="163">
                  <c:v>-2.2900000000004184</c:v>
                </c:pt>
                <c:pt idx="164">
                  <c:v>32.400000000000091</c:v>
                </c:pt>
                <c:pt idx="165">
                  <c:v>-7.1599999999998545</c:v>
                </c:pt>
                <c:pt idx="166">
                  <c:v>10.289999999999964</c:v>
                </c:pt>
                <c:pt idx="167">
                  <c:v>-29.429999999999836</c:v>
                </c:pt>
                <c:pt idx="168">
                  <c:v>-4.7200000000002547</c:v>
                </c:pt>
                <c:pt idx="169">
                  <c:v>-4.6399999999998727</c:v>
                </c:pt>
                <c:pt idx="170">
                  <c:v>-15.970000000000255</c:v>
                </c:pt>
                <c:pt idx="171">
                  <c:v>47.130000000000109</c:v>
                </c:pt>
                <c:pt idx="172">
                  <c:v>6.5500000000001819</c:v>
                </c:pt>
                <c:pt idx="173">
                  <c:v>21.309999999999945</c:v>
                </c:pt>
                <c:pt idx="174">
                  <c:v>-13.070000000000164</c:v>
                </c:pt>
                <c:pt idx="175">
                  <c:v>-14.489999999999782</c:v>
                </c:pt>
                <c:pt idx="176">
                  <c:v>-7.6599999999998545</c:v>
                </c:pt>
                <c:pt idx="177">
                  <c:v>2.75</c:v>
                </c:pt>
                <c:pt idx="178">
                  <c:v>13.049999999999727</c:v>
                </c:pt>
                <c:pt idx="179">
                  <c:v>32.300000000000182</c:v>
                </c:pt>
                <c:pt idx="180">
                  <c:v>-8.3200000000001637</c:v>
                </c:pt>
                <c:pt idx="181">
                  <c:v>5</c:v>
                </c:pt>
                <c:pt idx="182">
                  <c:v>24.0300000000002</c:v>
                </c:pt>
                <c:pt idx="183">
                  <c:v>-55.420000000000073</c:v>
                </c:pt>
                <c:pt idx="184">
                  <c:v>26.210000000000036</c:v>
                </c:pt>
                <c:pt idx="185">
                  <c:v>21.279999999999745</c:v>
                </c:pt>
                <c:pt idx="186">
                  <c:v>55.650000000000091</c:v>
                </c:pt>
                <c:pt idx="187">
                  <c:v>20.889999999999873</c:v>
                </c:pt>
                <c:pt idx="188">
                  <c:v>-25.069999999999709</c:v>
                </c:pt>
                <c:pt idx="189">
                  <c:v>1.5799999999999272</c:v>
                </c:pt>
                <c:pt idx="190">
                  <c:v>8.6500000000000909</c:v>
                </c:pt>
                <c:pt idx="191">
                  <c:v>-14.300000000000182</c:v>
                </c:pt>
                <c:pt idx="192">
                  <c:v>-27.289999999999964</c:v>
                </c:pt>
                <c:pt idx="193">
                  <c:v>30.659999999999854</c:v>
                </c:pt>
                <c:pt idx="194">
                  <c:v>52.940000000000055</c:v>
                </c:pt>
                <c:pt idx="195">
                  <c:v>1.2200000000002547</c:v>
                </c:pt>
                <c:pt idx="196">
                  <c:v>-11.600000000000364</c:v>
                </c:pt>
                <c:pt idx="197">
                  <c:v>13.890000000000327</c:v>
                </c:pt>
                <c:pt idx="198">
                  <c:v>-5.7400000000002365</c:v>
                </c:pt>
                <c:pt idx="199">
                  <c:v>-98.849999999999909</c:v>
                </c:pt>
                <c:pt idx="200">
                  <c:v>36.610000000000127</c:v>
                </c:pt>
                <c:pt idx="201">
                  <c:v>-73.140000000000327</c:v>
                </c:pt>
                <c:pt idx="202">
                  <c:v>59.620000000000346</c:v>
                </c:pt>
                <c:pt idx="203">
                  <c:v>52.449999999999818</c:v>
                </c:pt>
                <c:pt idx="204">
                  <c:v>3.8600000000001273</c:v>
                </c:pt>
                <c:pt idx="205">
                  <c:v>41.569999999999709</c:v>
                </c:pt>
                <c:pt idx="206">
                  <c:v>15.090000000000146</c:v>
                </c:pt>
                <c:pt idx="207">
                  <c:v>28.760000000000218</c:v>
                </c:pt>
                <c:pt idx="208">
                  <c:v>-4.3600000000001273</c:v>
                </c:pt>
                <c:pt idx="209">
                  <c:v>-1.3499999999999091</c:v>
                </c:pt>
                <c:pt idx="210">
                  <c:v>6.5</c:v>
                </c:pt>
                <c:pt idx="211">
                  <c:v>18.449999999999818</c:v>
                </c:pt>
                <c:pt idx="212">
                  <c:v>-2.2399999999997817</c:v>
                </c:pt>
                <c:pt idx="213">
                  <c:v>-1.2600000000002183</c:v>
                </c:pt>
                <c:pt idx="214">
                  <c:v>-17.360000000000127</c:v>
                </c:pt>
                <c:pt idx="215">
                  <c:v>-7.2599999999997635</c:v>
                </c:pt>
                <c:pt idx="216">
                  <c:v>-30.210000000000036</c:v>
                </c:pt>
                <c:pt idx="217">
                  <c:v>4.8699999999998909</c:v>
                </c:pt>
                <c:pt idx="218">
                  <c:v>44.059999999999945</c:v>
                </c:pt>
                <c:pt idx="219">
                  <c:v>-96.089999999999691</c:v>
                </c:pt>
                <c:pt idx="220">
                  <c:v>-18.190000000000055</c:v>
                </c:pt>
                <c:pt idx="221">
                  <c:v>90.670000000000073</c:v>
                </c:pt>
                <c:pt idx="222">
                  <c:v>-31.5300000000002</c:v>
                </c:pt>
                <c:pt idx="223">
                  <c:v>-50.570000000000164</c:v>
                </c:pt>
                <c:pt idx="224">
                  <c:v>-51.25</c:v>
                </c:pt>
                <c:pt idx="225">
                  <c:v>73.470000000000255</c:v>
                </c:pt>
                <c:pt idx="226">
                  <c:v>-20.590000000000146</c:v>
                </c:pt>
                <c:pt idx="227">
                  <c:v>54.090000000000146</c:v>
                </c:pt>
                <c:pt idx="228">
                  <c:v>23.369999999999891</c:v>
                </c:pt>
                <c:pt idx="229">
                  <c:v>40.5300000000002</c:v>
                </c:pt>
                <c:pt idx="230">
                  <c:v>4</c:v>
                </c:pt>
                <c:pt idx="231">
                  <c:v>25.599999999999909</c:v>
                </c:pt>
                <c:pt idx="232">
                  <c:v>-6.2300000000000182</c:v>
                </c:pt>
                <c:pt idx="233">
                  <c:v>11.409999999999854</c:v>
                </c:pt>
                <c:pt idx="234">
                  <c:v>-58.659999999999854</c:v>
                </c:pt>
                <c:pt idx="235">
                  <c:v>-2.3600000000001273</c:v>
                </c:pt>
                <c:pt idx="236">
                  <c:v>27.490000000000236</c:v>
                </c:pt>
                <c:pt idx="237">
                  <c:v>-30.070000000000164</c:v>
                </c:pt>
                <c:pt idx="238">
                  <c:v>-21.380000000000109</c:v>
                </c:pt>
                <c:pt idx="239">
                  <c:v>20.380000000000109</c:v>
                </c:pt>
                <c:pt idx="240">
                  <c:v>65.019999999999982</c:v>
                </c:pt>
                <c:pt idx="241">
                  <c:v>-3.4499999999998181</c:v>
                </c:pt>
                <c:pt idx="242">
                  <c:v>-12.539999999999964</c:v>
                </c:pt>
                <c:pt idx="243">
                  <c:v>14.339999999999691</c:v>
                </c:pt>
                <c:pt idx="244">
                  <c:v>46.980000000000018</c:v>
                </c:pt>
                <c:pt idx="245">
                  <c:v>58.039999999999964</c:v>
                </c:pt>
                <c:pt idx="246">
                  <c:v>-3.9699999999997999</c:v>
                </c:pt>
                <c:pt idx="247">
                  <c:v>6.0099999999997635</c:v>
                </c:pt>
                <c:pt idx="248">
                  <c:v>17.220000000000255</c:v>
                </c:pt>
                <c:pt idx="249">
                  <c:v>31.630000000000109</c:v>
                </c:pt>
                <c:pt idx="250">
                  <c:v>-0.81000000000040018</c:v>
                </c:pt>
                <c:pt idx="251">
                  <c:v>13.600000000000364</c:v>
                </c:pt>
                <c:pt idx="252">
                  <c:v>-16.930000000000291</c:v>
                </c:pt>
                <c:pt idx="253">
                  <c:v>45.760000000000218</c:v>
                </c:pt>
                <c:pt idx="254">
                  <c:v>15.050000000000182</c:v>
                </c:pt>
                <c:pt idx="255">
                  <c:v>-22.210000000000036</c:v>
                </c:pt>
                <c:pt idx="256">
                  <c:v>-28.320000000000618</c:v>
                </c:pt>
                <c:pt idx="257">
                  <c:v>38.480000000000473</c:v>
                </c:pt>
                <c:pt idx="258">
                  <c:v>-38.440000000000509</c:v>
                </c:pt>
                <c:pt idx="259">
                  <c:v>45.190000000000509</c:v>
                </c:pt>
                <c:pt idx="260">
                  <c:v>7.4499999999998181</c:v>
                </c:pt>
                <c:pt idx="261">
                  <c:v>-0.8999999999996362</c:v>
                </c:pt>
                <c:pt idx="262">
                  <c:v>-3.5399999999999636</c:v>
                </c:pt>
                <c:pt idx="263">
                  <c:v>28.289999999999964</c:v>
                </c:pt>
                <c:pt idx="264">
                  <c:v>-30.300000000000182</c:v>
                </c:pt>
                <c:pt idx="265">
                  <c:v>11.489999999999782</c:v>
                </c:pt>
                <c:pt idx="266">
                  <c:v>-28</c:v>
                </c:pt>
                <c:pt idx="267">
                  <c:v>2.930000000000291</c:v>
                </c:pt>
                <c:pt idx="268">
                  <c:v>34.029999999999745</c:v>
                </c:pt>
                <c:pt idx="269">
                  <c:v>30.980000000000473</c:v>
                </c:pt>
                <c:pt idx="270">
                  <c:v>-44.170000000000073</c:v>
                </c:pt>
                <c:pt idx="271">
                  <c:v>-36.329999999999927</c:v>
                </c:pt>
                <c:pt idx="272">
                  <c:v>-89.0600000000004</c:v>
                </c:pt>
                <c:pt idx="273">
                  <c:v>49.460000000000036</c:v>
                </c:pt>
                <c:pt idx="274">
                  <c:v>61.350000000000364</c:v>
                </c:pt>
                <c:pt idx="275">
                  <c:v>-10.5600000000004</c:v>
                </c:pt>
                <c:pt idx="276">
                  <c:v>-35.460000000000036</c:v>
                </c:pt>
                <c:pt idx="277">
                  <c:v>-12.149999999999636</c:v>
                </c:pt>
                <c:pt idx="278">
                  <c:v>43.4399999999996</c:v>
                </c:pt>
                <c:pt idx="279">
                  <c:v>-3.2600000000002183</c:v>
                </c:pt>
                <c:pt idx="280">
                  <c:v>41.190000000000509</c:v>
                </c:pt>
                <c:pt idx="281">
                  <c:v>-8.9200000000000728</c:v>
                </c:pt>
                <c:pt idx="282">
                  <c:v>7.8599999999996726</c:v>
                </c:pt>
                <c:pt idx="283">
                  <c:v>4.8900000000003274</c:v>
                </c:pt>
                <c:pt idx="284">
                  <c:v>3.2299999999995634</c:v>
                </c:pt>
                <c:pt idx="285">
                  <c:v>-2.069999999999709</c:v>
                </c:pt>
                <c:pt idx="286">
                  <c:v>6.0799999999999272</c:v>
                </c:pt>
                <c:pt idx="287">
                  <c:v>-15.269999999999527</c:v>
                </c:pt>
                <c:pt idx="288">
                  <c:v>37.039999999999964</c:v>
                </c:pt>
                <c:pt idx="289">
                  <c:v>-3.3699999999998909</c:v>
                </c:pt>
                <c:pt idx="290">
                  <c:v>0.73999999999978172</c:v>
                </c:pt>
                <c:pt idx="291">
                  <c:v>-7.7100000000000364</c:v>
                </c:pt>
                <c:pt idx="292">
                  <c:v>19.630000000000109</c:v>
                </c:pt>
                <c:pt idx="293">
                  <c:v>8.2599999999993088</c:v>
                </c:pt>
                <c:pt idx="294">
                  <c:v>7.7100000000000364</c:v>
                </c:pt>
                <c:pt idx="295">
                  <c:v>-8.5599999999994907</c:v>
                </c:pt>
                <c:pt idx="296">
                  <c:v>-22.890000000000327</c:v>
                </c:pt>
                <c:pt idx="297">
                  <c:v>-1.8400000000001455</c:v>
                </c:pt>
                <c:pt idx="298">
                  <c:v>-55.409999999999854</c:v>
                </c:pt>
                <c:pt idx="299">
                  <c:v>58.340000000000146</c:v>
                </c:pt>
                <c:pt idx="300">
                  <c:v>21.649999999999636</c:v>
                </c:pt>
                <c:pt idx="301">
                  <c:v>-4.5999999999994543</c:v>
                </c:pt>
                <c:pt idx="302">
                  <c:v>24.649999999999636</c:v>
                </c:pt>
                <c:pt idx="303">
                  <c:v>14.210000000000036</c:v>
                </c:pt>
                <c:pt idx="304">
                  <c:v>9.9099999999998545</c:v>
                </c:pt>
                <c:pt idx="305">
                  <c:v>1.1900000000005093</c:v>
                </c:pt>
                <c:pt idx="306">
                  <c:v>5.6999999999998181</c:v>
                </c:pt>
                <c:pt idx="307">
                  <c:v>22.4399999999996</c:v>
                </c:pt>
                <c:pt idx="308">
                  <c:v>32.400000000000546</c:v>
                </c:pt>
                <c:pt idx="309">
                  <c:v>-8.8000000000001819</c:v>
                </c:pt>
                <c:pt idx="310">
                  <c:v>14.590000000000146</c:v>
                </c:pt>
                <c:pt idx="311">
                  <c:v>-37.3100000000004</c:v>
                </c:pt>
                <c:pt idx="312">
                  <c:v>48.730000000000473</c:v>
                </c:pt>
                <c:pt idx="313">
                  <c:v>15.079999999999927</c:v>
                </c:pt>
                <c:pt idx="314">
                  <c:v>-15.420000000000073</c:v>
                </c:pt>
                <c:pt idx="315">
                  <c:v>5.0900000000001455</c:v>
                </c:pt>
                <c:pt idx="316">
                  <c:v>-14.270000000000437</c:v>
                </c:pt>
                <c:pt idx="317">
                  <c:v>-32.869999999999891</c:v>
                </c:pt>
                <c:pt idx="318">
                  <c:v>-68.670000000000073</c:v>
                </c:pt>
                <c:pt idx="319">
                  <c:v>64.570000000000618</c:v>
                </c:pt>
                <c:pt idx="320">
                  <c:v>35.6299999999992</c:v>
                </c:pt>
                <c:pt idx="321">
                  <c:v>8.7899999999999636</c:v>
                </c:pt>
                <c:pt idx="322">
                  <c:v>44.3100000000004</c:v>
                </c:pt>
                <c:pt idx="323">
                  <c:v>10.510000000000218</c:v>
                </c:pt>
                <c:pt idx="324">
                  <c:v>-20.840000000000146</c:v>
                </c:pt>
                <c:pt idx="325">
                  <c:v>-0.81999999999970896</c:v>
                </c:pt>
                <c:pt idx="326">
                  <c:v>18.509999999999309</c:v>
                </c:pt>
                <c:pt idx="327">
                  <c:v>-23.889999999999418</c:v>
                </c:pt>
                <c:pt idx="328">
                  <c:v>-8.1000000000003638</c:v>
                </c:pt>
                <c:pt idx="329">
                  <c:v>35.989999999999782</c:v>
                </c:pt>
                <c:pt idx="330">
                  <c:v>-20.489999999999782</c:v>
                </c:pt>
                <c:pt idx="331">
                  <c:v>26.440000000000509</c:v>
                </c:pt>
                <c:pt idx="332">
                  <c:v>7.4200000000000728</c:v>
                </c:pt>
                <c:pt idx="333">
                  <c:v>-4.1700000000000728</c:v>
                </c:pt>
                <c:pt idx="334">
                  <c:v>4.3999999999996362</c:v>
                </c:pt>
                <c:pt idx="335">
                  <c:v>5.6599999999998545</c:v>
                </c:pt>
                <c:pt idx="336">
                  <c:v>18.420000000000073</c:v>
                </c:pt>
                <c:pt idx="337">
                  <c:v>7.1700000000000728</c:v>
                </c:pt>
                <c:pt idx="338">
                  <c:v>11.710000000000036</c:v>
                </c:pt>
                <c:pt idx="339">
                  <c:v>-31.630000000000109</c:v>
                </c:pt>
                <c:pt idx="340">
                  <c:v>-47.809999999999491</c:v>
                </c:pt>
                <c:pt idx="341">
                  <c:v>5.5299999999997453</c:v>
                </c:pt>
                <c:pt idx="342">
                  <c:v>35.869999999999891</c:v>
                </c:pt>
                <c:pt idx="343">
                  <c:v>37.859999999999673</c:v>
                </c:pt>
                <c:pt idx="344">
                  <c:v>6.6999999999998181</c:v>
                </c:pt>
                <c:pt idx="345">
                  <c:v>9.9600000000000364</c:v>
                </c:pt>
                <c:pt idx="346">
                  <c:v>-26.1899999999996</c:v>
                </c:pt>
                <c:pt idx="347">
                  <c:v>39.369999999999891</c:v>
                </c:pt>
                <c:pt idx="348">
                  <c:v>19.420000000000073</c:v>
                </c:pt>
                <c:pt idx="349">
                  <c:v>-6.1099999999996726</c:v>
                </c:pt>
                <c:pt idx="350">
                  <c:v>1.4099999999998545</c:v>
                </c:pt>
                <c:pt idx="351">
                  <c:v>12.859999999999673</c:v>
                </c:pt>
                <c:pt idx="352">
                  <c:v>-1.5199999999995271</c:v>
                </c:pt>
                <c:pt idx="353">
                  <c:v>-15.400000000000546</c:v>
                </c:pt>
                <c:pt idx="354">
                  <c:v>-5.9600000000000364</c:v>
                </c:pt>
                <c:pt idx="355">
                  <c:v>-20.789999999999964</c:v>
                </c:pt>
                <c:pt idx="356">
                  <c:v>-34.699999999999818</c:v>
                </c:pt>
                <c:pt idx="357">
                  <c:v>10.149999999999636</c:v>
                </c:pt>
                <c:pt idx="358">
                  <c:v>-25.679999999999382</c:v>
                </c:pt>
                <c:pt idx="359">
                  <c:v>37.649999999999636</c:v>
                </c:pt>
                <c:pt idx="360">
                  <c:v>-6.9499999999998181</c:v>
                </c:pt>
                <c:pt idx="361">
                  <c:v>-40.760000000000218</c:v>
                </c:pt>
                <c:pt idx="362">
                  <c:v>-75.260000000000218</c:v>
                </c:pt>
                <c:pt idx="363">
                  <c:v>-3.5399999999999636</c:v>
                </c:pt>
                <c:pt idx="364">
                  <c:v>41.450000000000728</c:v>
                </c:pt>
                <c:pt idx="365">
                  <c:v>53.339999999999236</c:v>
                </c:pt>
                <c:pt idx="366">
                  <c:v>6.5</c:v>
                </c:pt>
                <c:pt idx="367">
                  <c:v>-12.369999999999891</c:v>
                </c:pt>
                <c:pt idx="368">
                  <c:v>-90.479999999999563</c:v>
                </c:pt>
                <c:pt idx="369">
                  <c:v>6.8299999999999272</c:v>
                </c:pt>
                <c:pt idx="370">
                  <c:v>-51.920000000000073</c:v>
                </c:pt>
                <c:pt idx="371">
                  <c:v>49.5</c:v>
                </c:pt>
                <c:pt idx="372">
                  <c:v>-56.579999999999927</c:v>
                </c:pt>
                <c:pt idx="373">
                  <c:v>45.260000000000218</c:v>
                </c:pt>
                <c:pt idx="374">
                  <c:v>17.829999999999927</c:v>
                </c:pt>
                <c:pt idx="375">
                  <c:v>36.210000000000036</c:v>
                </c:pt>
                <c:pt idx="376">
                  <c:v>-8.4200000000000728</c:v>
                </c:pt>
                <c:pt idx="377">
                  <c:v>-30.150000000000546</c:v>
                </c:pt>
                <c:pt idx="378">
                  <c:v>-10.539999999999964</c:v>
                </c:pt>
                <c:pt idx="379">
                  <c:v>13.150000000000546</c:v>
                </c:pt>
                <c:pt idx="380">
                  <c:v>74.460000000000036</c:v>
                </c:pt>
                <c:pt idx="381">
                  <c:v>33.109999999999673</c:v>
                </c:pt>
                <c:pt idx="382">
                  <c:v>15.090000000000146</c:v>
                </c:pt>
                <c:pt idx="383">
                  <c:v>33.170000000000073</c:v>
                </c:pt>
                <c:pt idx="384">
                  <c:v>16.559999999999491</c:v>
                </c:pt>
                <c:pt idx="385">
                  <c:v>13.590000000000146</c:v>
                </c:pt>
                <c:pt idx="386">
                  <c:v>-4.8800000000001091</c:v>
                </c:pt>
                <c:pt idx="387">
                  <c:v>21.579999999999927</c:v>
                </c:pt>
                <c:pt idx="388">
                  <c:v>8.3100000000004002</c:v>
                </c:pt>
                <c:pt idx="389">
                  <c:v>-23.109999999999673</c:v>
                </c:pt>
                <c:pt idx="390">
                  <c:v>44.739999999999782</c:v>
                </c:pt>
                <c:pt idx="391">
                  <c:v>8.9600000000000364</c:v>
                </c:pt>
                <c:pt idx="392">
                  <c:v>8.2899999999999636</c:v>
                </c:pt>
                <c:pt idx="393">
                  <c:v>16.979999999999563</c:v>
                </c:pt>
                <c:pt idx="394">
                  <c:v>29.920000000000073</c:v>
                </c:pt>
                <c:pt idx="395">
                  <c:v>19.490000000000691</c:v>
                </c:pt>
                <c:pt idx="396">
                  <c:v>17.469999999999345</c:v>
                </c:pt>
                <c:pt idx="397">
                  <c:v>4.1700000000000728</c:v>
                </c:pt>
                <c:pt idx="398">
                  <c:v>-16.449999999999818</c:v>
                </c:pt>
                <c:pt idx="399">
                  <c:v>-38.539999999999964</c:v>
                </c:pt>
                <c:pt idx="400">
                  <c:v>2.5600000000004002</c:v>
                </c:pt>
                <c:pt idx="401">
                  <c:v>33.579999999999927</c:v>
                </c:pt>
                <c:pt idx="402">
                  <c:v>-5.0000000000181899E-2</c:v>
                </c:pt>
                <c:pt idx="403">
                  <c:v>18.099999999999454</c:v>
                </c:pt>
                <c:pt idx="404">
                  <c:v>-12.229999999999563</c:v>
                </c:pt>
                <c:pt idx="405">
                  <c:v>15.869999999999891</c:v>
                </c:pt>
                <c:pt idx="406">
                  <c:v>-6.5799999999999272</c:v>
                </c:pt>
                <c:pt idx="407">
                  <c:v>-15.020000000000437</c:v>
                </c:pt>
                <c:pt idx="408">
                  <c:v>7.7600000000002183</c:v>
                </c:pt>
                <c:pt idx="409">
                  <c:v>10.760000000000218</c:v>
                </c:pt>
                <c:pt idx="410">
                  <c:v>-106.84000000000015</c:v>
                </c:pt>
                <c:pt idx="411">
                  <c:v>60.650000000000546</c:v>
                </c:pt>
                <c:pt idx="412">
                  <c:v>-88.270000000000437</c:v>
                </c:pt>
                <c:pt idx="413">
                  <c:v>-53.960000000000036</c:v>
                </c:pt>
                <c:pt idx="414">
                  <c:v>64.0600000000004</c:v>
                </c:pt>
                <c:pt idx="415">
                  <c:v>-38.670000000000073</c:v>
                </c:pt>
                <c:pt idx="416">
                  <c:v>53.239999999999782</c:v>
                </c:pt>
                <c:pt idx="417">
                  <c:v>95.079999999999927</c:v>
                </c:pt>
                <c:pt idx="418">
                  <c:v>14.460000000000036</c:v>
                </c:pt>
                <c:pt idx="419">
                  <c:v>-33.760000000000218</c:v>
                </c:pt>
                <c:pt idx="420">
                  <c:v>44.570000000000618</c:v>
                </c:pt>
                <c:pt idx="421">
                  <c:v>-43.050000000000182</c:v>
                </c:pt>
                <c:pt idx="422">
                  <c:v>-34.880000000000109</c:v>
                </c:pt>
                <c:pt idx="423">
                  <c:v>75.760000000000218</c:v>
                </c:pt>
                <c:pt idx="424">
                  <c:v>-41.180000000000291</c:v>
                </c:pt>
                <c:pt idx="425">
                  <c:v>-48.029999999999745</c:v>
                </c:pt>
                <c:pt idx="426">
                  <c:v>-52.619999999999891</c:v>
                </c:pt>
                <c:pt idx="427">
                  <c:v>81.209999999999127</c:v>
                </c:pt>
                <c:pt idx="428">
                  <c:v>47.330000000000837</c:v>
                </c:pt>
                <c:pt idx="429">
                  <c:v>29.229999999999563</c:v>
                </c:pt>
                <c:pt idx="430">
                  <c:v>65.399999999999636</c:v>
                </c:pt>
                <c:pt idx="431">
                  <c:v>-4.839999999999236</c:v>
                </c:pt>
                <c:pt idx="432">
                  <c:v>6.7100000000000364</c:v>
                </c:pt>
                <c:pt idx="433">
                  <c:v>-14.330000000000837</c:v>
                </c:pt>
                <c:pt idx="434">
                  <c:v>-12.549999999999272</c:v>
                </c:pt>
                <c:pt idx="435">
                  <c:v>30.380000000000109</c:v>
                </c:pt>
                <c:pt idx="436">
                  <c:v>-3.0200000000004366</c:v>
                </c:pt>
                <c:pt idx="437">
                  <c:v>-92.960000000000036</c:v>
                </c:pt>
                <c:pt idx="438">
                  <c:v>-4.5299999999997453</c:v>
                </c:pt>
                <c:pt idx="439">
                  <c:v>-19.020000000000437</c:v>
                </c:pt>
                <c:pt idx="440">
                  <c:v>-6.7399999999997817</c:v>
                </c:pt>
                <c:pt idx="441">
                  <c:v>42.779999999999745</c:v>
                </c:pt>
                <c:pt idx="442">
                  <c:v>13.280000000000655</c:v>
                </c:pt>
                <c:pt idx="443">
                  <c:v>-67.320000000000618</c:v>
                </c:pt>
                <c:pt idx="444">
                  <c:v>3.8200000000006185</c:v>
                </c:pt>
                <c:pt idx="445">
                  <c:v>-85.740000000000691</c:v>
                </c:pt>
                <c:pt idx="446">
                  <c:v>-44.349999999999454</c:v>
                </c:pt>
                <c:pt idx="447">
                  <c:v>-50.030000000000655</c:v>
                </c:pt>
                <c:pt idx="448">
                  <c:v>-84.789999999999964</c:v>
                </c:pt>
                <c:pt idx="449">
                  <c:v>12.190000000000509</c:v>
                </c:pt>
                <c:pt idx="450">
                  <c:v>-53.680000000000291</c:v>
                </c:pt>
                <c:pt idx="451">
                  <c:v>-6.5199999999995271</c:v>
                </c:pt>
                <c:pt idx="452">
                  <c:v>-23.420000000000073</c:v>
                </c:pt>
                <c:pt idx="453">
                  <c:v>105.34000000000015</c:v>
                </c:pt>
                <c:pt idx="454">
                  <c:v>83.699999999999818</c:v>
                </c:pt>
                <c:pt idx="455">
                  <c:v>30.989999999999782</c:v>
                </c:pt>
                <c:pt idx="456">
                  <c:v>42.840000000000146</c:v>
                </c:pt>
                <c:pt idx="457">
                  <c:v>-111.94000000000051</c:v>
                </c:pt>
                <c:pt idx="458">
                  <c:v>23.090000000000146</c:v>
                </c:pt>
                <c:pt idx="459">
                  <c:v>-16.659999999999854</c:v>
                </c:pt>
                <c:pt idx="460">
                  <c:v>37.670000000000073</c:v>
                </c:pt>
                <c:pt idx="461">
                  <c:v>65.640000000000327</c:v>
                </c:pt>
                <c:pt idx="462">
                  <c:v>-83.100000000000364</c:v>
                </c:pt>
                <c:pt idx="463">
                  <c:v>-85.4399999999996</c:v>
                </c:pt>
                <c:pt idx="464">
                  <c:v>-16.970000000000255</c:v>
                </c:pt>
                <c:pt idx="465">
                  <c:v>69.399999999999636</c:v>
                </c:pt>
                <c:pt idx="466">
                  <c:v>3.9400000000005093</c:v>
                </c:pt>
                <c:pt idx="467">
                  <c:v>-94.75</c:v>
                </c:pt>
                <c:pt idx="468">
                  <c:v>-31.390000000000327</c:v>
                </c:pt>
                <c:pt idx="469">
                  <c:v>-44.109999999999673</c:v>
                </c:pt>
                <c:pt idx="470">
                  <c:v>-79.260000000000218</c:v>
                </c:pt>
                <c:pt idx="471">
                  <c:v>63.199999999999818</c:v>
                </c:pt>
                <c:pt idx="472">
                  <c:v>95.949999999999818</c:v>
                </c:pt>
                <c:pt idx="473">
                  <c:v>-10.710000000000036</c:v>
                </c:pt>
                <c:pt idx="474">
                  <c:v>-67.679999999999382</c:v>
                </c:pt>
                <c:pt idx="475">
                  <c:v>80.279999999999745</c:v>
                </c:pt>
                <c:pt idx="476">
                  <c:v>-23.050000000000182</c:v>
                </c:pt>
                <c:pt idx="477">
                  <c:v>-34.619999999999891</c:v>
                </c:pt>
                <c:pt idx="478">
                  <c:v>-127.77999999999975</c:v>
                </c:pt>
                <c:pt idx="479">
                  <c:v>-30.390000000000327</c:v>
                </c:pt>
                <c:pt idx="480">
                  <c:v>107.18000000000029</c:v>
                </c:pt>
                <c:pt idx="481">
                  <c:v>-18.359999999999673</c:v>
                </c:pt>
                <c:pt idx="482">
                  <c:v>-55.210000000000036</c:v>
                </c:pt>
                <c:pt idx="483">
                  <c:v>-31.200000000000728</c:v>
                </c:pt>
                <c:pt idx="484">
                  <c:v>89.340000000000146</c:v>
                </c:pt>
                <c:pt idx="485">
                  <c:v>95.409999999999854</c:v>
                </c:pt>
                <c:pt idx="486">
                  <c:v>53.8100000000004</c:v>
                </c:pt>
                <c:pt idx="487">
                  <c:v>51.449999999999818</c:v>
                </c:pt>
                <c:pt idx="488">
                  <c:v>-1.9399999999995998</c:v>
                </c:pt>
                <c:pt idx="489">
                  <c:v>50.429999999999382</c:v>
                </c:pt>
                <c:pt idx="490">
                  <c:v>-55.369999999999891</c:v>
                </c:pt>
                <c:pt idx="491">
                  <c:v>63.920000000000073</c:v>
                </c:pt>
                <c:pt idx="492">
                  <c:v>22.900000000000546</c:v>
                </c:pt>
                <c:pt idx="493">
                  <c:v>32.460000000000036</c:v>
                </c:pt>
                <c:pt idx="494">
                  <c:v>56.079999999999927</c:v>
                </c:pt>
                <c:pt idx="495">
                  <c:v>-29.150000000000546</c:v>
                </c:pt>
                <c:pt idx="496">
                  <c:v>-72.039999999999964</c:v>
                </c:pt>
                <c:pt idx="497">
                  <c:v>15.449999999999818</c:v>
                </c:pt>
                <c:pt idx="498">
                  <c:v>36.780000000000655</c:v>
                </c:pt>
                <c:pt idx="499">
                  <c:v>-57.520000000000437</c:v>
                </c:pt>
                <c:pt idx="500">
                  <c:v>-43.970000000000255</c:v>
                </c:pt>
                <c:pt idx="501">
                  <c:v>19.0600000000004</c:v>
                </c:pt>
                <c:pt idx="502">
                  <c:v>-11.930000000000291</c:v>
                </c:pt>
                <c:pt idx="503">
                  <c:v>-75.75</c:v>
                </c:pt>
                <c:pt idx="504">
                  <c:v>-15.079999999999927</c:v>
                </c:pt>
                <c:pt idx="505">
                  <c:v>49.140000000000327</c:v>
                </c:pt>
                <c:pt idx="506">
                  <c:v>-54</c:v>
                </c:pt>
                <c:pt idx="507">
                  <c:v>-0.9000000000005457</c:v>
                </c:pt>
                <c:pt idx="508">
                  <c:v>70.520000000000437</c:v>
                </c:pt>
                <c:pt idx="509">
                  <c:v>-2.7600000000002183</c:v>
                </c:pt>
                <c:pt idx="510">
                  <c:v>-65.789999999999964</c:v>
                </c:pt>
                <c:pt idx="511">
                  <c:v>-121.88000000000011</c:v>
                </c:pt>
                <c:pt idx="512">
                  <c:v>24.340000000000146</c:v>
                </c:pt>
                <c:pt idx="513">
                  <c:v>-120.92000000000007</c:v>
                </c:pt>
                <c:pt idx="514">
                  <c:v>8.7600000000002183</c:v>
                </c:pt>
                <c:pt idx="515">
                  <c:v>103.53999999999996</c:v>
                </c:pt>
                <c:pt idx="516">
                  <c:v>-155.56999999999971</c:v>
                </c:pt>
                <c:pt idx="517">
                  <c:v>23.449999999999818</c:v>
                </c:pt>
                <c:pt idx="518">
                  <c:v>20.099999999999454</c:v>
                </c:pt>
                <c:pt idx="519">
                  <c:v>124.69000000000051</c:v>
                </c:pt>
                <c:pt idx="520">
                  <c:v>-153.30000000000018</c:v>
                </c:pt>
                <c:pt idx="521">
                  <c:v>-23.529999999999745</c:v>
                </c:pt>
                <c:pt idx="522">
                  <c:v>-132.10000000000036</c:v>
                </c:pt>
                <c:pt idx="523">
                  <c:v>9.8100000000004002</c:v>
                </c:pt>
                <c:pt idx="524">
                  <c:v>-65.870000000000346</c:v>
                </c:pt>
                <c:pt idx="525">
                  <c:v>-5.0999999999999091</c:v>
                </c:pt>
                <c:pt idx="526">
                  <c:v>93.809999999999945</c:v>
                </c:pt>
                <c:pt idx="527">
                  <c:v>-15.879999999999654</c:v>
                </c:pt>
                <c:pt idx="528">
                  <c:v>80.839999999999691</c:v>
                </c:pt>
                <c:pt idx="529">
                  <c:v>-165.17000000000007</c:v>
                </c:pt>
                <c:pt idx="530">
                  <c:v>-22.889999999999873</c:v>
                </c:pt>
                <c:pt idx="531">
                  <c:v>0.57000000000016371</c:v>
                </c:pt>
                <c:pt idx="532">
                  <c:v>72.389999999999873</c:v>
                </c:pt>
                <c:pt idx="533">
                  <c:v>-32.269999999999982</c:v>
                </c:pt>
                <c:pt idx="534">
                  <c:v>37.25</c:v>
                </c:pt>
                <c:pt idx="535">
                  <c:v>79.110000000000127</c:v>
                </c:pt>
                <c:pt idx="536">
                  <c:v>100.39999999999964</c:v>
                </c:pt>
                <c:pt idx="537">
                  <c:v>-26.090000000000146</c:v>
                </c:pt>
                <c:pt idx="538">
                  <c:v>-30.920000000000073</c:v>
                </c:pt>
                <c:pt idx="539">
                  <c:v>75.590000000000146</c:v>
                </c:pt>
                <c:pt idx="540">
                  <c:v>-68.279999999999745</c:v>
                </c:pt>
                <c:pt idx="541">
                  <c:v>12.890000000000327</c:v>
                </c:pt>
                <c:pt idx="542">
                  <c:v>39.25</c:v>
                </c:pt>
                <c:pt idx="543">
                  <c:v>-44.909999999999854</c:v>
                </c:pt>
                <c:pt idx="544">
                  <c:v>-97.950000000000273</c:v>
                </c:pt>
                <c:pt idx="545">
                  <c:v>-116.96000000000004</c:v>
                </c:pt>
                <c:pt idx="546">
                  <c:v>-151.23000000000002</c:v>
                </c:pt>
                <c:pt idx="547">
                  <c:v>-14.150000000000091</c:v>
                </c:pt>
                <c:pt idx="548">
                  <c:v>54.509999999999764</c:v>
                </c:pt>
                <c:pt idx="549">
                  <c:v>-123.2199999999998</c:v>
                </c:pt>
                <c:pt idx="550">
                  <c:v>8.0700000000001637</c:v>
                </c:pt>
                <c:pt idx="551">
                  <c:v>89.949999999999818</c:v>
                </c:pt>
                <c:pt idx="552">
                  <c:v>-4.9000000000000909</c:v>
                </c:pt>
                <c:pt idx="553">
                  <c:v>35.840000000000146</c:v>
                </c:pt>
                <c:pt idx="554">
                  <c:v>116.00999999999976</c:v>
                </c:pt>
                <c:pt idx="555">
                  <c:v>-11.629999999999654</c:v>
                </c:pt>
                <c:pt idx="556">
                  <c:v>-78.559999999999945</c:v>
                </c:pt>
                <c:pt idx="557">
                  <c:v>-2.7200000000002547</c:v>
                </c:pt>
                <c:pt idx="558">
                  <c:v>-33.449999999999818</c:v>
                </c:pt>
                <c:pt idx="559">
                  <c:v>39.949999999999818</c:v>
                </c:pt>
                <c:pt idx="560">
                  <c:v>6.0599999999999454</c:v>
                </c:pt>
                <c:pt idx="561">
                  <c:v>13.690000000000055</c:v>
                </c:pt>
                <c:pt idx="562">
                  <c:v>57.539999999999964</c:v>
                </c:pt>
                <c:pt idx="563">
                  <c:v>-3.2399999999997817</c:v>
                </c:pt>
                <c:pt idx="564">
                  <c:v>-44.950000000000273</c:v>
                </c:pt>
                <c:pt idx="565">
                  <c:v>-35.629999999999654</c:v>
                </c:pt>
                <c:pt idx="566">
                  <c:v>-17.019999999999982</c:v>
                </c:pt>
                <c:pt idx="567">
                  <c:v>-11.400000000000091</c:v>
                </c:pt>
                <c:pt idx="568">
                  <c:v>72.779999999999745</c:v>
                </c:pt>
                <c:pt idx="569">
                  <c:v>-32.309999999999945</c:v>
                </c:pt>
                <c:pt idx="570">
                  <c:v>105.84000000000015</c:v>
                </c:pt>
                <c:pt idx="571">
                  <c:v>23.210000000000036</c:v>
                </c:pt>
                <c:pt idx="572">
                  <c:v>39.049999999999727</c:v>
                </c:pt>
                <c:pt idx="573">
                  <c:v>-37.319999999999709</c:v>
                </c:pt>
                <c:pt idx="574">
                  <c:v>5.2100000000000364</c:v>
                </c:pt>
                <c:pt idx="575">
                  <c:v>-45.789999999999964</c:v>
                </c:pt>
                <c:pt idx="576">
                  <c:v>102.55999999999995</c:v>
                </c:pt>
                <c:pt idx="577">
                  <c:v>48.819999999999709</c:v>
                </c:pt>
                <c:pt idx="578">
                  <c:v>57.860000000000127</c:v>
                </c:pt>
                <c:pt idx="579">
                  <c:v>-11.659999999999854</c:v>
                </c:pt>
                <c:pt idx="580">
                  <c:v>-27.440000000000055</c:v>
                </c:pt>
                <c:pt idx="581">
                  <c:v>63.980000000000018</c:v>
                </c:pt>
                <c:pt idx="582">
                  <c:v>-3.2300000000004729</c:v>
                </c:pt>
                <c:pt idx="583">
                  <c:v>-6.75</c:v>
                </c:pt>
                <c:pt idx="584">
                  <c:v>-5.1299999999991996</c:v>
                </c:pt>
                <c:pt idx="585">
                  <c:v>-17.590000000000146</c:v>
                </c:pt>
                <c:pt idx="586">
                  <c:v>87.769999999999527</c:v>
                </c:pt>
                <c:pt idx="587">
                  <c:v>-2.9699999999993452</c:v>
                </c:pt>
                <c:pt idx="588">
                  <c:v>72.8799999999992</c:v>
                </c:pt>
                <c:pt idx="589">
                  <c:v>16.990000000000691</c:v>
                </c:pt>
                <c:pt idx="590">
                  <c:v>8.0599999999994907</c:v>
                </c:pt>
                <c:pt idx="591">
                  <c:v>-31.159999999999854</c:v>
                </c:pt>
                <c:pt idx="592">
                  <c:v>9.6999999999998181</c:v>
                </c:pt>
                <c:pt idx="593">
                  <c:v>-55.260000000000218</c:v>
                </c:pt>
                <c:pt idx="594">
                  <c:v>-90.489999999999782</c:v>
                </c:pt>
                <c:pt idx="595">
                  <c:v>-9.2600000000002183</c:v>
                </c:pt>
                <c:pt idx="596">
                  <c:v>12.040000000000873</c:v>
                </c:pt>
                <c:pt idx="597">
                  <c:v>58.349999999999454</c:v>
                </c:pt>
                <c:pt idx="598">
                  <c:v>-141.46000000000004</c:v>
                </c:pt>
                <c:pt idx="599">
                  <c:v>-27.049999999999727</c:v>
                </c:pt>
                <c:pt idx="600">
                  <c:v>-44.450000000000273</c:v>
                </c:pt>
                <c:pt idx="601">
                  <c:v>-31.159999999999854</c:v>
                </c:pt>
                <c:pt idx="602">
                  <c:v>11.849999999999909</c:v>
                </c:pt>
                <c:pt idx="603">
                  <c:v>-42.589999999999691</c:v>
                </c:pt>
                <c:pt idx="604">
                  <c:v>-16.070000000000164</c:v>
                </c:pt>
                <c:pt idx="605">
                  <c:v>71.679999999999836</c:v>
                </c:pt>
                <c:pt idx="606">
                  <c:v>26.309999999999945</c:v>
                </c:pt>
                <c:pt idx="607">
                  <c:v>61.180000000000291</c:v>
                </c:pt>
                <c:pt idx="608">
                  <c:v>43.049999999999727</c:v>
                </c:pt>
                <c:pt idx="609">
                  <c:v>-177.7199999999998</c:v>
                </c:pt>
                <c:pt idx="610">
                  <c:v>13.320000000000164</c:v>
                </c:pt>
                <c:pt idx="611">
                  <c:v>-44.660000000000309</c:v>
                </c:pt>
                <c:pt idx="612">
                  <c:v>-28.019999999999982</c:v>
                </c:pt>
                <c:pt idx="613">
                  <c:v>26.559999999999945</c:v>
                </c:pt>
                <c:pt idx="614">
                  <c:v>-43.960000000000036</c:v>
                </c:pt>
                <c:pt idx="615">
                  <c:v>-66</c:v>
                </c:pt>
                <c:pt idx="616">
                  <c:v>-31.940000000000055</c:v>
                </c:pt>
                <c:pt idx="617">
                  <c:v>-64.759999999999764</c:v>
                </c:pt>
                <c:pt idx="618">
                  <c:v>-38.190000000000055</c:v>
                </c:pt>
                <c:pt idx="619">
                  <c:v>-7.75</c:v>
                </c:pt>
                <c:pt idx="620">
                  <c:v>71.75</c:v>
                </c:pt>
                <c:pt idx="621">
                  <c:v>-78.570000000000164</c:v>
                </c:pt>
                <c:pt idx="622">
                  <c:v>-54.849999999999909</c:v>
                </c:pt>
                <c:pt idx="623">
                  <c:v>92.809999999999945</c:v>
                </c:pt>
                <c:pt idx="624">
                  <c:v>112.5</c:v>
                </c:pt>
                <c:pt idx="625">
                  <c:v>-7.6499999999996362</c:v>
                </c:pt>
                <c:pt idx="626">
                  <c:v>-38.760000000000218</c:v>
                </c:pt>
                <c:pt idx="627">
                  <c:v>-104.86000000000013</c:v>
                </c:pt>
                <c:pt idx="628">
                  <c:v>-27.269999999999982</c:v>
                </c:pt>
                <c:pt idx="629">
                  <c:v>-23.549999999999727</c:v>
                </c:pt>
                <c:pt idx="630">
                  <c:v>-11.809999999999945</c:v>
                </c:pt>
                <c:pt idx="631">
                  <c:v>92.879999999999654</c:v>
                </c:pt>
                <c:pt idx="632">
                  <c:v>-86.839999999999691</c:v>
                </c:pt>
                <c:pt idx="633">
                  <c:v>94.879999999999654</c:v>
                </c:pt>
                <c:pt idx="634">
                  <c:v>42.0300000000002</c:v>
                </c:pt>
                <c:pt idx="635">
                  <c:v>-24.820000000000164</c:v>
                </c:pt>
                <c:pt idx="636">
                  <c:v>-29.379999999999654</c:v>
                </c:pt>
                <c:pt idx="637">
                  <c:v>86.9699999999998</c:v>
                </c:pt>
                <c:pt idx="638">
                  <c:v>44.590000000000146</c:v>
                </c:pt>
                <c:pt idx="639">
                  <c:v>61.769999999999982</c:v>
                </c:pt>
                <c:pt idx="640">
                  <c:v>-28.510000000000218</c:v>
                </c:pt>
                <c:pt idx="641">
                  <c:v>-23.299999999999727</c:v>
                </c:pt>
                <c:pt idx="642">
                  <c:v>93.759999999999764</c:v>
                </c:pt>
                <c:pt idx="643">
                  <c:v>-29.079999999999927</c:v>
                </c:pt>
                <c:pt idx="644">
                  <c:v>-15.880000000000109</c:v>
                </c:pt>
                <c:pt idx="645">
                  <c:v>-96.409999999999854</c:v>
                </c:pt>
                <c:pt idx="646">
                  <c:v>-39.800000000000182</c:v>
                </c:pt>
                <c:pt idx="647">
                  <c:v>50.660000000000309</c:v>
                </c:pt>
                <c:pt idx="648">
                  <c:v>36.25</c:v>
                </c:pt>
                <c:pt idx="649">
                  <c:v>21.309999999999945</c:v>
                </c:pt>
                <c:pt idx="650">
                  <c:v>-79.539999999999964</c:v>
                </c:pt>
                <c:pt idx="651">
                  <c:v>207.79999999999973</c:v>
                </c:pt>
                <c:pt idx="652">
                  <c:v>36.559999999999945</c:v>
                </c:pt>
                <c:pt idx="653">
                  <c:v>-35.679999999999836</c:v>
                </c:pt>
                <c:pt idx="654">
                  <c:v>34.480000000000018</c:v>
                </c:pt>
                <c:pt idx="655">
                  <c:v>-32.940000000000055</c:v>
                </c:pt>
                <c:pt idx="656">
                  <c:v>-12.230000000000018</c:v>
                </c:pt>
                <c:pt idx="657">
                  <c:v>18.7800000000002</c:v>
                </c:pt>
                <c:pt idx="658">
                  <c:v>-15.400000000000091</c:v>
                </c:pt>
                <c:pt idx="659">
                  <c:v>53.639999999999873</c:v>
                </c:pt>
                <c:pt idx="660">
                  <c:v>23.680000000000291</c:v>
                </c:pt>
                <c:pt idx="661">
                  <c:v>-1.1400000000003274</c:v>
                </c:pt>
                <c:pt idx="662">
                  <c:v>-62.179999999999836</c:v>
                </c:pt>
                <c:pt idx="663">
                  <c:v>-6.3099999999999454</c:v>
                </c:pt>
                <c:pt idx="664">
                  <c:v>122.48000000000002</c:v>
                </c:pt>
                <c:pt idx="665">
                  <c:v>-3.5399999999999636</c:v>
                </c:pt>
                <c:pt idx="666">
                  <c:v>-4.8700000000003456</c:v>
                </c:pt>
                <c:pt idx="667">
                  <c:v>-72.859999999999673</c:v>
                </c:pt>
                <c:pt idx="668">
                  <c:v>-57.579999999999927</c:v>
                </c:pt>
                <c:pt idx="669">
                  <c:v>-7.3400000000001455</c:v>
                </c:pt>
                <c:pt idx="670">
                  <c:v>29.590000000000146</c:v>
                </c:pt>
                <c:pt idx="671">
                  <c:v>-29.130000000000109</c:v>
                </c:pt>
                <c:pt idx="672">
                  <c:v>56.179999999999836</c:v>
                </c:pt>
                <c:pt idx="673">
                  <c:v>29.090000000000146</c:v>
                </c:pt>
                <c:pt idx="674">
                  <c:v>-24.329999999999927</c:v>
                </c:pt>
                <c:pt idx="675">
                  <c:v>-99.570000000000164</c:v>
                </c:pt>
                <c:pt idx="676">
                  <c:v>-43.389999999999873</c:v>
                </c:pt>
                <c:pt idx="677">
                  <c:v>-34.700000000000273</c:v>
                </c:pt>
                <c:pt idx="678">
                  <c:v>3.9600000000000364</c:v>
                </c:pt>
                <c:pt idx="679">
                  <c:v>56.820000000000164</c:v>
                </c:pt>
                <c:pt idx="680">
                  <c:v>-56.050000000000182</c:v>
                </c:pt>
                <c:pt idx="681">
                  <c:v>22.430000000000291</c:v>
                </c:pt>
                <c:pt idx="682">
                  <c:v>-15.570000000000164</c:v>
                </c:pt>
                <c:pt idx="683">
                  <c:v>-46.0300000000002</c:v>
                </c:pt>
                <c:pt idx="684">
                  <c:v>66.0600000000004</c:v>
                </c:pt>
                <c:pt idx="685">
                  <c:v>-9.7800000000002001</c:v>
                </c:pt>
                <c:pt idx="686">
                  <c:v>-15.360000000000127</c:v>
                </c:pt>
                <c:pt idx="687">
                  <c:v>28.829999999999927</c:v>
                </c:pt>
                <c:pt idx="688">
                  <c:v>-44.869999999999891</c:v>
                </c:pt>
                <c:pt idx="689">
                  <c:v>86.980000000000018</c:v>
                </c:pt>
                <c:pt idx="690">
                  <c:v>-2.9899999999997817</c:v>
                </c:pt>
                <c:pt idx="691">
                  <c:v>27.159999999999854</c:v>
                </c:pt>
                <c:pt idx="692">
                  <c:v>50.360000000000127</c:v>
                </c:pt>
                <c:pt idx="693">
                  <c:v>13.559999999999945</c:v>
                </c:pt>
                <c:pt idx="694">
                  <c:v>15.920000000000073</c:v>
                </c:pt>
                <c:pt idx="695">
                  <c:v>-8.1200000000003456</c:v>
                </c:pt>
                <c:pt idx="696">
                  <c:v>-62.109999999999673</c:v>
                </c:pt>
                <c:pt idx="697">
                  <c:v>-30.010000000000218</c:v>
                </c:pt>
                <c:pt idx="698">
                  <c:v>73.760000000000218</c:v>
                </c:pt>
                <c:pt idx="699">
                  <c:v>47.199999999999818</c:v>
                </c:pt>
                <c:pt idx="700">
                  <c:v>-2.8600000000001273</c:v>
                </c:pt>
                <c:pt idx="701">
                  <c:v>-0.73000000000001819</c:v>
                </c:pt>
                <c:pt idx="702">
                  <c:v>44.210000000000036</c:v>
                </c:pt>
                <c:pt idx="703">
                  <c:v>10.130000000000109</c:v>
                </c:pt>
                <c:pt idx="704">
                  <c:v>-52.789999999999964</c:v>
                </c:pt>
                <c:pt idx="705">
                  <c:v>58.829999999999927</c:v>
                </c:pt>
                <c:pt idx="706">
                  <c:v>42.610000000000127</c:v>
                </c:pt>
                <c:pt idx="707">
                  <c:v>60.550000000000182</c:v>
                </c:pt>
                <c:pt idx="708">
                  <c:v>-43.280000000000655</c:v>
                </c:pt>
                <c:pt idx="709">
                  <c:v>-25.399999999999636</c:v>
                </c:pt>
                <c:pt idx="710">
                  <c:v>52.920000000000073</c:v>
                </c:pt>
                <c:pt idx="711">
                  <c:v>-46.140000000000327</c:v>
                </c:pt>
                <c:pt idx="712">
                  <c:v>-36.359999999999673</c:v>
                </c:pt>
                <c:pt idx="713">
                  <c:v>8.9600000000000364</c:v>
                </c:pt>
                <c:pt idx="714">
                  <c:v>46.829999999999927</c:v>
                </c:pt>
                <c:pt idx="715">
                  <c:v>-1.1599999999998545</c:v>
                </c:pt>
                <c:pt idx="716">
                  <c:v>11.470000000000255</c:v>
                </c:pt>
                <c:pt idx="717">
                  <c:v>-57.190000000000509</c:v>
                </c:pt>
                <c:pt idx="718">
                  <c:v>-11.319999999999709</c:v>
                </c:pt>
                <c:pt idx="719">
                  <c:v>-81.75</c:v>
                </c:pt>
                <c:pt idx="720">
                  <c:v>-6.2899999999999636</c:v>
                </c:pt>
                <c:pt idx="721">
                  <c:v>21.269999999999982</c:v>
                </c:pt>
                <c:pt idx="722">
                  <c:v>-42.2800000000002</c:v>
                </c:pt>
                <c:pt idx="723">
                  <c:v>12.199999999999818</c:v>
                </c:pt>
                <c:pt idx="724">
                  <c:v>-12.089999999999691</c:v>
                </c:pt>
                <c:pt idx="725">
                  <c:v>-18.760000000000218</c:v>
                </c:pt>
                <c:pt idx="726">
                  <c:v>29.960000000000036</c:v>
                </c:pt>
                <c:pt idx="727">
                  <c:v>64.289999999999964</c:v>
                </c:pt>
                <c:pt idx="728">
                  <c:v>2.7800000000002001</c:v>
                </c:pt>
                <c:pt idx="729">
                  <c:v>-62.050000000000182</c:v>
                </c:pt>
                <c:pt idx="730">
                  <c:v>5.6400000000003274</c:v>
                </c:pt>
                <c:pt idx="731">
                  <c:v>-73.690000000000055</c:v>
                </c:pt>
                <c:pt idx="732">
                  <c:v>-56.730000000000018</c:v>
                </c:pt>
                <c:pt idx="733">
                  <c:v>-5.8299999999999272</c:v>
                </c:pt>
                <c:pt idx="734">
                  <c:v>63.529999999999745</c:v>
                </c:pt>
                <c:pt idx="735">
                  <c:v>-27.360000000000127</c:v>
                </c:pt>
                <c:pt idx="736">
                  <c:v>68.350000000000364</c:v>
                </c:pt>
                <c:pt idx="737">
                  <c:v>-43.640000000000327</c:v>
                </c:pt>
                <c:pt idx="738">
                  <c:v>34.930000000000291</c:v>
                </c:pt>
                <c:pt idx="739">
                  <c:v>51.299999999999727</c:v>
                </c:pt>
                <c:pt idx="740">
                  <c:v>-65.900000000000091</c:v>
                </c:pt>
                <c:pt idx="741">
                  <c:v>11.75</c:v>
                </c:pt>
                <c:pt idx="742">
                  <c:v>22.269999999999982</c:v>
                </c:pt>
                <c:pt idx="743">
                  <c:v>6.5400000000004184</c:v>
                </c:pt>
                <c:pt idx="744">
                  <c:v>-6.2600000000002183</c:v>
                </c:pt>
                <c:pt idx="745">
                  <c:v>56.539999999999964</c:v>
                </c:pt>
                <c:pt idx="746">
                  <c:v>23.019999999999982</c:v>
                </c:pt>
                <c:pt idx="747">
                  <c:v>58.480000000000473</c:v>
                </c:pt>
                <c:pt idx="748">
                  <c:v>15.199999999999818</c:v>
                </c:pt>
                <c:pt idx="749">
                  <c:v>-23.909999999999854</c:v>
                </c:pt>
                <c:pt idx="750">
                  <c:v>-10.220000000000255</c:v>
                </c:pt>
                <c:pt idx="751">
                  <c:v>14.640000000000327</c:v>
                </c:pt>
                <c:pt idx="752">
                  <c:v>4.089999999999236</c:v>
                </c:pt>
                <c:pt idx="753">
                  <c:v>-0.17000000000007276</c:v>
                </c:pt>
                <c:pt idx="754">
                  <c:v>-16.989999999999782</c:v>
                </c:pt>
                <c:pt idx="755">
                  <c:v>54.270000000000437</c:v>
                </c:pt>
                <c:pt idx="756">
                  <c:v>-8.5799999999999272</c:v>
                </c:pt>
                <c:pt idx="757">
                  <c:v>13.679999999999382</c:v>
                </c:pt>
                <c:pt idx="758">
                  <c:v>3.5500000000001819</c:v>
                </c:pt>
                <c:pt idx="759">
                  <c:v>-0.3499999999994543</c:v>
                </c:pt>
                <c:pt idx="760">
                  <c:v>-24.730000000000473</c:v>
                </c:pt>
                <c:pt idx="761">
                  <c:v>3.7300000000004729</c:v>
                </c:pt>
                <c:pt idx="762">
                  <c:v>3.5199999999995271</c:v>
                </c:pt>
                <c:pt idx="763">
                  <c:v>-65.409999999999854</c:v>
                </c:pt>
                <c:pt idx="764">
                  <c:v>-15.640000000000327</c:v>
                </c:pt>
                <c:pt idx="765">
                  <c:v>79.360000000000582</c:v>
                </c:pt>
                <c:pt idx="766">
                  <c:v>34.1299999999992</c:v>
                </c:pt>
                <c:pt idx="767">
                  <c:v>-1.6099999999996726</c:v>
                </c:pt>
                <c:pt idx="768">
                  <c:v>-48.289999999999964</c:v>
                </c:pt>
                <c:pt idx="769">
                  <c:v>-28.829999999999927</c:v>
                </c:pt>
                <c:pt idx="770">
                  <c:v>-29.5300000000002</c:v>
                </c:pt>
                <c:pt idx="771">
                  <c:v>75.0300000000002</c:v>
                </c:pt>
                <c:pt idx="772">
                  <c:v>1.8699999999998909</c:v>
                </c:pt>
                <c:pt idx="773">
                  <c:v>-18.949999999999818</c:v>
                </c:pt>
                <c:pt idx="774">
                  <c:v>18.470000000000255</c:v>
                </c:pt>
                <c:pt idx="775">
                  <c:v>-7.0200000000004366</c:v>
                </c:pt>
                <c:pt idx="776">
                  <c:v>-6.5399999999999636</c:v>
                </c:pt>
                <c:pt idx="777">
                  <c:v>12.199999999999818</c:v>
                </c:pt>
                <c:pt idx="778">
                  <c:v>-26.380000000000109</c:v>
                </c:pt>
                <c:pt idx="779">
                  <c:v>48.8700000000008</c:v>
                </c:pt>
                <c:pt idx="780">
                  <c:v>39.279999999999745</c:v>
                </c:pt>
                <c:pt idx="781">
                  <c:v>-6.0700000000006185</c:v>
                </c:pt>
                <c:pt idx="782">
                  <c:v>0.6500000000005457</c:v>
                </c:pt>
                <c:pt idx="783">
                  <c:v>-47.050000000000182</c:v>
                </c:pt>
                <c:pt idx="784">
                  <c:v>-30.340000000000146</c:v>
                </c:pt>
                <c:pt idx="785">
                  <c:v>36.039999999999964</c:v>
                </c:pt>
                <c:pt idx="786">
                  <c:v>54.170000000000073</c:v>
                </c:pt>
                <c:pt idx="787">
                  <c:v>7.0000000000618456E-2</c:v>
                </c:pt>
                <c:pt idx="788">
                  <c:v>-25.690000000000509</c:v>
                </c:pt>
                <c:pt idx="789">
                  <c:v>41.190000000000509</c:v>
                </c:pt>
                <c:pt idx="790">
                  <c:v>61.349999999999454</c:v>
                </c:pt>
                <c:pt idx="791">
                  <c:v>-8.5799999999999272</c:v>
                </c:pt>
                <c:pt idx="792">
                  <c:v>10.0600000000004</c:v>
                </c:pt>
                <c:pt idx="793">
                  <c:v>-16.329999999999927</c:v>
                </c:pt>
                <c:pt idx="794">
                  <c:v>26.409999999999854</c:v>
                </c:pt>
                <c:pt idx="795">
                  <c:v>4.9299999999993815</c:v>
                </c:pt>
                <c:pt idx="796">
                  <c:v>40.070000000000618</c:v>
                </c:pt>
                <c:pt idx="797">
                  <c:v>30.079999999999927</c:v>
                </c:pt>
                <c:pt idx="798">
                  <c:v>3.5799999999999272</c:v>
                </c:pt>
                <c:pt idx="799">
                  <c:v>53.25</c:v>
                </c:pt>
                <c:pt idx="800">
                  <c:v>-16.25</c:v>
                </c:pt>
                <c:pt idx="801">
                  <c:v>-20.880000000000109</c:v>
                </c:pt>
                <c:pt idx="802">
                  <c:v>-23.020000000000437</c:v>
                </c:pt>
                <c:pt idx="803">
                  <c:v>16.200000000000728</c:v>
                </c:pt>
                <c:pt idx="804">
                  <c:v>-33.5600000000004</c:v>
                </c:pt>
                <c:pt idx="805">
                  <c:v>-19.510000000000218</c:v>
                </c:pt>
                <c:pt idx="806">
                  <c:v>49.590000000000146</c:v>
                </c:pt>
                <c:pt idx="807">
                  <c:v>-1.5500000000001819</c:v>
                </c:pt>
                <c:pt idx="808">
                  <c:v>19.579999999999927</c:v>
                </c:pt>
                <c:pt idx="809">
                  <c:v>53.940000000000509</c:v>
                </c:pt>
                <c:pt idx="810">
                  <c:v>5.2100000000000364</c:v>
                </c:pt>
                <c:pt idx="811">
                  <c:v>-8.7700000000004366</c:v>
                </c:pt>
                <c:pt idx="812">
                  <c:v>-35.229999999999563</c:v>
                </c:pt>
                <c:pt idx="813">
                  <c:v>-12.640000000000327</c:v>
                </c:pt>
                <c:pt idx="814">
                  <c:v>10.579999999999927</c:v>
                </c:pt>
                <c:pt idx="815">
                  <c:v>29.730000000000473</c:v>
                </c:pt>
                <c:pt idx="816">
                  <c:v>32.899999999999636</c:v>
                </c:pt>
                <c:pt idx="817">
                  <c:v>37.880000000000109</c:v>
                </c:pt>
                <c:pt idx="818">
                  <c:v>-4.6199999999998909</c:v>
                </c:pt>
                <c:pt idx="819">
                  <c:v>17.369999999999891</c:v>
                </c:pt>
                <c:pt idx="820">
                  <c:v>32.1899999999996</c:v>
                </c:pt>
                <c:pt idx="821">
                  <c:v>10.740000000000691</c:v>
                </c:pt>
                <c:pt idx="822">
                  <c:v>-30.850000000000364</c:v>
                </c:pt>
                <c:pt idx="823">
                  <c:v>1.4700000000002547</c:v>
                </c:pt>
                <c:pt idx="824">
                  <c:v>18.300000000000182</c:v>
                </c:pt>
                <c:pt idx="825">
                  <c:v>12.819999999999709</c:v>
                </c:pt>
                <c:pt idx="826">
                  <c:v>-0.71000000000003638</c:v>
                </c:pt>
                <c:pt idx="827">
                  <c:v>-29.340000000000146</c:v>
                </c:pt>
                <c:pt idx="828">
                  <c:v>44.819999999999709</c:v>
                </c:pt>
                <c:pt idx="829">
                  <c:v>6.7300000000004729</c:v>
                </c:pt>
                <c:pt idx="830">
                  <c:v>-12.230000000000473</c:v>
                </c:pt>
                <c:pt idx="831">
                  <c:v>-63.339999999999236</c:v>
                </c:pt>
                <c:pt idx="832">
                  <c:v>-11.5</c:v>
                </c:pt>
                <c:pt idx="833">
                  <c:v>-23.860000000000582</c:v>
                </c:pt>
                <c:pt idx="834">
                  <c:v>40.409999999999854</c:v>
                </c:pt>
                <c:pt idx="835">
                  <c:v>-19.059999999999491</c:v>
                </c:pt>
                <c:pt idx="836">
                  <c:v>-31.670000000000073</c:v>
                </c:pt>
                <c:pt idx="837">
                  <c:v>1.1199999999998909</c:v>
                </c:pt>
                <c:pt idx="838">
                  <c:v>-4.7799999999997453</c:v>
                </c:pt>
                <c:pt idx="839">
                  <c:v>25.670000000000073</c:v>
                </c:pt>
                <c:pt idx="840">
                  <c:v>-51.860000000000582</c:v>
                </c:pt>
                <c:pt idx="841">
                  <c:v>-33.529999999999745</c:v>
                </c:pt>
                <c:pt idx="842">
                  <c:v>-33.970000000000255</c:v>
                </c:pt>
                <c:pt idx="843">
                  <c:v>-0.6499999999996362</c:v>
                </c:pt>
                <c:pt idx="844">
                  <c:v>30.0600000000004</c:v>
                </c:pt>
                <c:pt idx="845">
                  <c:v>-12.220000000000255</c:v>
                </c:pt>
                <c:pt idx="846">
                  <c:v>48.460000000000036</c:v>
                </c:pt>
                <c:pt idx="847">
                  <c:v>-59.699999999999818</c:v>
                </c:pt>
                <c:pt idx="848">
                  <c:v>29.399999999999636</c:v>
                </c:pt>
                <c:pt idx="849">
                  <c:v>27.600000000000364</c:v>
                </c:pt>
                <c:pt idx="850">
                  <c:v>64.319999999999709</c:v>
                </c:pt>
                <c:pt idx="851">
                  <c:v>17.239999999999782</c:v>
                </c:pt>
                <c:pt idx="852">
                  <c:v>-7.2100000000000364</c:v>
                </c:pt>
                <c:pt idx="853">
                  <c:v>8.1100000000005821</c:v>
                </c:pt>
                <c:pt idx="854">
                  <c:v>-18.940000000000509</c:v>
                </c:pt>
                <c:pt idx="855">
                  <c:v>-31.350000000000364</c:v>
                </c:pt>
                <c:pt idx="856">
                  <c:v>-14.339999999999236</c:v>
                </c:pt>
                <c:pt idx="857">
                  <c:v>6.3499999999994543</c:v>
                </c:pt>
                <c:pt idx="858">
                  <c:v>29.970000000000255</c:v>
                </c:pt>
                <c:pt idx="859">
                  <c:v>-25.5600000000004</c:v>
                </c:pt>
                <c:pt idx="860">
                  <c:v>5.5399999999999636</c:v>
                </c:pt>
                <c:pt idx="861">
                  <c:v>37.660000000000764</c:v>
                </c:pt>
                <c:pt idx="862">
                  <c:v>-54.780000000000655</c:v>
                </c:pt>
                <c:pt idx="863">
                  <c:v>3.2100000000000364</c:v>
                </c:pt>
                <c:pt idx="864">
                  <c:v>-9.5799999999999272</c:v>
                </c:pt>
                <c:pt idx="865">
                  <c:v>-41.75</c:v>
                </c:pt>
                <c:pt idx="866">
                  <c:v>-72.199999999999818</c:v>
                </c:pt>
                <c:pt idx="867">
                  <c:v>-9.9399999999995998</c:v>
                </c:pt>
                <c:pt idx="868">
                  <c:v>17.3799999999992</c:v>
                </c:pt>
                <c:pt idx="869">
                  <c:v>-63.909999999999854</c:v>
                </c:pt>
                <c:pt idx="870">
                  <c:v>0.98000000000047294</c:v>
                </c:pt>
                <c:pt idx="871">
                  <c:v>25.1899999999996</c:v>
                </c:pt>
                <c:pt idx="872">
                  <c:v>-11.649999999999636</c:v>
                </c:pt>
                <c:pt idx="873">
                  <c:v>0.34000000000014552</c:v>
                </c:pt>
                <c:pt idx="874">
                  <c:v>-58.940000000000509</c:v>
                </c:pt>
                <c:pt idx="875">
                  <c:v>34.300000000000182</c:v>
                </c:pt>
                <c:pt idx="876">
                  <c:v>-5.5600000000004002</c:v>
                </c:pt>
                <c:pt idx="877">
                  <c:v>50.3100000000004</c:v>
                </c:pt>
                <c:pt idx="878">
                  <c:v>27.159999999999854</c:v>
                </c:pt>
                <c:pt idx="879">
                  <c:v>22.579999999999927</c:v>
                </c:pt>
                <c:pt idx="880">
                  <c:v>18.710000000000036</c:v>
                </c:pt>
                <c:pt idx="881">
                  <c:v>-27.340000000000146</c:v>
                </c:pt>
                <c:pt idx="882">
                  <c:v>-21.829999999999927</c:v>
                </c:pt>
                <c:pt idx="883">
                  <c:v>45.850000000000364</c:v>
                </c:pt>
                <c:pt idx="884">
                  <c:v>-0.43000000000029104</c:v>
                </c:pt>
                <c:pt idx="885">
                  <c:v>-58.599999999999454</c:v>
                </c:pt>
                <c:pt idx="886">
                  <c:v>-36.600000000000364</c:v>
                </c:pt>
                <c:pt idx="887">
                  <c:v>-53.840000000000146</c:v>
                </c:pt>
                <c:pt idx="888">
                  <c:v>-7.1199999999998909</c:v>
                </c:pt>
                <c:pt idx="889">
                  <c:v>30.640000000000327</c:v>
                </c:pt>
                <c:pt idx="890">
                  <c:v>-60.909999999999854</c:v>
                </c:pt>
                <c:pt idx="891">
                  <c:v>-49.540000000000873</c:v>
                </c:pt>
                <c:pt idx="892">
                  <c:v>-19.859999999999673</c:v>
                </c:pt>
                <c:pt idx="893">
                  <c:v>49.449999999999818</c:v>
                </c:pt>
                <c:pt idx="894">
                  <c:v>26.980000000000473</c:v>
                </c:pt>
                <c:pt idx="895">
                  <c:v>44.059999999999491</c:v>
                </c:pt>
                <c:pt idx="896">
                  <c:v>79.920000000000073</c:v>
                </c:pt>
                <c:pt idx="897">
                  <c:v>40.5600000000004</c:v>
                </c:pt>
                <c:pt idx="898">
                  <c:v>7.6399999999994179</c:v>
                </c:pt>
                <c:pt idx="899">
                  <c:v>12.400000000000546</c:v>
                </c:pt>
                <c:pt idx="900">
                  <c:v>4.3999999999996362</c:v>
                </c:pt>
                <c:pt idx="901">
                  <c:v>-35.429999999999382</c:v>
                </c:pt>
                <c:pt idx="902">
                  <c:v>67.889999999999418</c:v>
                </c:pt>
                <c:pt idx="903">
                  <c:v>-3.6899999999995998</c:v>
                </c:pt>
                <c:pt idx="904">
                  <c:v>84.149999999999636</c:v>
                </c:pt>
                <c:pt idx="905">
                  <c:v>7.180000000000291</c:v>
                </c:pt>
                <c:pt idx="906">
                  <c:v>5.3599999999996726</c:v>
                </c:pt>
                <c:pt idx="907">
                  <c:v>5.7800000000006548</c:v>
                </c:pt>
                <c:pt idx="908">
                  <c:v>33.359999999999673</c:v>
                </c:pt>
                <c:pt idx="909">
                  <c:v>-9.1900000000005093</c:v>
                </c:pt>
                <c:pt idx="910">
                  <c:v>18.430000000000291</c:v>
                </c:pt>
                <c:pt idx="911">
                  <c:v>2.7200000000002547</c:v>
                </c:pt>
                <c:pt idx="912">
                  <c:v>-8.9099999999998545</c:v>
                </c:pt>
                <c:pt idx="913">
                  <c:v>4.4600000000000364</c:v>
                </c:pt>
                <c:pt idx="914">
                  <c:v>-4.3100000000004002</c:v>
                </c:pt>
                <c:pt idx="915">
                  <c:v>17.220000000000255</c:v>
                </c:pt>
                <c:pt idx="916">
                  <c:v>26.829999999999927</c:v>
                </c:pt>
                <c:pt idx="917">
                  <c:v>-24.850000000000364</c:v>
                </c:pt>
                <c:pt idx="918">
                  <c:v>-2.5999999999994543</c:v>
                </c:pt>
                <c:pt idx="919">
                  <c:v>-17.840000000000146</c:v>
                </c:pt>
                <c:pt idx="920">
                  <c:v>36.25</c:v>
                </c:pt>
                <c:pt idx="921">
                  <c:v>18.779999999999745</c:v>
                </c:pt>
                <c:pt idx="922">
                  <c:v>18.069999999999709</c:v>
                </c:pt>
                <c:pt idx="923">
                  <c:v>21.260000000000218</c:v>
                </c:pt>
                <c:pt idx="924">
                  <c:v>63.390000000000327</c:v>
                </c:pt>
                <c:pt idx="925">
                  <c:v>12.460000000000036</c:v>
                </c:pt>
                <c:pt idx="926">
                  <c:v>-0.36000000000058208</c:v>
                </c:pt>
                <c:pt idx="927">
                  <c:v>21.3700000000008</c:v>
                </c:pt>
                <c:pt idx="928">
                  <c:v>27.809999999999491</c:v>
                </c:pt>
                <c:pt idx="929">
                  <c:v>-70.019999999999527</c:v>
                </c:pt>
                <c:pt idx="930">
                  <c:v>48.399999999999636</c:v>
                </c:pt>
                <c:pt idx="931">
                  <c:v>7.8800000000001091</c:v>
                </c:pt>
                <c:pt idx="932">
                  <c:v>20.119999999999891</c:v>
                </c:pt>
                <c:pt idx="933">
                  <c:v>6.8299999999999272</c:v>
                </c:pt>
                <c:pt idx="934">
                  <c:v>1.7700000000004366</c:v>
                </c:pt>
                <c:pt idx="935">
                  <c:v>-13.520000000000437</c:v>
                </c:pt>
                <c:pt idx="936">
                  <c:v>-27</c:v>
                </c:pt>
                <c:pt idx="937">
                  <c:v>-38.019999999999527</c:v>
                </c:pt>
                <c:pt idx="938">
                  <c:v>-16.130000000000109</c:v>
                </c:pt>
                <c:pt idx="939">
                  <c:v>8.5599999999994907</c:v>
                </c:pt>
                <c:pt idx="940">
                  <c:v>66.300000000000182</c:v>
                </c:pt>
                <c:pt idx="941">
                  <c:v>-7.0399999999999636</c:v>
                </c:pt>
                <c:pt idx="942">
                  <c:v>26.949999999999818</c:v>
                </c:pt>
                <c:pt idx="943">
                  <c:v>-3.2100000000000364</c:v>
                </c:pt>
                <c:pt idx="944">
                  <c:v>3.5900000000001455</c:v>
                </c:pt>
                <c:pt idx="945">
                  <c:v>-17.850000000000364</c:v>
                </c:pt>
                <c:pt idx="946">
                  <c:v>-26.769999999999527</c:v>
                </c:pt>
                <c:pt idx="947">
                  <c:v>41.729999999999563</c:v>
                </c:pt>
                <c:pt idx="948">
                  <c:v>58.8700000000008</c:v>
                </c:pt>
                <c:pt idx="949">
                  <c:v>10.619999999999891</c:v>
                </c:pt>
                <c:pt idx="950">
                  <c:v>14.170000000000073</c:v>
                </c:pt>
                <c:pt idx="951">
                  <c:v>3.9499999999998181</c:v>
                </c:pt>
                <c:pt idx="952">
                  <c:v>25.609999999999673</c:v>
                </c:pt>
                <c:pt idx="953">
                  <c:v>-3.1899999999995998</c:v>
                </c:pt>
                <c:pt idx="954">
                  <c:v>36.960000000000036</c:v>
                </c:pt>
                <c:pt idx="955">
                  <c:v>-2.9600000000000364</c:v>
                </c:pt>
                <c:pt idx="956">
                  <c:v>-79.320000000000618</c:v>
                </c:pt>
                <c:pt idx="957">
                  <c:v>60.539999999999964</c:v>
                </c:pt>
                <c:pt idx="958">
                  <c:v>52.420000000000073</c:v>
                </c:pt>
                <c:pt idx="959">
                  <c:v>-15.799999999999272</c:v>
                </c:pt>
                <c:pt idx="960">
                  <c:v>11.419999999999163</c:v>
                </c:pt>
                <c:pt idx="961">
                  <c:v>40.830000000000837</c:v>
                </c:pt>
                <c:pt idx="962">
                  <c:v>2.8499999999994543</c:v>
                </c:pt>
                <c:pt idx="963">
                  <c:v>28.699999999999818</c:v>
                </c:pt>
                <c:pt idx="964">
                  <c:v>-4.7699999999995271</c:v>
                </c:pt>
                <c:pt idx="965">
                  <c:v>-68.670000000000073</c:v>
                </c:pt>
                <c:pt idx="966">
                  <c:v>47.449999999999818</c:v>
                </c:pt>
                <c:pt idx="967">
                  <c:v>29.109999999999673</c:v>
                </c:pt>
                <c:pt idx="968">
                  <c:v>-24.159999999999854</c:v>
                </c:pt>
                <c:pt idx="969">
                  <c:v>-30.059999999999491</c:v>
                </c:pt>
                <c:pt idx="970">
                  <c:v>6.2899999999999636</c:v>
                </c:pt>
                <c:pt idx="971">
                  <c:v>105.22999999999956</c:v>
                </c:pt>
                <c:pt idx="972">
                  <c:v>1.7700000000004366</c:v>
                </c:pt>
                <c:pt idx="973">
                  <c:v>-19.270000000000437</c:v>
                </c:pt>
                <c:pt idx="974">
                  <c:v>8.6500000000005457</c:v>
                </c:pt>
                <c:pt idx="975">
                  <c:v>-8.4200000000000728</c:v>
                </c:pt>
                <c:pt idx="976">
                  <c:v>26.510000000000218</c:v>
                </c:pt>
                <c:pt idx="977">
                  <c:v>40.809999999999491</c:v>
                </c:pt>
                <c:pt idx="978">
                  <c:v>-6.1300000000001091</c:v>
                </c:pt>
                <c:pt idx="979">
                  <c:v>-52.300000000000182</c:v>
                </c:pt>
                <c:pt idx="980">
                  <c:v>26.110000000000582</c:v>
                </c:pt>
                <c:pt idx="981">
                  <c:v>52.599999999999454</c:v>
                </c:pt>
                <c:pt idx="982">
                  <c:v>-33.670000000000073</c:v>
                </c:pt>
                <c:pt idx="983">
                  <c:v>-5.75</c:v>
                </c:pt>
                <c:pt idx="984">
                  <c:v>57.330000000000837</c:v>
                </c:pt>
                <c:pt idx="985">
                  <c:v>-9.9600000000000364</c:v>
                </c:pt>
                <c:pt idx="986">
                  <c:v>-14.830000000000837</c:v>
                </c:pt>
                <c:pt idx="987">
                  <c:v>-33.389999999999418</c:v>
                </c:pt>
                <c:pt idx="988">
                  <c:v>32.329999999999927</c:v>
                </c:pt>
                <c:pt idx="989">
                  <c:v>29.090000000000146</c:v>
                </c:pt>
                <c:pt idx="990">
                  <c:v>46.109999999999673</c:v>
                </c:pt>
                <c:pt idx="991">
                  <c:v>16.909999999999854</c:v>
                </c:pt>
                <c:pt idx="992">
                  <c:v>-7.3499999999994543</c:v>
                </c:pt>
                <c:pt idx="993">
                  <c:v>-15.990000000000691</c:v>
                </c:pt>
                <c:pt idx="994">
                  <c:v>-14.609999999999673</c:v>
                </c:pt>
                <c:pt idx="995">
                  <c:v>44.909999999999854</c:v>
                </c:pt>
                <c:pt idx="996">
                  <c:v>5.8600000000005821</c:v>
                </c:pt>
                <c:pt idx="997">
                  <c:v>-10.579999999999927</c:v>
                </c:pt>
                <c:pt idx="998">
                  <c:v>-37.960000000000036</c:v>
                </c:pt>
                <c:pt idx="999">
                  <c:v>5.6799999999993815</c:v>
                </c:pt>
                <c:pt idx="1000">
                  <c:v>-64.279999999999745</c:v>
                </c:pt>
                <c:pt idx="1001">
                  <c:v>57.130000000000109</c:v>
                </c:pt>
                <c:pt idx="1002">
                  <c:v>-1.9499999999998181</c:v>
                </c:pt>
                <c:pt idx="1003">
                  <c:v>7.5199999999995271</c:v>
                </c:pt>
                <c:pt idx="1004">
                  <c:v>-49.269999999999527</c:v>
                </c:pt>
                <c:pt idx="1005">
                  <c:v>38.420000000000073</c:v>
                </c:pt>
                <c:pt idx="1006">
                  <c:v>-75.650000000000546</c:v>
                </c:pt>
                <c:pt idx="1007">
                  <c:v>-61.590000000000146</c:v>
                </c:pt>
                <c:pt idx="1008">
                  <c:v>-10.409999999999854</c:v>
                </c:pt>
                <c:pt idx="1009">
                  <c:v>-29.199999999999818</c:v>
                </c:pt>
                <c:pt idx="1010">
                  <c:v>-11.090000000000146</c:v>
                </c:pt>
                <c:pt idx="1011">
                  <c:v>-43.890000000000327</c:v>
                </c:pt>
                <c:pt idx="1012">
                  <c:v>43.3700000000008</c:v>
                </c:pt>
                <c:pt idx="1013">
                  <c:v>59.949999999999818</c:v>
                </c:pt>
                <c:pt idx="1014">
                  <c:v>1.0799999999999272</c:v>
                </c:pt>
                <c:pt idx="1015">
                  <c:v>-23.210000000000036</c:v>
                </c:pt>
                <c:pt idx="1016">
                  <c:v>51.539999999999964</c:v>
                </c:pt>
                <c:pt idx="1017">
                  <c:v>16.210000000000036</c:v>
                </c:pt>
                <c:pt idx="1018">
                  <c:v>-80.480000000000473</c:v>
                </c:pt>
                <c:pt idx="1019">
                  <c:v>-17.299999999999272</c:v>
                </c:pt>
                <c:pt idx="1020">
                  <c:v>45.809999999999491</c:v>
                </c:pt>
                <c:pt idx="1021">
                  <c:v>63.590000000000146</c:v>
                </c:pt>
                <c:pt idx="1022">
                  <c:v>52.949999999999818</c:v>
                </c:pt>
                <c:pt idx="1023">
                  <c:v>6.9600000000000364</c:v>
                </c:pt>
                <c:pt idx="1024">
                  <c:v>-2.9999999999745341E-2</c:v>
                </c:pt>
                <c:pt idx="1025">
                  <c:v>26.409999999999854</c:v>
                </c:pt>
                <c:pt idx="1026">
                  <c:v>8.6000000000003638</c:v>
                </c:pt>
                <c:pt idx="1027">
                  <c:v>-1.2600000000002183</c:v>
                </c:pt>
                <c:pt idx="1028">
                  <c:v>25.260000000000218</c:v>
                </c:pt>
                <c:pt idx="1029">
                  <c:v>61.469999999999345</c:v>
                </c:pt>
                <c:pt idx="1030">
                  <c:v>-11.049999999999272</c:v>
                </c:pt>
                <c:pt idx="1031">
                  <c:v>6.1700000000000728</c:v>
                </c:pt>
                <c:pt idx="1032">
                  <c:v>4.8599999999996726</c:v>
                </c:pt>
                <c:pt idx="1033">
                  <c:v>13.279999999999745</c:v>
                </c:pt>
                <c:pt idx="1034">
                  <c:v>-14.399999999999636</c:v>
                </c:pt>
                <c:pt idx="1035">
                  <c:v>-39.170000000000073</c:v>
                </c:pt>
                <c:pt idx="1036">
                  <c:v>36.880000000000109</c:v>
                </c:pt>
                <c:pt idx="1037">
                  <c:v>1.319999999999709</c:v>
                </c:pt>
                <c:pt idx="1038">
                  <c:v>-39.090000000000146</c:v>
                </c:pt>
                <c:pt idx="1039">
                  <c:v>-31.470000000000255</c:v>
                </c:pt>
                <c:pt idx="1040">
                  <c:v>42.030000000000655</c:v>
                </c:pt>
                <c:pt idx="1041">
                  <c:v>5.8899999999994179</c:v>
                </c:pt>
                <c:pt idx="1042">
                  <c:v>7.9400000000005093</c:v>
                </c:pt>
                <c:pt idx="1043">
                  <c:v>62.6899999999996</c:v>
                </c:pt>
                <c:pt idx="1044">
                  <c:v>-1.069999999999709</c:v>
                </c:pt>
                <c:pt idx="1045">
                  <c:v>-5.9700000000002547</c:v>
                </c:pt>
                <c:pt idx="1046">
                  <c:v>13.800000000000182</c:v>
                </c:pt>
                <c:pt idx="1047">
                  <c:v>14.529999999999745</c:v>
                </c:pt>
                <c:pt idx="1048">
                  <c:v>45.710000000000036</c:v>
                </c:pt>
                <c:pt idx="1049">
                  <c:v>12.710000000000036</c:v>
                </c:pt>
                <c:pt idx="1050">
                  <c:v>-2.1399999999994179</c:v>
                </c:pt>
                <c:pt idx="1051">
                  <c:v>41.6299999999992</c:v>
                </c:pt>
                <c:pt idx="1052">
                  <c:v>13.800000000000182</c:v>
                </c:pt>
                <c:pt idx="1053">
                  <c:v>-13.859999999999673</c:v>
                </c:pt>
                <c:pt idx="1054">
                  <c:v>-8.5500000000001819</c:v>
                </c:pt>
                <c:pt idx="1055">
                  <c:v>-16.75</c:v>
                </c:pt>
                <c:pt idx="1056">
                  <c:v>21.430000000000291</c:v>
                </c:pt>
                <c:pt idx="1057">
                  <c:v>8.5999999999994543</c:v>
                </c:pt>
                <c:pt idx="1058">
                  <c:v>4.9700000000002547</c:v>
                </c:pt>
                <c:pt idx="1059">
                  <c:v>-22.390000000000327</c:v>
                </c:pt>
                <c:pt idx="1060">
                  <c:v>14.610000000000582</c:v>
                </c:pt>
                <c:pt idx="1061">
                  <c:v>33.920000000000073</c:v>
                </c:pt>
                <c:pt idx="1062">
                  <c:v>28.010000000000218</c:v>
                </c:pt>
                <c:pt idx="1063">
                  <c:v>30.169999999999163</c:v>
                </c:pt>
                <c:pt idx="1064">
                  <c:v>5.660000000000764</c:v>
                </c:pt>
                <c:pt idx="1065">
                  <c:v>4.1299999999991996</c:v>
                </c:pt>
                <c:pt idx="1066">
                  <c:v>56.930000000000291</c:v>
                </c:pt>
                <c:pt idx="1067">
                  <c:v>-49.369999999999891</c:v>
                </c:pt>
                <c:pt idx="1068">
                  <c:v>30.8100000000004</c:v>
                </c:pt>
                <c:pt idx="1069">
                  <c:v>15.869999999999891</c:v>
                </c:pt>
                <c:pt idx="1070">
                  <c:v>35.979999999999563</c:v>
                </c:pt>
                <c:pt idx="1071">
                  <c:v>-78.929999999999382</c:v>
                </c:pt>
                <c:pt idx="1072">
                  <c:v>-43.680000000000291</c:v>
                </c:pt>
                <c:pt idx="1073">
                  <c:v>-39.590000000000146</c:v>
                </c:pt>
                <c:pt idx="1074">
                  <c:v>59.409999999999854</c:v>
                </c:pt>
                <c:pt idx="1075">
                  <c:v>-8.6700000000000728</c:v>
                </c:pt>
                <c:pt idx="1076">
                  <c:v>-128.60999999999967</c:v>
                </c:pt>
                <c:pt idx="1077">
                  <c:v>-27.909999999999854</c:v>
                </c:pt>
                <c:pt idx="1078">
                  <c:v>59.880000000000109</c:v>
                </c:pt>
                <c:pt idx="1079">
                  <c:v>4.4399999999995998</c:v>
                </c:pt>
                <c:pt idx="1080">
                  <c:v>-27.100000000000364</c:v>
                </c:pt>
                <c:pt idx="1081">
                  <c:v>85.860000000000582</c:v>
                </c:pt>
                <c:pt idx="1082">
                  <c:v>-75.619999999999891</c:v>
                </c:pt>
                <c:pt idx="1083">
                  <c:v>-100.11999999999989</c:v>
                </c:pt>
                <c:pt idx="1084">
                  <c:v>-160.23000000000047</c:v>
                </c:pt>
                <c:pt idx="1085">
                  <c:v>53.699999999999818</c:v>
                </c:pt>
                <c:pt idx="1086">
                  <c:v>-40.529999999999745</c:v>
                </c:pt>
                <c:pt idx="1087">
                  <c:v>119.8100000000004</c:v>
                </c:pt>
                <c:pt idx="1088">
                  <c:v>24.849999999999454</c:v>
                </c:pt>
                <c:pt idx="1089">
                  <c:v>0.23000000000047294</c:v>
                </c:pt>
                <c:pt idx="1090">
                  <c:v>90.039999999999964</c:v>
                </c:pt>
                <c:pt idx="1091">
                  <c:v>20.779999999999745</c:v>
                </c:pt>
                <c:pt idx="1092">
                  <c:v>88.010000000000218</c:v>
                </c:pt>
                <c:pt idx="1093">
                  <c:v>11.029999999999745</c:v>
                </c:pt>
                <c:pt idx="1094">
                  <c:v>54</c:v>
                </c:pt>
                <c:pt idx="1095">
                  <c:v>-11.130000000000109</c:v>
                </c:pt>
                <c:pt idx="1096">
                  <c:v>23.730000000000473</c:v>
                </c:pt>
                <c:pt idx="1097">
                  <c:v>-50.210000000000036</c:v>
                </c:pt>
                <c:pt idx="1098">
                  <c:v>63.969999999999345</c:v>
                </c:pt>
                <c:pt idx="1099">
                  <c:v>-17.769999999999527</c:v>
                </c:pt>
                <c:pt idx="1100">
                  <c:v>8.9600000000000364</c:v>
                </c:pt>
                <c:pt idx="1101">
                  <c:v>-33.619999999999891</c:v>
                </c:pt>
                <c:pt idx="1102">
                  <c:v>-0.22000000000025466</c:v>
                </c:pt>
                <c:pt idx="1103">
                  <c:v>56.4399999999996</c:v>
                </c:pt>
                <c:pt idx="1104">
                  <c:v>-119.46999999999935</c:v>
                </c:pt>
                <c:pt idx="1105">
                  <c:v>-8.8600000000005821</c:v>
                </c:pt>
                <c:pt idx="1106">
                  <c:v>-16.659999999999854</c:v>
                </c:pt>
                <c:pt idx="1107">
                  <c:v>-94.989999999999782</c:v>
                </c:pt>
                <c:pt idx="1108">
                  <c:v>62.630000000000109</c:v>
                </c:pt>
                <c:pt idx="1109">
                  <c:v>24.470000000000255</c:v>
                </c:pt>
                <c:pt idx="1110">
                  <c:v>58.609999999999673</c:v>
                </c:pt>
                <c:pt idx="1111">
                  <c:v>41.630000000000109</c:v>
                </c:pt>
                <c:pt idx="1112">
                  <c:v>30.260000000000218</c:v>
                </c:pt>
                <c:pt idx="1113">
                  <c:v>7.069999999999709</c:v>
                </c:pt>
                <c:pt idx="1114">
                  <c:v>1.4899999999997817</c:v>
                </c:pt>
                <c:pt idx="1115">
                  <c:v>-16.319999999999709</c:v>
                </c:pt>
                <c:pt idx="1116">
                  <c:v>95.380000000000109</c:v>
                </c:pt>
                <c:pt idx="1117">
                  <c:v>-11.090000000000146</c:v>
                </c:pt>
                <c:pt idx="1118">
                  <c:v>16.019999999999527</c:v>
                </c:pt>
                <c:pt idx="1119">
                  <c:v>14.360000000000582</c:v>
                </c:pt>
                <c:pt idx="1120">
                  <c:v>-10.670000000000073</c:v>
                </c:pt>
                <c:pt idx="1121">
                  <c:v>23.109999999999673</c:v>
                </c:pt>
                <c:pt idx="1122">
                  <c:v>-7.1999999999998181</c:v>
                </c:pt>
                <c:pt idx="1123">
                  <c:v>24.309999999999491</c:v>
                </c:pt>
                <c:pt idx="1124">
                  <c:v>-53.729999999999563</c:v>
                </c:pt>
                <c:pt idx="1125">
                  <c:v>0.78999999999996362</c:v>
                </c:pt>
                <c:pt idx="1126">
                  <c:v>-9.6000000000003638</c:v>
                </c:pt>
                <c:pt idx="1127">
                  <c:v>51.130000000000109</c:v>
                </c:pt>
                <c:pt idx="1128">
                  <c:v>-55.130000000000109</c:v>
                </c:pt>
                <c:pt idx="1129">
                  <c:v>55.190000000000509</c:v>
                </c:pt>
                <c:pt idx="1130">
                  <c:v>40.909999999999854</c:v>
                </c:pt>
                <c:pt idx="1131">
                  <c:v>-11.989999999999782</c:v>
                </c:pt>
                <c:pt idx="1132">
                  <c:v>34.979999999999563</c:v>
                </c:pt>
                <c:pt idx="1133">
                  <c:v>44.820000000000618</c:v>
                </c:pt>
                <c:pt idx="1134">
                  <c:v>-44.590000000000146</c:v>
                </c:pt>
                <c:pt idx="1135">
                  <c:v>27.210000000000036</c:v>
                </c:pt>
                <c:pt idx="1136">
                  <c:v>-1</c:v>
                </c:pt>
                <c:pt idx="1137">
                  <c:v>23.199999999999818</c:v>
                </c:pt>
                <c:pt idx="1138">
                  <c:v>-10.690000000000509</c:v>
                </c:pt>
                <c:pt idx="1139">
                  <c:v>-2.7799999999997453</c:v>
                </c:pt>
                <c:pt idx="1140">
                  <c:v>-53.779999999999745</c:v>
                </c:pt>
                <c:pt idx="1141">
                  <c:v>12.4399999999996</c:v>
                </c:pt>
                <c:pt idx="1142">
                  <c:v>-1.7399999999997817</c:v>
                </c:pt>
                <c:pt idx="1143">
                  <c:v>15.400000000000546</c:v>
                </c:pt>
                <c:pt idx="1144">
                  <c:v>9.3999999999996362</c:v>
                </c:pt>
                <c:pt idx="1145">
                  <c:v>-19.25</c:v>
                </c:pt>
                <c:pt idx="1146">
                  <c:v>-108.22000000000025</c:v>
                </c:pt>
                <c:pt idx="1147">
                  <c:v>23.350000000000364</c:v>
                </c:pt>
                <c:pt idx="1148">
                  <c:v>-16.110000000000582</c:v>
                </c:pt>
                <c:pt idx="1149">
                  <c:v>70.070000000000618</c:v>
                </c:pt>
                <c:pt idx="1150">
                  <c:v>146.27999999999975</c:v>
                </c:pt>
                <c:pt idx="1151">
                  <c:v>44.0600000000004</c:v>
                </c:pt>
                <c:pt idx="1152">
                  <c:v>22.4399999999996</c:v>
                </c:pt>
                <c:pt idx="1153">
                  <c:v>5.8100000000004002</c:v>
                </c:pt>
                <c:pt idx="1154">
                  <c:v>-17.360000000000582</c:v>
                </c:pt>
                <c:pt idx="1155">
                  <c:v>1.3900000000003274</c:v>
                </c:pt>
                <c:pt idx="1156">
                  <c:v>-36.210000000000036</c:v>
                </c:pt>
                <c:pt idx="1157">
                  <c:v>-78.550000000000182</c:v>
                </c:pt>
                <c:pt idx="1158">
                  <c:v>23</c:v>
                </c:pt>
                <c:pt idx="1159">
                  <c:v>23.359999999999673</c:v>
                </c:pt>
                <c:pt idx="1160">
                  <c:v>0.13000000000010914</c:v>
                </c:pt>
                <c:pt idx="1161">
                  <c:v>31.600000000000364</c:v>
                </c:pt>
                <c:pt idx="1162">
                  <c:v>20.630000000000109</c:v>
                </c:pt>
                <c:pt idx="1163">
                  <c:v>18.029999999999745</c:v>
                </c:pt>
                <c:pt idx="1164">
                  <c:v>34.260000000000218</c:v>
                </c:pt>
                <c:pt idx="1165">
                  <c:v>-22.890000000000327</c:v>
                </c:pt>
                <c:pt idx="1166">
                  <c:v>33.640000000000327</c:v>
                </c:pt>
                <c:pt idx="1167">
                  <c:v>14.769999999999527</c:v>
                </c:pt>
                <c:pt idx="1168">
                  <c:v>2.7300000000004729</c:v>
                </c:pt>
                <c:pt idx="1169">
                  <c:v>36.609999999999673</c:v>
                </c:pt>
                <c:pt idx="1170">
                  <c:v>-11.380000000000109</c:v>
                </c:pt>
                <c:pt idx="1171">
                  <c:v>15.160000000000764</c:v>
                </c:pt>
                <c:pt idx="1172">
                  <c:v>-37.420000000000073</c:v>
                </c:pt>
                <c:pt idx="1173">
                  <c:v>-17.940000000000509</c:v>
                </c:pt>
                <c:pt idx="1174">
                  <c:v>49.279999999999745</c:v>
                </c:pt>
                <c:pt idx="1175">
                  <c:v>-32.9399999999996</c:v>
                </c:pt>
                <c:pt idx="1176">
                  <c:v>-0.15999999999985448</c:v>
                </c:pt>
                <c:pt idx="1177">
                  <c:v>22.989999999999782</c:v>
                </c:pt>
                <c:pt idx="1178">
                  <c:v>-23.470000000000255</c:v>
                </c:pt>
                <c:pt idx="1179">
                  <c:v>-178.44999999999982</c:v>
                </c:pt>
                <c:pt idx="1180">
                  <c:v>-5.0799999999999272</c:v>
                </c:pt>
                <c:pt idx="1181">
                  <c:v>63.770000000000437</c:v>
                </c:pt>
                <c:pt idx="1182">
                  <c:v>43.219999999999345</c:v>
                </c:pt>
                <c:pt idx="1183">
                  <c:v>65.970000000000255</c:v>
                </c:pt>
                <c:pt idx="1184">
                  <c:v>-2.4499999999998181</c:v>
                </c:pt>
                <c:pt idx="1185">
                  <c:v>-66.75</c:v>
                </c:pt>
                <c:pt idx="1186">
                  <c:v>-63.900000000000546</c:v>
                </c:pt>
                <c:pt idx="1187">
                  <c:v>-25.309999999999491</c:v>
                </c:pt>
                <c:pt idx="1188">
                  <c:v>-13.079999999999927</c:v>
                </c:pt>
                <c:pt idx="1189">
                  <c:v>73.920000000000073</c:v>
                </c:pt>
                <c:pt idx="1190">
                  <c:v>32.909999999999854</c:v>
                </c:pt>
                <c:pt idx="1191">
                  <c:v>-66.350000000000364</c:v>
                </c:pt>
                <c:pt idx="1192">
                  <c:v>9.2200000000002547</c:v>
                </c:pt>
                <c:pt idx="1193">
                  <c:v>-91.210000000000036</c:v>
                </c:pt>
                <c:pt idx="1194">
                  <c:v>9.180000000000291</c:v>
                </c:pt>
                <c:pt idx="1195">
                  <c:v>6.6899999999995998</c:v>
                </c:pt>
                <c:pt idx="1196">
                  <c:v>107</c:v>
                </c:pt>
                <c:pt idx="1197">
                  <c:v>-12.569999999999709</c:v>
                </c:pt>
                <c:pt idx="1198">
                  <c:v>59.319999999999709</c:v>
                </c:pt>
                <c:pt idx="1199">
                  <c:v>52.579999999999927</c:v>
                </c:pt>
                <c:pt idx="1200">
                  <c:v>37.130000000000109</c:v>
                </c:pt>
                <c:pt idx="1201">
                  <c:v>32.340000000000146</c:v>
                </c:pt>
                <c:pt idx="1202">
                  <c:v>-17.470000000000255</c:v>
                </c:pt>
                <c:pt idx="1203">
                  <c:v>-88.960000000000036</c:v>
                </c:pt>
                <c:pt idx="1204">
                  <c:v>55.420000000000073</c:v>
                </c:pt>
                <c:pt idx="1205">
                  <c:v>-28.389999999999418</c:v>
                </c:pt>
                <c:pt idx="1206">
                  <c:v>31.859999999999673</c:v>
                </c:pt>
                <c:pt idx="1207">
                  <c:v>-30.640000000000327</c:v>
                </c:pt>
                <c:pt idx="1208">
                  <c:v>-45.960000000000036</c:v>
                </c:pt>
                <c:pt idx="1209">
                  <c:v>43.3100000000004</c:v>
                </c:pt>
                <c:pt idx="1210">
                  <c:v>23.599999999999454</c:v>
                </c:pt>
                <c:pt idx="1211">
                  <c:v>22.090000000000146</c:v>
                </c:pt>
                <c:pt idx="1212">
                  <c:v>-57.579999999999927</c:v>
                </c:pt>
                <c:pt idx="1213">
                  <c:v>40.449999999999818</c:v>
                </c:pt>
                <c:pt idx="1214">
                  <c:v>2.0600000000004002</c:v>
                </c:pt>
                <c:pt idx="1215">
                  <c:v>-16.529999999999745</c:v>
                </c:pt>
                <c:pt idx="1216">
                  <c:v>63.099999999999454</c:v>
                </c:pt>
                <c:pt idx="1217">
                  <c:v>-0.43999999999959982</c:v>
                </c:pt>
                <c:pt idx="1218">
                  <c:v>14.949999999999818</c:v>
                </c:pt>
                <c:pt idx="1219">
                  <c:v>14.569999999999709</c:v>
                </c:pt>
                <c:pt idx="1220">
                  <c:v>-26.6299999999992</c:v>
                </c:pt>
                <c:pt idx="1221">
                  <c:v>-104.39000000000033</c:v>
                </c:pt>
                <c:pt idx="1222">
                  <c:v>-29.880000000000109</c:v>
                </c:pt>
                <c:pt idx="1223">
                  <c:v>-28</c:v>
                </c:pt>
                <c:pt idx="1224">
                  <c:v>0.81000000000040018</c:v>
                </c:pt>
                <c:pt idx="1225">
                  <c:v>-94.490000000000691</c:v>
                </c:pt>
                <c:pt idx="1226">
                  <c:v>92.930000000000291</c:v>
                </c:pt>
                <c:pt idx="1227">
                  <c:v>-104.77999999999975</c:v>
                </c:pt>
                <c:pt idx="1228">
                  <c:v>-71.570000000000618</c:v>
                </c:pt>
                <c:pt idx="1229">
                  <c:v>64.480000000000473</c:v>
                </c:pt>
                <c:pt idx="1230">
                  <c:v>-104.10999999999967</c:v>
                </c:pt>
                <c:pt idx="1231">
                  <c:v>31.679999999999382</c:v>
                </c:pt>
                <c:pt idx="1232">
                  <c:v>-155.63999999999942</c:v>
                </c:pt>
                <c:pt idx="1233">
                  <c:v>-42.490000000000691</c:v>
                </c:pt>
                <c:pt idx="1234">
                  <c:v>27.230000000000473</c:v>
                </c:pt>
                <c:pt idx="1235">
                  <c:v>-77.779999999999745</c:v>
                </c:pt>
                <c:pt idx="1236">
                  <c:v>117.41999999999916</c:v>
                </c:pt>
                <c:pt idx="1237">
                  <c:v>36.180000000000291</c:v>
                </c:pt>
                <c:pt idx="1238">
                  <c:v>-60.460000000000036</c:v>
                </c:pt>
                <c:pt idx="1239">
                  <c:v>60.630000000000109</c:v>
                </c:pt>
                <c:pt idx="1240">
                  <c:v>-12.399999999999636</c:v>
                </c:pt>
                <c:pt idx="1241">
                  <c:v>4.6700000000000728</c:v>
                </c:pt>
                <c:pt idx="1242">
                  <c:v>100.00999999999931</c:v>
                </c:pt>
                <c:pt idx="1243">
                  <c:v>9.0799999999999272</c:v>
                </c:pt>
                <c:pt idx="1244">
                  <c:v>-64.449999999999818</c:v>
                </c:pt>
                <c:pt idx="1245">
                  <c:v>-18.889999999999418</c:v>
                </c:pt>
                <c:pt idx="1246">
                  <c:v>-112.3700000000008</c:v>
                </c:pt>
                <c:pt idx="1247">
                  <c:v>30.910000000000764</c:v>
                </c:pt>
                <c:pt idx="1248">
                  <c:v>21.219999999999345</c:v>
                </c:pt>
                <c:pt idx="1249">
                  <c:v>37.900000000000546</c:v>
                </c:pt>
                <c:pt idx="1250">
                  <c:v>-274.44999999999982</c:v>
                </c:pt>
                <c:pt idx="1251">
                  <c:v>-322.44000000000051</c:v>
                </c:pt>
                <c:pt idx="1252">
                  <c:v>-11.829999999999927</c:v>
                </c:pt>
                <c:pt idx="1253">
                  <c:v>-79.479999999999563</c:v>
                </c:pt>
                <c:pt idx="1254">
                  <c:v>474.1299999999992</c:v>
                </c:pt>
                <c:pt idx="1255">
                  <c:v>-188.84999999999945</c:v>
                </c:pt>
                <c:pt idx="1256">
                  <c:v>95.309999999999491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D-4DC7-96DF-D16113673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9196512"/>
        <c:axId val="2079184512"/>
      </c:lineChart>
      <c:dateAx>
        <c:axId val="2079196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184512"/>
        <c:crosses val="autoZero"/>
        <c:auto val="1"/>
        <c:lblOffset val="100"/>
        <c:baseTimeUnit val="days"/>
      </c:dateAx>
      <c:valAx>
        <c:axId val="207918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19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CovarianceStationaryWeaklyDepen!$F$1</c:f>
              <c:strCache>
                <c:ptCount val="1"/>
                <c:pt idx="0">
                  <c:v>diff(vix)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CovarianceStationaryWeaklyDepen!$A$2:$A$1259</c:f>
              <c:numCache>
                <c:formatCode>m/d/yyyy</c:formatCode>
                <c:ptCount val="1258"/>
                <c:pt idx="0">
                  <c:v>43935</c:v>
                </c:pt>
                <c:pt idx="1">
                  <c:v>43936</c:v>
                </c:pt>
                <c:pt idx="2">
                  <c:v>43937</c:v>
                </c:pt>
                <c:pt idx="3">
                  <c:v>43938</c:v>
                </c:pt>
                <c:pt idx="4">
                  <c:v>43941</c:v>
                </c:pt>
                <c:pt idx="5">
                  <c:v>43942</c:v>
                </c:pt>
                <c:pt idx="6">
                  <c:v>43943</c:v>
                </c:pt>
                <c:pt idx="7">
                  <c:v>43944</c:v>
                </c:pt>
                <c:pt idx="8">
                  <c:v>43945</c:v>
                </c:pt>
                <c:pt idx="9">
                  <c:v>43948</c:v>
                </c:pt>
                <c:pt idx="10">
                  <c:v>43949</c:v>
                </c:pt>
                <c:pt idx="11">
                  <c:v>43950</c:v>
                </c:pt>
                <c:pt idx="12">
                  <c:v>43951</c:v>
                </c:pt>
                <c:pt idx="13">
                  <c:v>43952</c:v>
                </c:pt>
                <c:pt idx="14">
                  <c:v>43955</c:v>
                </c:pt>
                <c:pt idx="15">
                  <c:v>43956</c:v>
                </c:pt>
                <c:pt idx="16">
                  <c:v>43957</c:v>
                </c:pt>
                <c:pt idx="17">
                  <c:v>43958</c:v>
                </c:pt>
                <c:pt idx="18">
                  <c:v>43959</c:v>
                </c:pt>
                <c:pt idx="19">
                  <c:v>43962</c:v>
                </c:pt>
                <c:pt idx="20">
                  <c:v>43963</c:v>
                </c:pt>
                <c:pt idx="21">
                  <c:v>43964</c:v>
                </c:pt>
                <c:pt idx="22">
                  <c:v>43965</c:v>
                </c:pt>
                <c:pt idx="23">
                  <c:v>43966</c:v>
                </c:pt>
                <c:pt idx="24">
                  <c:v>43969</c:v>
                </c:pt>
                <c:pt idx="25">
                  <c:v>43970</c:v>
                </c:pt>
                <c:pt idx="26">
                  <c:v>43971</c:v>
                </c:pt>
                <c:pt idx="27">
                  <c:v>43972</c:v>
                </c:pt>
                <c:pt idx="28">
                  <c:v>43973</c:v>
                </c:pt>
                <c:pt idx="29">
                  <c:v>43977</c:v>
                </c:pt>
                <c:pt idx="30">
                  <c:v>43978</c:v>
                </c:pt>
                <c:pt idx="31">
                  <c:v>43979</c:v>
                </c:pt>
                <c:pt idx="32">
                  <c:v>43980</c:v>
                </c:pt>
                <c:pt idx="33">
                  <c:v>43983</c:v>
                </c:pt>
                <c:pt idx="34">
                  <c:v>43984</c:v>
                </c:pt>
                <c:pt idx="35">
                  <c:v>43985</c:v>
                </c:pt>
                <c:pt idx="36">
                  <c:v>43986</c:v>
                </c:pt>
                <c:pt idx="37">
                  <c:v>43987</c:v>
                </c:pt>
                <c:pt idx="38">
                  <c:v>43990</c:v>
                </c:pt>
                <c:pt idx="39">
                  <c:v>43991</c:v>
                </c:pt>
                <c:pt idx="40">
                  <c:v>43992</c:v>
                </c:pt>
                <c:pt idx="41">
                  <c:v>43993</c:v>
                </c:pt>
                <c:pt idx="42">
                  <c:v>43994</c:v>
                </c:pt>
                <c:pt idx="43">
                  <c:v>43997</c:v>
                </c:pt>
                <c:pt idx="44">
                  <c:v>43998</c:v>
                </c:pt>
                <c:pt idx="45">
                  <c:v>43999</c:v>
                </c:pt>
                <c:pt idx="46">
                  <c:v>44000</c:v>
                </c:pt>
                <c:pt idx="47">
                  <c:v>44001</c:v>
                </c:pt>
                <c:pt idx="48">
                  <c:v>44004</c:v>
                </c:pt>
                <c:pt idx="49">
                  <c:v>44005</c:v>
                </c:pt>
                <c:pt idx="50">
                  <c:v>44006</c:v>
                </c:pt>
                <c:pt idx="51">
                  <c:v>44007</c:v>
                </c:pt>
                <c:pt idx="52">
                  <c:v>44008</c:v>
                </c:pt>
                <c:pt idx="53">
                  <c:v>44011</c:v>
                </c:pt>
                <c:pt idx="54">
                  <c:v>44012</c:v>
                </c:pt>
                <c:pt idx="55">
                  <c:v>44013</c:v>
                </c:pt>
                <c:pt idx="56">
                  <c:v>44014</c:v>
                </c:pt>
                <c:pt idx="57">
                  <c:v>44018</c:v>
                </c:pt>
                <c:pt idx="58">
                  <c:v>44019</c:v>
                </c:pt>
                <c:pt idx="59">
                  <c:v>44020</c:v>
                </c:pt>
                <c:pt idx="60">
                  <c:v>44021</c:v>
                </c:pt>
                <c:pt idx="61">
                  <c:v>44022</c:v>
                </c:pt>
                <c:pt idx="62">
                  <c:v>44025</c:v>
                </c:pt>
                <c:pt idx="63">
                  <c:v>44026</c:v>
                </c:pt>
                <c:pt idx="64">
                  <c:v>44027</c:v>
                </c:pt>
                <c:pt idx="65">
                  <c:v>44028</c:v>
                </c:pt>
                <c:pt idx="66">
                  <c:v>44029</c:v>
                </c:pt>
                <c:pt idx="67">
                  <c:v>44032</c:v>
                </c:pt>
                <c:pt idx="68">
                  <c:v>44033</c:v>
                </c:pt>
                <c:pt idx="69">
                  <c:v>44034</c:v>
                </c:pt>
                <c:pt idx="70">
                  <c:v>44035</c:v>
                </c:pt>
                <c:pt idx="71">
                  <c:v>44036</c:v>
                </c:pt>
                <c:pt idx="72">
                  <c:v>44039</c:v>
                </c:pt>
                <c:pt idx="73">
                  <c:v>44040</c:v>
                </c:pt>
                <c:pt idx="74">
                  <c:v>44041</c:v>
                </c:pt>
                <c:pt idx="75">
                  <c:v>44042</c:v>
                </c:pt>
                <c:pt idx="76">
                  <c:v>44043</c:v>
                </c:pt>
                <c:pt idx="77">
                  <c:v>44046</c:v>
                </c:pt>
                <c:pt idx="78">
                  <c:v>44047</c:v>
                </c:pt>
                <c:pt idx="79">
                  <c:v>44048</c:v>
                </c:pt>
                <c:pt idx="80">
                  <c:v>44049</c:v>
                </c:pt>
                <c:pt idx="81">
                  <c:v>44050</c:v>
                </c:pt>
                <c:pt idx="82">
                  <c:v>44053</c:v>
                </c:pt>
                <c:pt idx="83">
                  <c:v>44054</c:v>
                </c:pt>
                <c:pt idx="84">
                  <c:v>44055</c:v>
                </c:pt>
                <c:pt idx="85">
                  <c:v>44056</c:v>
                </c:pt>
                <c:pt idx="86">
                  <c:v>44057</c:v>
                </c:pt>
                <c:pt idx="87">
                  <c:v>44060</c:v>
                </c:pt>
                <c:pt idx="88">
                  <c:v>44061</c:v>
                </c:pt>
                <c:pt idx="89">
                  <c:v>44062</c:v>
                </c:pt>
                <c:pt idx="90">
                  <c:v>44063</c:v>
                </c:pt>
                <c:pt idx="91">
                  <c:v>44064</c:v>
                </c:pt>
                <c:pt idx="92">
                  <c:v>44067</c:v>
                </c:pt>
                <c:pt idx="93">
                  <c:v>44068</c:v>
                </c:pt>
                <c:pt idx="94">
                  <c:v>44069</c:v>
                </c:pt>
                <c:pt idx="95">
                  <c:v>44070</c:v>
                </c:pt>
                <c:pt idx="96">
                  <c:v>44071</c:v>
                </c:pt>
                <c:pt idx="97">
                  <c:v>44074</c:v>
                </c:pt>
                <c:pt idx="98">
                  <c:v>44075</c:v>
                </c:pt>
                <c:pt idx="99">
                  <c:v>44076</c:v>
                </c:pt>
                <c:pt idx="100">
                  <c:v>44077</c:v>
                </c:pt>
                <c:pt idx="101">
                  <c:v>44078</c:v>
                </c:pt>
                <c:pt idx="102">
                  <c:v>44082</c:v>
                </c:pt>
                <c:pt idx="103">
                  <c:v>44083</c:v>
                </c:pt>
                <c:pt idx="104">
                  <c:v>44084</c:v>
                </c:pt>
                <c:pt idx="105">
                  <c:v>44085</c:v>
                </c:pt>
                <c:pt idx="106">
                  <c:v>44088</c:v>
                </c:pt>
                <c:pt idx="107">
                  <c:v>44089</c:v>
                </c:pt>
                <c:pt idx="108">
                  <c:v>44090</c:v>
                </c:pt>
                <c:pt idx="109">
                  <c:v>44091</c:v>
                </c:pt>
                <c:pt idx="110">
                  <c:v>44092</c:v>
                </c:pt>
                <c:pt idx="111">
                  <c:v>44095</c:v>
                </c:pt>
                <c:pt idx="112">
                  <c:v>44096</c:v>
                </c:pt>
                <c:pt idx="113">
                  <c:v>44097</c:v>
                </c:pt>
                <c:pt idx="114">
                  <c:v>44098</c:v>
                </c:pt>
                <c:pt idx="115">
                  <c:v>44099</c:v>
                </c:pt>
                <c:pt idx="116">
                  <c:v>44102</c:v>
                </c:pt>
                <c:pt idx="117">
                  <c:v>44103</c:v>
                </c:pt>
                <c:pt idx="118">
                  <c:v>44104</c:v>
                </c:pt>
                <c:pt idx="119">
                  <c:v>44105</c:v>
                </c:pt>
                <c:pt idx="120">
                  <c:v>44106</c:v>
                </c:pt>
                <c:pt idx="121">
                  <c:v>44109</c:v>
                </c:pt>
                <c:pt idx="122">
                  <c:v>44110</c:v>
                </c:pt>
                <c:pt idx="123">
                  <c:v>44111</c:v>
                </c:pt>
                <c:pt idx="124">
                  <c:v>44112</c:v>
                </c:pt>
                <c:pt idx="125">
                  <c:v>44113</c:v>
                </c:pt>
                <c:pt idx="126">
                  <c:v>44116</c:v>
                </c:pt>
                <c:pt idx="127">
                  <c:v>44117</c:v>
                </c:pt>
                <c:pt idx="128">
                  <c:v>44118</c:v>
                </c:pt>
                <c:pt idx="129">
                  <c:v>44119</c:v>
                </c:pt>
                <c:pt idx="130">
                  <c:v>44120</c:v>
                </c:pt>
                <c:pt idx="131">
                  <c:v>44123</c:v>
                </c:pt>
                <c:pt idx="132">
                  <c:v>44124</c:v>
                </c:pt>
                <c:pt idx="133">
                  <c:v>44125</c:v>
                </c:pt>
                <c:pt idx="134">
                  <c:v>44126</c:v>
                </c:pt>
                <c:pt idx="135">
                  <c:v>44127</c:v>
                </c:pt>
                <c:pt idx="136">
                  <c:v>44130</c:v>
                </c:pt>
                <c:pt idx="137">
                  <c:v>44131</c:v>
                </c:pt>
                <c:pt idx="138">
                  <c:v>44132</c:v>
                </c:pt>
                <c:pt idx="139">
                  <c:v>44133</c:v>
                </c:pt>
                <c:pt idx="140">
                  <c:v>44134</c:v>
                </c:pt>
                <c:pt idx="141">
                  <c:v>44137</c:v>
                </c:pt>
                <c:pt idx="142">
                  <c:v>44138</c:v>
                </c:pt>
                <c:pt idx="143">
                  <c:v>44139</c:v>
                </c:pt>
                <c:pt idx="144">
                  <c:v>44140</c:v>
                </c:pt>
                <c:pt idx="145">
                  <c:v>44141</c:v>
                </c:pt>
                <c:pt idx="146">
                  <c:v>44144</c:v>
                </c:pt>
                <c:pt idx="147">
                  <c:v>44145</c:v>
                </c:pt>
                <c:pt idx="148">
                  <c:v>44146</c:v>
                </c:pt>
                <c:pt idx="149">
                  <c:v>44147</c:v>
                </c:pt>
                <c:pt idx="150">
                  <c:v>44148</c:v>
                </c:pt>
                <c:pt idx="151">
                  <c:v>44151</c:v>
                </c:pt>
                <c:pt idx="152">
                  <c:v>44152</c:v>
                </c:pt>
                <c:pt idx="153">
                  <c:v>44153</c:v>
                </c:pt>
                <c:pt idx="154">
                  <c:v>44154</c:v>
                </c:pt>
                <c:pt idx="155">
                  <c:v>44155</c:v>
                </c:pt>
                <c:pt idx="156">
                  <c:v>44158</c:v>
                </c:pt>
                <c:pt idx="157">
                  <c:v>44159</c:v>
                </c:pt>
                <c:pt idx="158">
                  <c:v>44160</c:v>
                </c:pt>
                <c:pt idx="159">
                  <c:v>44162</c:v>
                </c:pt>
                <c:pt idx="160">
                  <c:v>44165</c:v>
                </c:pt>
                <c:pt idx="161">
                  <c:v>44166</c:v>
                </c:pt>
                <c:pt idx="162">
                  <c:v>44167</c:v>
                </c:pt>
                <c:pt idx="163">
                  <c:v>44168</c:v>
                </c:pt>
                <c:pt idx="164">
                  <c:v>44169</c:v>
                </c:pt>
                <c:pt idx="165">
                  <c:v>44172</c:v>
                </c:pt>
                <c:pt idx="166">
                  <c:v>44173</c:v>
                </c:pt>
                <c:pt idx="167">
                  <c:v>44174</c:v>
                </c:pt>
                <c:pt idx="168">
                  <c:v>44175</c:v>
                </c:pt>
                <c:pt idx="169">
                  <c:v>44176</c:v>
                </c:pt>
                <c:pt idx="170">
                  <c:v>44179</c:v>
                </c:pt>
                <c:pt idx="171">
                  <c:v>44180</c:v>
                </c:pt>
                <c:pt idx="172">
                  <c:v>44181</c:v>
                </c:pt>
                <c:pt idx="173">
                  <c:v>44182</c:v>
                </c:pt>
                <c:pt idx="174">
                  <c:v>44183</c:v>
                </c:pt>
                <c:pt idx="175">
                  <c:v>44186</c:v>
                </c:pt>
                <c:pt idx="176">
                  <c:v>44187</c:v>
                </c:pt>
                <c:pt idx="177">
                  <c:v>44188</c:v>
                </c:pt>
                <c:pt idx="178">
                  <c:v>44189</c:v>
                </c:pt>
                <c:pt idx="179">
                  <c:v>44193</c:v>
                </c:pt>
                <c:pt idx="180">
                  <c:v>44194</c:v>
                </c:pt>
                <c:pt idx="181">
                  <c:v>44195</c:v>
                </c:pt>
                <c:pt idx="182">
                  <c:v>44196</c:v>
                </c:pt>
                <c:pt idx="183">
                  <c:v>44200</c:v>
                </c:pt>
                <c:pt idx="184">
                  <c:v>44201</c:v>
                </c:pt>
                <c:pt idx="185">
                  <c:v>44202</c:v>
                </c:pt>
                <c:pt idx="186">
                  <c:v>44203</c:v>
                </c:pt>
                <c:pt idx="187">
                  <c:v>44204</c:v>
                </c:pt>
                <c:pt idx="188">
                  <c:v>44207</c:v>
                </c:pt>
                <c:pt idx="189">
                  <c:v>44208</c:v>
                </c:pt>
                <c:pt idx="190">
                  <c:v>44209</c:v>
                </c:pt>
                <c:pt idx="191">
                  <c:v>44210</c:v>
                </c:pt>
                <c:pt idx="192">
                  <c:v>44211</c:v>
                </c:pt>
                <c:pt idx="193">
                  <c:v>44215</c:v>
                </c:pt>
                <c:pt idx="194">
                  <c:v>44216</c:v>
                </c:pt>
                <c:pt idx="195">
                  <c:v>44217</c:v>
                </c:pt>
                <c:pt idx="196">
                  <c:v>44218</c:v>
                </c:pt>
                <c:pt idx="197">
                  <c:v>44221</c:v>
                </c:pt>
                <c:pt idx="198">
                  <c:v>44222</c:v>
                </c:pt>
                <c:pt idx="199">
                  <c:v>44223</c:v>
                </c:pt>
                <c:pt idx="200">
                  <c:v>44224</c:v>
                </c:pt>
                <c:pt idx="201">
                  <c:v>44225</c:v>
                </c:pt>
                <c:pt idx="202">
                  <c:v>44228</c:v>
                </c:pt>
                <c:pt idx="203">
                  <c:v>44229</c:v>
                </c:pt>
                <c:pt idx="204">
                  <c:v>44230</c:v>
                </c:pt>
                <c:pt idx="205">
                  <c:v>44231</c:v>
                </c:pt>
                <c:pt idx="206">
                  <c:v>44232</c:v>
                </c:pt>
                <c:pt idx="207">
                  <c:v>44235</c:v>
                </c:pt>
                <c:pt idx="208">
                  <c:v>44236</c:v>
                </c:pt>
                <c:pt idx="209">
                  <c:v>44237</c:v>
                </c:pt>
                <c:pt idx="210">
                  <c:v>44238</c:v>
                </c:pt>
                <c:pt idx="211">
                  <c:v>44239</c:v>
                </c:pt>
                <c:pt idx="212">
                  <c:v>44243</c:v>
                </c:pt>
                <c:pt idx="213">
                  <c:v>44244</c:v>
                </c:pt>
                <c:pt idx="214">
                  <c:v>44245</c:v>
                </c:pt>
                <c:pt idx="215">
                  <c:v>44246</c:v>
                </c:pt>
                <c:pt idx="216">
                  <c:v>44249</c:v>
                </c:pt>
                <c:pt idx="217">
                  <c:v>44250</c:v>
                </c:pt>
                <c:pt idx="218">
                  <c:v>44251</c:v>
                </c:pt>
                <c:pt idx="219">
                  <c:v>44252</c:v>
                </c:pt>
                <c:pt idx="220">
                  <c:v>44253</c:v>
                </c:pt>
                <c:pt idx="221">
                  <c:v>44256</c:v>
                </c:pt>
                <c:pt idx="222">
                  <c:v>44257</c:v>
                </c:pt>
                <c:pt idx="223">
                  <c:v>44258</c:v>
                </c:pt>
                <c:pt idx="224">
                  <c:v>44259</c:v>
                </c:pt>
                <c:pt idx="225">
                  <c:v>44260</c:v>
                </c:pt>
                <c:pt idx="226">
                  <c:v>44263</c:v>
                </c:pt>
                <c:pt idx="227">
                  <c:v>44264</c:v>
                </c:pt>
                <c:pt idx="228">
                  <c:v>44265</c:v>
                </c:pt>
                <c:pt idx="229">
                  <c:v>44266</c:v>
                </c:pt>
                <c:pt idx="230">
                  <c:v>44267</c:v>
                </c:pt>
                <c:pt idx="231">
                  <c:v>44270</c:v>
                </c:pt>
                <c:pt idx="232">
                  <c:v>44271</c:v>
                </c:pt>
                <c:pt idx="233">
                  <c:v>44272</c:v>
                </c:pt>
                <c:pt idx="234">
                  <c:v>44273</c:v>
                </c:pt>
                <c:pt idx="235">
                  <c:v>44274</c:v>
                </c:pt>
                <c:pt idx="236">
                  <c:v>44277</c:v>
                </c:pt>
                <c:pt idx="237">
                  <c:v>44278</c:v>
                </c:pt>
                <c:pt idx="238">
                  <c:v>44279</c:v>
                </c:pt>
                <c:pt idx="239">
                  <c:v>44280</c:v>
                </c:pt>
                <c:pt idx="240">
                  <c:v>44281</c:v>
                </c:pt>
                <c:pt idx="241">
                  <c:v>44284</c:v>
                </c:pt>
                <c:pt idx="242">
                  <c:v>44285</c:v>
                </c:pt>
                <c:pt idx="243">
                  <c:v>44286</c:v>
                </c:pt>
                <c:pt idx="244">
                  <c:v>44287</c:v>
                </c:pt>
                <c:pt idx="245">
                  <c:v>44291</c:v>
                </c:pt>
                <c:pt idx="246">
                  <c:v>44292</c:v>
                </c:pt>
                <c:pt idx="247">
                  <c:v>44293</c:v>
                </c:pt>
                <c:pt idx="248">
                  <c:v>44294</c:v>
                </c:pt>
                <c:pt idx="249">
                  <c:v>44295</c:v>
                </c:pt>
                <c:pt idx="250">
                  <c:v>44298</c:v>
                </c:pt>
                <c:pt idx="251">
                  <c:v>44299</c:v>
                </c:pt>
                <c:pt idx="252">
                  <c:v>44300</c:v>
                </c:pt>
                <c:pt idx="253">
                  <c:v>44301</c:v>
                </c:pt>
                <c:pt idx="254">
                  <c:v>44302</c:v>
                </c:pt>
                <c:pt idx="255">
                  <c:v>44305</c:v>
                </c:pt>
                <c:pt idx="256">
                  <c:v>44306</c:v>
                </c:pt>
                <c:pt idx="257">
                  <c:v>44307</c:v>
                </c:pt>
                <c:pt idx="258">
                  <c:v>44308</c:v>
                </c:pt>
                <c:pt idx="259">
                  <c:v>44309</c:v>
                </c:pt>
                <c:pt idx="260">
                  <c:v>44312</c:v>
                </c:pt>
                <c:pt idx="261">
                  <c:v>44313</c:v>
                </c:pt>
                <c:pt idx="262">
                  <c:v>44314</c:v>
                </c:pt>
                <c:pt idx="263">
                  <c:v>44315</c:v>
                </c:pt>
                <c:pt idx="264">
                  <c:v>44316</c:v>
                </c:pt>
                <c:pt idx="265">
                  <c:v>44319</c:v>
                </c:pt>
                <c:pt idx="266">
                  <c:v>44320</c:v>
                </c:pt>
                <c:pt idx="267">
                  <c:v>44321</c:v>
                </c:pt>
                <c:pt idx="268">
                  <c:v>44322</c:v>
                </c:pt>
                <c:pt idx="269">
                  <c:v>44323</c:v>
                </c:pt>
                <c:pt idx="270">
                  <c:v>44326</c:v>
                </c:pt>
                <c:pt idx="271">
                  <c:v>44327</c:v>
                </c:pt>
                <c:pt idx="272">
                  <c:v>44328</c:v>
                </c:pt>
                <c:pt idx="273">
                  <c:v>44329</c:v>
                </c:pt>
                <c:pt idx="274">
                  <c:v>44330</c:v>
                </c:pt>
                <c:pt idx="275">
                  <c:v>44333</c:v>
                </c:pt>
                <c:pt idx="276">
                  <c:v>44334</c:v>
                </c:pt>
                <c:pt idx="277">
                  <c:v>44335</c:v>
                </c:pt>
                <c:pt idx="278">
                  <c:v>44336</c:v>
                </c:pt>
                <c:pt idx="279">
                  <c:v>44337</c:v>
                </c:pt>
                <c:pt idx="280">
                  <c:v>44340</c:v>
                </c:pt>
                <c:pt idx="281">
                  <c:v>44341</c:v>
                </c:pt>
                <c:pt idx="282">
                  <c:v>44342</c:v>
                </c:pt>
                <c:pt idx="283">
                  <c:v>44343</c:v>
                </c:pt>
                <c:pt idx="284">
                  <c:v>44344</c:v>
                </c:pt>
                <c:pt idx="285">
                  <c:v>44348</c:v>
                </c:pt>
                <c:pt idx="286">
                  <c:v>44349</c:v>
                </c:pt>
                <c:pt idx="287">
                  <c:v>44350</c:v>
                </c:pt>
                <c:pt idx="288">
                  <c:v>44351</c:v>
                </c:pt>
                <c:pt idx="289">
                  <c:v>44354</c:v>
                </c:pt>
                <c:pt idx="290">
                  <c:v>44355</c:v>
                </c:pt>
                <c:pt idx="291">
                  <c:v>44356</c:v>
                </c:pt>
                <c:pt idx="292">
                  <c:v>44357</c:v>
                </c:pt>
                <c:pt idx="293">
                  <c:v>44358</c:v>
                </c:pt>
                <c:pt idx="294">
                  <c:v>44361</c:v>
                </c:pt>
                <c:pt idx="295">
                  <c:v>44362</c:v>
                </c:pt>
                <c:pt idx="296">
                  <c:v>44363</c:v>
                </c:pt>
                <c:pt idx="297">
                  <c:v>44364</c:v>
                </c:pt>
                <c:pt idx="298">
                  <c:v>44365</c:v>
                </c:pt>
                <c:pt idx="299">
                  <c:v>44368</c:v>
                </c:pt>
                <c:pt idx="300">
                  <c:v>44369</c:v>
                </c:pt>
                <c:pt idx="301">
                  <c:v>44370</c:v>
                </c:pt>
                <c:pt idx="302">
                  <c:v>44371</c:v>
                </c:pt>
                <c:pt idx="303">
                  <c:v>44372</c:v>
                </c:pt>
                <c:pt idx="304">
                  <c:v>44375</c:v>
                </c:pt>
                <c:pt idx="305">
                  <c:v>44376</c:v>
                </c:pt>
                <c:pt idx="306">
                  <c:v>44377</c:v>
                </c:pt>
                <c:pt idx="307">
                  <c:v>44378</c:v>
                </c:pt>
                <c:pt idx="308">
                  <c:v>44379</c:v>
                </c:pt>
                <c:pt idx="309">
                  <c:v>44383</c:v>
                </c:pt>
                <c:pt idx="310">
                  <c:v>44384</c:v>
                </c:pt>
                <c:pt idx="311">
                  <c:v>44385</c:v>
                </c:pt>
                <c:pt idx="312">
                  <c:v>44386</c:v>
                </c:pt>
                <c:pt idx="313">
                  <c:v>44389</c:v>
                </c:pt>
                <c:pt idx="314">
                  <c:v>44390</c:v>
                </c:pt>
                <c:pt idx="315">
                  <c:v>44391</c:v>
                </c:pt>
                <c:pt idx="316">
                  <c:v>44392</c:v>
                </c:pt>
                <c:pt idx="317">
                  <c:v>44393</c:v>
                </c:pt>
                <c:pt idx="318">
                  <c:v>44396</c:v>
                </c:pt>
                <c:pt idx="319">
                  <c:v>44397</c:v>
                </c:pt>
                <c:pt idx="320">
                  <c:v>44398</c:v>
                </c:pt>
                <c:pt idx="321">
                  <c:v>44399</c:v>
                </c:pt>
                <c:pt idx="322">
                  <c:v>44400</c:v>
                </c:pt>
                <c:pt idx="323">
                  <c:v>44403</c:v>
                </c:pt>
                <c:pt idx="324">
                  <c:v>44404</c:v>
                </c:pt>
                <c:pt idx="325">
                  <c:v>44405</c:v>
                </c:pt>
                <c:pt idx="326">
                  <c:v>44406</c:v>
                </c:pt>
                <c:pt idx="327">
                  <c:v>44407</c:v>
                </c:pt>
                <c:pt idx="328">
                  <c:v>44410</c:v>
                </c:pt>
                <c:pt idx="329">
                  <c:v>44411</c:v>
                </c:pt>
                <c:pt idx="330">
                  <c:v>44412</c:v>
                </c:pt>
                <c:pt idx="331">
                  <c:v>44413</c:v>
                </c:pt>
                <c:pt idx="332">
                  <c:v>44414</c:v>
                </c:pt>
                <c:pt idx="333">
                  <c:v>44417</c:v>
                </c:pt>
                <c:pt idx="334">
                  <c:v>44418</c:v>
                </c:pt>
                <c:pt idx="335">
                  <c:v>44419</c:v>
                </c:pt>
                <c:pt idx="336">
                  <c:v>44420</c:v>
                </c:pt>
                <c:pt idx="337">
                  <c:v>44421</c:v>
                </c:pt>
                <c:pt idx="338">
                  <c:v>44424</c:v>
                </c:pt>
                <c:pt idx="339">
                  <c:v>44425</c:v>
                </c:pt>
                <c:pt idx="340">
                  <c:v>44426</c:v>
                </c:pt>
                <c:pt idx="341">
                  <c:v>44427</c:v>
                </c:pt>
                <c:pt idx="342">
                  <c:v>44428</c:v>
                </c:pt>
                <c:pt idx="343">
                  <c:v>44431</c:v>
                </c:pt>
                <c:pt idx="344">
                  <c:v>44432</c:v>
                </c:pt>
                <c:pt idx="345">
                  <c:v>44433</c:v>
                </c:pt>
                <c:pt idx="346">
                  <c:v>44434</c:v>
                </c:pt>
                <c:pt idx="347">
                  <c:v>44435</c:v>
                </c:pt>
                <c:pt idx="348">
                  <c:v>44438</c:v>
                </c:pt>
                <c:pt idx="349">
                  <c:v>44439</c:v>
                </c:pt>
                <c:pt idx="350">
                  <c:v>44440</c:v>
                </c:pt>
                <c:pt idx="351">
                  <c:v>44441</c:v>
                </c:pt>
                <c:pt idx="352">
                  <c:v>44442</c:v>
                </c:pt>
                <c:pt idx="353">
                  <c:v>44446</c:v>
                </c:pt>
                <c:pt idx="354">
                  <c:v>44447</c:v>
                </c:pt>
                <c:pt idx="355">
                  <c:v>44448</c:v>
                </c:pt>
                <c:pt idx="356">
                  <c:v>44449</c:v>
                </c:pt>
                <c:pt idx="357">
                  <c:v>44452</c:v>
                </c:pt>
                <c:pt idx="358">
                  <c:v>44453</c:v>
                </c:pt>
                <c:pt idx="359">
                  <c:v>44454</c:v>
                </c:pt>
                <c:pt idx="360">
                  <c:v>44455</c:v>
                </c:pt>
                <c:pt idx="361">
                  <c:v>44456</c:v>
                </c:pt>
                <c:pt idx="362">
                  <c:v>44459</c:v>
                </c:pt>
                <c:pt idx="363">
                  <c:v>44460</c:v>
                </c:pt>
                <c:pt idx="364">
                  <c:v>44461</c:v>
                </c:pt>
                <c:pt idx="365">
                  <c:v>44462</c:v>
                </c:pt>
                <c:pt idx="366">
                  <c:v>44463</c:v>
                </c:pt>
                <c:pt idx="367">
                  <c:v>44466</c:v>
                </c:pt>
                <c:pt idx="368">
                  <c:v>44467</c:v>
                </c:pt>
                <c:pt idx="369">
                  <c:v>44468</c:v>
                </c:pt>
                <c:pt idx="370">
                  <c:v>44469</c:v>
                </c:pt>
                <c:pt idx="371">
                  <c:v>44470</c:v>
                </c:pt>
                <c:pt idx="372">
                  <c:v>44473</c:v>
                </c:pt>
                <c:pt idx="373">
                  <c:v>44474</c:v>
                </c:pt>
                <c:pt idx="374">
                  <c:v>44475</c:v>
                </c:pt>
                <c:pt idx="375">
                  <c:v>44476</c:v>
                </c:pt>
                <c:pt idx="376">
                  <c:v>44477</c:v>
                </c:pt>
                <c:pt idx="377">
                  <c:v>44480</c:v>
                </c:pt>
                <c:pt idx="378">
                  <c:v>44481</c:v>
                </c:pt>
                <c:pt idx="379">
                  <c:v>44482</c:v>
                </c:pt>
                <c:pt idx="380">
                  <c:v>44483</c:v>
                </c:pt>
                <c:pt idx="381">
                  <c:v>44484</c:v>
                </c:pt>
                <c:pt idx="382">
                  <c:v>44487</c:v>
                </c:pt>
                <c:pt idx="383">
                  <c:v>44488</c:v>
                </c:pt>
                <c:pt idx="384">
                  <c:v>44489</c:v>
                </c:pt>
                <c:pt idx="385">
                  <c:v>44490</c:v>
                </c:pt>
                <c:pt idx="386">
                  <c:v>44491</c:v>
                </c:pt>
                <c:pt idx="387">
                  <c:v>44494</c:v>
                </c:pt>
                <c:pt idx="388">
                  <c:v>44495</c:v>
                </c:pt>
                <c:pt idx="389">
                  <c:v>44496</c:v>
                </c:pt>
                <c:pt idx="390">
                  <c:v>44497</c:v>
                </c:pt>
                <c:pt idx="391">
                  <c:v>44498</c:v>
                </c:pt>
                <c:pt idx="392">
                  <c:v>44501</c:v>
                </c:pt>
                <c:pt idx="393">
                  <c:v>44502</c:v>
                </c:pt>
                <c:pt idx="394">
                  <c:v>44503</c:v>
                </c:pt>
                <c:pt idx="395">
                  <c:v>44504</c:v>
                </c:pt>
                <c:pt idx="396">
                  <c:v>44505</c:v>
                </c:pt>
                <c:pt idx="397">
                  <c:v>44508</c:v>
                </c:pt>
                <c:pt idx="398">
                  <c:v>44509</c:v>
                </c:pt>
                <c:pt idx="399">
                  <c:v>44510</c:v>
                </c:pt>
                <c:pt idx="400">
                  <c:v>44511</c:v>
                </c:pt>
                <c:pt idx="401">
                  <c:v>44512</c:v>
                </c:pt>
                <c:pt idx="402">
                  <c:v>44515</c:v>
                </c:pt>
                <c:pt idx="403">
                  <c:v>44516</c:v>
                </c:pt>
                <c:pt idx="404">
                  <c:v>44517</c:v>
                </c:pt>
                <c:pt idx="405">
                  <c:v>44518</c:v>
                </c:pt>
                <c:pt idx="406">
                  <c:v>44519</c:v>
                </c:pt>
                <c:pt idx="407">
                  <c:v>44522</c:v>
                </c:pt>
                <c:pt idx="408">
                  <c:v>44523</c:v>
                </c:pt>
                <c:pt idx="409">
                  <c:v>44524</c:v>
                </c:pt>
                <c:pt idx="410">
                  <c:v>44526</c:v>
                </c:pt>
                <c:pt idx="411">
                  <c:v>44529</c:v>
                </c:pt>
                <c:pt idx="412">
                  <c:v>44530</c:v>
                </c:pt>
                <c:pt idx="413">
                  <c:v>44531</c:v>
                </c:pt>
                <c:pt idx="414">
                  <c:v>44532</c:v>
                </c:pt>
                <c:pt idx="415">
                  <c:v>44533</c:v>
                </c:pt>
                <c:pt idx="416">
                  <c:v>44536</c:v>
                </c:pt>
                <c:pt idx="417">
                  <c:v>44537</c:v>
                </c:pt>
                <c:pt idx="418">
                  <c:v>44538</c:v>
                </c:pt>
                <c:pt idx="419">
                  <c:v>44539</c:v>
                </c:pt>
                <c:pt idx="420">
                  <c:v>44540</c:v>
                </c:pt>
                <c:pt idx="421">
                  <c:v>44543</c:v>
                </c:pt>
                <c:pt idx="422">
                  <c:v>44544</c:v>
                </c:pt>
                <c:pt idx="423">
                  <c:v>44545</c:v>
                </c:pt>
                <c:pt idx="424">
                  <c:v>44546</c:v>
                </c:pt>
                <c:pt idx="425">
                  <c:v>44547</c:v>
                </c:pt>
                <c:pt idx="426">
                  <c:v>44550</c:v>
                </c:pt>
                <c:pt idx="427">
                  <c:v>44551</c:v>
                </c:pt>
                <c:pt idx="428">
                  <c:v>44552</c:v>
                </c:pt>
                <c:pt idx="429">
                  <c:v>44553</c:v>
                </c:pt>
                <c:pt idx="430">
                  <c:v>44557</c:v>
                </c:pt>
                <c:pt idx="431">
                  <c:v>44558</c:v>
                </c:pt>
                <c:pt idx="432">
                  <c:v>44559</c:v>
                </c:pt>
                <c:pt idx="433">
                  <c:v>44560</c:v>
                </c:pt>
                <c:pt idx="434">
                  <c:v>44561</c:v>
                </c:pt>
                <c:pt idx="435">
                  <c:v>44564</c:v>
                </c:pt>
                <c:pt idx="436">
                  <c:v>44565</c:v>
                </c:pt>
                <c:pt idx="437">
                  <c:v>44566</c:v>
                </c:pt>
                <c:pt idx="438">
                  <c:v>44567</c:v>
                </c:pt>
                <c:pt idx="439">
                  <c:v>44568</c:v>
                </c:pt>
                <c:pt idx="440">
                  <c:v>44571</c:v>
                </c:pt>
                <c:pt idx="441">
                  <c:v>44572</c:v>
                </c:pt>
                <c:pt idx="442">
                  <c:v>44573</c:v>
                </c:pt>
                <c:pt idx="443">
                  <c:v>44574</c:v>
                </c:pt>
                <c:pt idx="444">
                  <c:v>44575</c:v>
                </c:pt>
                <c:pt idx="445">
                  <c:v>44579</c:v>
                </c:pt>
                <c:pt idx="446">
                  <c:v>44580</c:v>
                </c:pt>
                <c:pt idx="447">
                  <c:v>44581</c:v>
                </c:pt>
                <c:pt idx="448">
                  <c:v>44582</c:v>
                </c:pt>
                <c:pt idx="449">
                  <c:v>44585</c:v>
                </c:pt>
                <c:pt idx="450">
                  <c:v>44586</c:v>
                </c:pt>
                <c:pt idx="451">
                  <c:v>44587</c:v>
                </c:pt>
                <c:pt idx="452">
                  <c:v>44588</c:v>
                </c:pt>
                <c:pt idx="453">
                  <c:v>44589</c:v>
                </c:pt>
                <c:pt idx="454">
                  <c:v>44592</c:v>
                </c:pt>
                <c:pt idx="455">
                  <c:v>44593</c:v>
                </c:pt>
                <c:pt idx="456">
                  <c:v>44594</c:v>
                </c:pt>
                <c:pt idx="457">
                  <c:v>44595</c:v>
                </c:pt>
                <c:pt idx="458">
                  <c:v>44596</c:v>
                </c:pt>
                <c:pt idx="459">
                  <c:v>44599</c:v>
                </c:pt>
                <c:pt idx="460">
                  <c:v>44600</c:v>
                </c:pt>
                <c:pt idx="461">
                  <c:v>44601</c:v>
                </c:pt>
                <c:pt idx="462">
                  <c:v>44602</c:v>
                </c:pt>
                <c:pt idx="463">
                  <c:v>44603</c:v>
                </c:pt>
                <c:pt idx="464">
                  <c:v>44606</c:v>
                </c:pt>
                <c:pt idx="465">
                  <c:v>44607</c:v>
                </c:pt>
                <c:pt idx="466">
                  <c:v>44608</c:v>
                </c:pt>
                <c:pt idx="467">
                  <c:v>44609</c:v>
                </c:pt>
                <c:pt idx="468">
                  <c:v>44610</c:v>
                </c:pt>
                <c:pt idx="469">
                  <c:v>44614</c:v>
                </c:pt>
                <c:pt idx="470">
                  <c:v>44615</c:v>
                </c:pt>
                <c:pt idx="471">
                  <c:v>44616</c:v>
                </c:pt>
                <c:pt idx="472">
                  <c:v>44617</c:v>
                </c:pt>
                <c:pt idx="473">
                  <c:v>44620</c:v>
                </c:pt>
                <c:pt idx="474">
                  <c:v>44621</c:v>
                </c:pt>
                <c:pt idx="475">
                  <c:v>44622</c:v>
                </c:pt>
                <c:pt idx="476">
                  <c:v>44623</c:v>
                </c:pt>
                <c:pt idx="477">
                  <c:v>44624</c:v>
                </c:pt>
                <c:pt idx="478">
                  <c:v>44627</c:v>
                </c:pt>
                <c:pt idx="479">
                  <c:v>44628</c:v>
                </c:pt>
                <c:pt idx="480">
                  <c:v>44629</c:v>
                </c:pt>
                <c:pt idx="481">
                  <c:v>44630</c:v>
                </c:pt>
                <c:pt idx="482">
                  <c:v>44631</c:v>
                </c:pt>
                <c:pt idx="483">
                  <c:v>44634</c:v>
                </c:pt>
                <c:pt idx="484">
                  <c:v>44635</c:v>
                </c:pt>
                <c:pt idx="485">
                  <c:v>44636</c:v>
                </c:pt>
                <c:pt idx="486">
                  <c:v>44637</c:v>
                </c:pt>
                <c:pt idx="487">
                  <c:v>44638</c:v>
                </c:pt>
                <c:pt idx="488">
                  <c:v>44641</c:v>
                </c:pt>
                <c:pt idx="489">
                  <c:v>44642</c:v>
                </c:pt>
                <c:pt idx="490">
                  <c:v>44643</c:v>
                </c:pt>
                <c:pt idx="491">
                  <c:v>44644</c:v>
                </c:pt>
                <c:pt idx="492">
                  <c:v>44645</c:v>
                </c:pt>
                <c:pt idx="493">
                  <c:v>44648</c:v>
                </c:pt>
                <c:pt idx="494">
                  <c:v>44649</c:v>
                </c:pt>
                <c:pt idx="495">
                  <c:v>44650</c:v>
                </c:pt>
                <c:pt idx="496">
                  <c:v>44651</c:v>
                </c:pt>
                <c:pt idx="497">
                  <c:v>44652</c:v>
                </c:pt>
                <c:pt idx="498">
                  <c:v>44655</c:v>
                </c:pt>
                <c:pt idx="499">
                  <c:v>44656</c:v>
                </c:pt>
                <c:pt idx="500">
                  <c:v>44657</c:v>
                </c:pt>
                <c:pt idx="501">
                  <c:v>44658</c:v>
                </c:pt>
                <c:pt idx="502">
                  <c:v>44659</c:v>
                </c:pt>
                <c:pt idx="503">
                  <c:v>44662</c:v>
                </c:pt>
                <c:pt idx="504">
                  <c:v>44663</c:v>
                </c:pt>
                <c:pt idx="505">
                  <c:v>44664</c:v>
                </c:pt>
                <c:pt idx="506">
                  <c:v>44665</c:v>
                </c:pt>
                <c:pt idx="507">
                  <c:v>44669</c:v>
                </c:pt>
                <c:pt idx="508">
                  <c:v>44670</c:v>
                </c:pt>
                <c:pt idx="509">
                  <c:v>44671</c:v>
                </c:pt>
                <c:pt idx="510">
                  <c:v>44672</c:v>
                </c:pt>
                <c:pt idx="511">
                  <c:v>44673</c:v>
                </c:pt>
                <c:pt idx="512">
                  <c:v>44676</c:v>
                </c:pt>
                <c:pt idx="513">
                  <c:v>44677</c:v>
                </c:pt>
                <c:pt idx="514">
                  <c:v>44678</c:v>
                </c:pt>
                <c:pt idx="515">
                  <c:v>44679</c:v>
                </c:pt>
                <c:pt idx="516">
                  <c:v>44680</c:v>
                </c:pt>
                <c:pt idx="517">
                  <c:v>44683</c:v>
                </c:pt>
                <c:pt idx="518">
                  <c:v>44684</c:v>
                </c:pt>
                <c:pt idx="519">
                  <c:v>44685</c:v>
                </c:pt>
                <c:pt idx="520">
                  <c:v>44686</c:v>
                </c:pt>
                <c:pt idx="521">
                  <c:v>44687</c:v>
                </c:pt>
                <c:pt idx="522">
                  <c:v>44690</c:v>
                </c:pt>
                <c:pt idx="523">
                  <c:v>44691</c:v>
                </c:pt>
                <c:pt idx="524">
                  <c:v>44692</c:v>
                </c:pt>
                <c:pt idx="525">
                  <c:v>44693</c:v>
                </c:pt>
                <c:pt idx="526">
                  <c:v>44694</c:v>
                </c:pt>
                <c:pt idx="527">
                  <c:v>44697</c:v>
                </c:pt>
                <c:pt idx="528">
                  <c:v>44698</c:v>
                </c:pt>
                <c:pt idx="529">
                  <c:v>44699</c:v>
                </c:pt>
                <c:pt idx="530">
                  <c:v>44700</c:v>
                </c:pt>
                <c:pt idx="531">
                  <c:v>44701</c:v>
                </c:pt>
                <c:pt idx="532">
                  <c:v>44704</c:v>
                </c:pt>
                <c:pt idx="533">
                  <c:v>44705</c:v>
                </c:pt>
                <c:pt idx="534">
                  <c:v>44706</c:v>
                </c:pt>
                <c:pt idx="535">
                  <c:v>44707</c:v>
                </c:pt>
                <c:pt idx="536">
                  <c:v>44708</c:v>
                </c:pt>
                <c:pt idx="537">
                  <c:v>44712</c:v>
                </c:pt>
                <c:pt idx="538">
                  <c:v>44713</c:v>
                </c:pt>
                <c:pt idx="539">
                  <c:v>44714</c:v>
                </c:pt>
                <c:pt idx="540">
                  <c:v>44715</c:v>
                </c:pt>
                <c:pt idx="541">
                  <c:v>44718</c:v>
                </c:pt>
                <c:pt idx="542">
                  <c:v>44719</c:v>
                </c:pt>
                <c:pt idx="543">
                  <c:v>44720</c:v>
                </c:pt>
                <c:pt idx="544">
                  <c:v>44721</c:v>
                </c:pt>
                <c:pt idx="545">
                  <c:v>44722</c:v>
                </c:pt>
                <c:pt idx="546">
                  <c:v>44725</c:v>
                </c:pt>
                <c:pt idx="547">
                  <c:v>44726</c:v>
                </c:pt>
                <c:pt idx="548">
                  <c:v>44727</c:v>
                </c:pt>
                <c:pt idx="549">
                  <c:v>44728</c:v>
                </c:pt>
                <c:pt idx="550">
                  <c:v>44729</c:v>
                </c:pt>
                <c:pt idx="551">
                  <c:v>44733</c:v>
                </c:pt>
                <c:pt idx="552">
                  <c:v>44734</c:v>
                </c:pt>
                <c:pt idx="553">
                  <c:v>44735</c:v>
                </c:pt>
                <c:pt idx="554">
                  <c:v>44736</c:v>
                </c:pt>
                <c:pt idx="555">
                  <c:v>44739</c:v>
                </c:pt>
                <c:pt idx="556">
                  <c:v>44740</c:v>
                </c:pt>
                <c:pt idx="557">
                  <c:v>44741</c:v>
                </c:pt>
                <c:pt idx="558">
                  <c:v>44742</c:v>
                </c:pt>
                <c:pt idx="559">
                  <c:v>44743</c:v>
                </c:pt>
                <c:pt idx="560">
                  <c:v>44747</c:v>
                </c:pt>
                <c:pt idx="561">
                  <c:v>44748</c:v>
                </c:pt>
                <c:pt idx="562">
                  <c:v>44749</c:v>
                </c:pt>
                <c:pt idx="563">
                  <c:v>44750</c:v>
                </c:pt>
                <c:pt idx="564">
                  <c:v>44753</c:v>
                </c:pt>
                <c:pt idx="565">
                  <c:v>44754</c:v>
                </c:pt>
                <c:pt idx="566">
                  <c:v>44755</c:v>
                </c:pt>
                <c:pt idx="567">
                  <c:v>44756</c:v>
                </c:pt>
                <c:pt idx="568">
                  <c:v>44757</c:v>
                </c:pt>
                <c:pt idx="569">
                  <c:v>44760</c:v>
                </c:pt>
                <c:pt idx="570">
                  <c:v>44761</c:v>
                </c:pt>
                <c:pt idx="571">
                  <c:v>44762</c:v>
                </c:pt>
                <c:pt idx="572">
                  <c:v>44763</c:v>
                </c:pt>
                <c:pt idx="573">
                  <c:v>44764</c:v>
                </c:pt>
                <c:pt idx="574">
                  <c:v>44767</c:v>
                </c:pt>
                <c:pt idx="575">
                  <c:v>44768</c:v>
                </c:pt>
                <c:pt idx="576">
                  <c:v>44769</c:v>
                </c:pt>
                <c:pt idx="577">
                  <c:v>44770</c:v>
                </c:pt>
                <c:pt idx="578">
                  <c:v>44771</c:v>
                </c:pt>
                <c:pt idx="579">
                  <c:v>44774</c:v>
                </c:pt>
                <c:pt idx="580">
                  <c:v>44775</c:v>
                </c:pt>
                <c:pt idx="581">
                  <c:v>44776</c:v>
                </c:pt>
                <c:pt idx="582">
                  <c:v>44777</c:v>
                </c:pt>
                <c:pt idx="583">
                  <c:v>44778</c:v>
                </c:pt>
                <c:pt idx="584">
                  <c:v>44781</c:v>
                </c:pt>
                <c:pt idx="585">
                  <c:v>44782</c:v>
                </c:pt>
                <c:pt idx="586">
                  <c:v>44783</c:v>
                </c:pt>
                <c:pt idx="587">
                  <c:v>44784</c:v>
                </c:pt>
                <c:pt idx="588">
                  <c:v>44785</c:v>
                </c:pt>
                <c:pt idx="589">
                  <c:v>44788</c:v>
                </c:pt>
                <c:pt idx="590">
                  <c:v>44789</c:v>
                </c:pt>
                <c:pt idx="591">
                  <c:v>44790</c:v>
                </c:pt>
                <c:pt idx="592">
                  <c:v>44791</c:v>
                </c:pt>
                <c:pt idx="593">
                  <c:v>44792</c:v>
                </c:pt>
                <c:pt idx="594">
                  <c:v>44795</c:v>
                </c:pt>
                <c:pt idx="595">
                  <c:v>44796</c:v>
                </c:pt>
                <c:pt idx="596">
                  <c:v>44797</c:v>
                </c:pt>
                <c:pt idx="597">
                  <c:v>44798</c:v>
                </c:pt>
                <c:pt idx="598">
                  <c:v>44799</c:v>
                </c:pt>
                <c:pt idx="599">
                  <c:v>44802</c:v>
                </c:pt>
                <c:pt idx="600">
                  <c:v>44803</c:v>
                </c:pt>
                <c:pt idx="601">
                  <c:v>44804</c:v>
                </c:pt>
                <c:pt idx="602">
                  <c:v>44805</c:v>
                </c:pt>
                <c:pt idx="603">
                  <c:v>44806</c:v>
                </c:pt>
                <c:pt idx="604">
                  <c:v>44810</c:v>
                </c:pt>
                <c:pt idx="605">
                  <c:v>44811</c:v>
                </c:pt>
                <c:pt idx="606">
                  <c:v>44812</c:v>
                </c:pt>
                <c:pt idx="607">
                  <c:v>44813</c:v>
                </c:pt>
                <c:pt idx="608">
                  <c:v>44816</c:v>
                </c:pt>
                <c:pt idx="609">
                  <c:v>44817</c:v>
                </c:pt>
                <c:pt idx="610">
                  <c:v>44818</c:v>
                </c:pt>
                <c:pt idx="611">
                  <c:v>44819</c:v>
                </c:pt>
                <c:pt idx="612">
                  <c:v>44820</c:v>
                </c:pt>
                <c:pt idx="613">
                  <c:v>44823</c:v>
                </c:pt>
                <c:pt idx="614">
                  <c:v>44824</c:v>
                </c:pt>
                <c:pt idx="615">
                  <c:v>44825</c:v>
                </c:pt>
                <c:pt idx="616">
                  <c:v>44826</c:v>
                </c:pt>
                <c:pt idx="617">
                  <c:v>44827</c:v>
                </c:pt>
                <c:pt idx="618">
                  <c:v>44830</c:v>
                </c:pt>
                <c:pt idx="619">
                  <c:v>44831</c:v>
                </c:pt>
                <c:pt idx="620">
                  <c:v>44832</c:v>
                </c:pt>
                <c:pt idx="621">
                  <c:v>44833</c:v>
                </c:pt>
                <c:pt idx="622">
                  <c:v>44834</c:v>
                </c:pt>
                <c:pt idx="623">
                  <c:v>44837</c:v>
                </c:pt>
                <c:pt idx="624">
                  <c:v>44838</c:v>
                </c:pt>
                <c:pt idx="625">
                  <c:v>44839</c:v>
                </c:pt>
                <c:pt idx="626">
                  <c:v>44840</c:v>
                </c:pt>
                <c:pt idx="627">
                  <c:v>44841</c:v>
                </c:pt>
                <c:pt idx="628">
                  <c:v>44844</c:v>
                </c:pt>
                <c:pt idx="629">
                  <c:v>44845</c:v>
                </c:pt>
                <c:pt idx="630">
                  <c:v>44846</c:v>
                </c:pt>
                <c:pt idx="631">
                  <c:v>44847</c:v>
                </c:pt>
                <c:pt idx="632">
                  <c:v>44848</c:v>
                </c:pt>
                <c:pt idx="633">
                  <c:v>44851</c:v>
                </c:pt>
                <c:pt idx="634">
                  <c:v>44852</c:v>
                </c:pt>
                <c:pt idx="635">
                  <c:v>44853</c:v>
                </c:pt>
                <c:pt idx="636">
                  <c:v>44854</c:v>
                </c:pt>
                <c:pt idx="637">
                  <c:v>44855</c:v>
                </c:pt>
                <c:pt idx="638">
                  <c:v>44858</c:v>
                </c:pt>
                <c:pt idx="639">
                  <c:v>44859</c:v>
                </c:pt>
                <c:pt idx="640">
                  <c:v>44860</c:v>
                </c:pt>
                <c:pt idx="641">
                  <c:v>44861</c:v>
                </c:pt>
                <c:pt idx="642">
                  <c:v>44862</c:v>
                </c:pt>
                <c:pt idx="643">
                  <c:v>44865</c:v>
                </c:pt>
                <c:pt idx="644">
                  <c:v>44866</c:v>
                </c:pt>
                <c:pt idx="645">
                  <c:v>44867</c:v>
                </c:pt>
                <c:pt idx="646">
                  <c:v>44868</c:v>
                </c:pt>
                <c:pt idx="647">
                  <c:v>44869</c:v>
                </c:pt>
                <c:pt idx="648">
                  <c:v>44872</c:v>
                </c:pt>
                <c:pt idx="649">
                  <c:v>44873</c:v>
                </c:pt>
                <c:pt idx="650">
                  <c:v>44874</c:v>
                </c:pt>
                <c:pt idx="651">
                  <c:v>44875</c:v>
                </c:pt>
                <c:pt idx="652">
                  <c:v>44876</c:v>
                </c:pt>
                <c:pt idx="653">
                  <c:v>44879</c:v>
                </c:pt>
                <c:pt idx="654">
                  <c:v>44880</c:v>
                </c:pt>
                <c:pt idx="655">
                  <c:v>44881</c:v>
                </c:pt>
                <c:pt idx="656">
                  <c:v>44882</c:v>
                </c:pt>
                <c:pt idx="657">
                  <c:v>44883</c:v>
                </c:pt>
                <c:pt idx="658">
                  <c:v>44886</c:v>
                </c:pt>
                <c:pt idx="659">
                  <c:v>44887</c:v>
                </c:pt>
                <c:pt idx="660">
                  <c:v>44888</c:v>
                </c:pt>
                <c:pt idx="661">
                  <c:v>44890</c:v>
                </c:pt>
                <c:pt idx="662">
                  <c:v>44893</c:v>
                </c:pt>
                <c:pt idx="663">
                  <c:v>44894</c:v>
                </c:pt>
                <c:pt idx="664">
                  <c:v>44895</c:v>
                </c:pt>
                <c:pt idx="665">
                  <c:v>44896</c:v>
                </c:pt>
                <c:pt idx="666">
                  <c:v>44897</c:v>
                </c:pt>
                <c:pt idx="667">
                  <c:v>44900</c:v>
                </c:pt>
                <c:pt idx="668">
                  <c:v>44901</c:v>
                </c:pt>
                <c:pt idx="669">
                  <c:v>44902</c:v>
                </c:pt>
                <c:pt idx="670">
                  <c:v>44903</c:v>
                </c:pt>
                <c:pt idx="671">
                  <c:v>44904</c:v>
                </c:pt>
                <c:pt idx="672">
                  <c:v>44907</c:v>
                </c:pt>
                <c:pt idx="673">
                  <c:v>44908</c:v>
                </c:pt>
                <c:pt idx="674">
                  <c:v>44909</c:v>
                </c:pt>
                <c:pt idx="675">
                  <c:v>44910</c:v>
                </c:pt>
                <c:pt idx="676">
                  <c:v>44911</c:v>
                </c:pt>
                <c:pt idx="677">
                  <c:v>44914</c:v>
                </c:pt>
                <c:pt idx="678">
                  <c:v>44915</c:v>
                </c:pt>
                <c:pt idx="679">
                  <c:v>44916</c:v>
                </c:pt>
                <c:pt idx="680">
                  <c:v>44917</c:v>
                </c:pt>
                <c:pt idx="681">
                  <c:v>44918</c:v>
                </c:pt>
                <c:pt idx="682">
                  <c:v>44922</c:v>
                </c:pt>
                <c:pt idx="683">
                  <c:v>44923</c:v>
                </c:pt>
                <c:pt idx="684">
                  <c:v>44924</c:v>
                </c:pt>
                <c:pt idx="685">
                  <c:v>44925</c:v>
                </c:pt>
                <c:pt idx="686">
                  <c:v>44929</c:v>
                </c:pt>
                <c:pt idx="687">
                  <c:v>44930</c:v>
                </c:pt>
                <c:pt idx="688">
                  <c:v>44931</c:v>
                </c:pt>
                <c:pt idx="689">
                  <c:v>44932</c:v>
                </c:pt>
                <c:pt idx="690">
                  <c:v>44935</c:v>
                </c:pt>
                <c:pt idx="691">
                  <c:v>44936</c:v>
                </c:pt>
                <c:pt idx="692">
                  <c:v>44937</c:v>
                </c:pt>
                <c:pt idx="693">
                  <c:v>44938</c:v>
                </c:pt>
                <c:pt idx="694">
                  <c:v>44939</c:v>
                </c:pt>
                <c:pt idx="695">
                  <c:v>44943</c:v>
                </c:pt>
                <c:pt idx="696">
                  <c:v>44944</c:v>
                </c:pt>
                <c:pt idx="697">
                  <c:v>44945</c:v>
                </c:pt>
                <c:pt idx="698">
                  <c:v>44946</c:v>
                </c:pt>
                <c:pt idx="699">
                  <c:v>44949</c:v>
                </c:pt>
                <c:pt idx="700">
                  <c:v>44950</c:v>
                </c:pt>
                <c:pt idx="701">
                  <c:v>44951</c:v>
                </c:pt>
                <c:pt idx="702">
                  <c:v>44952</c:v>
                </c:pt>
                <c:pt idx="703">
                  <c:v>44953</c:v>
                </c:pt>
                <c:pt idx="704">
                  <c:v>44956</c:v>
                </c:pt>
                <c:pt idx="705">
                  <c:v>44957</c:v>
                </c:pt>
                <c:pt idx="706">
                  <c:v>44958</c:v>
                </c:pt>
                <c:pt idx="707">
                  <c:v>44959</c:v>
                </c:pt>
                <c:pt idx="708">
                  <c:v>44960</c:v>
                </c:pt>
                <c:pt idx="709">
                  <c:v>44963</c:v>
                </c:pt>
                <c:pt idx="710">
                  <c:v>44964</c:v>
                </c:pt>
                <c:pt idx="711">
                  <c:v>44965</c:v>
                </c:pt>
                <c:pt idx="712">
                  <c:v>44966</c:v>
                </c:pt>
                <c:pt idx="713">
                  <c:v>44967</c:v>
                </c:pt>
                <c:pt idx="714">
                  <c:v>44970</c:v>
                </c:pt>
                <c:pt idx="715">
                  <c:v>44971</c:v>
                </c:pt>
                <c:pt idx="716">
                  <c:v>44972</c:v>
                </c:pt>
                <c:pt idx="717">
                  <c:v>44973</c:v>
                </c:pt>
                <c:pt idx="718">
                  <c:v>44974</c:v>
                </c:pt>
                <c:pt idx="719">
                  <c:v>44978</c:v>
                </c:pt>
                <c:pt idx="720">
                  <c:v>44979</c:v>
                </c:pt>
                <c:pt idx="721">
                  <c:v>44980</c:v>
                </c:pt>
                <c:pt idx="722">
                  <c:v>44981</c:v>
                </c:pt>
                <c:pt idx="723">
                  <c:v>44984</c:v>
                </c:pt>
                <c:pt idx="724">
                  <c:v>44985</c:v>
                </c:pt>
                <c:pt idx="725">
                  <c:v>44986</c:v>
                </c:pt>
                <c:pt idx="726">
                  <c:v>44987</c:v>
                </c:pt>
                <c:pt idx="727">
                  <c:v>44988</c:v>
                </c:pt>
                <c:pt idx="728">
                  <c:v>44991</c:v>
                </c:pt>
                <c:pt idx="729">
                  <c:v>44992</c:v>
                </c:pt>
                <c:pt idx="730">
                  <c:v>44993</c:v>
                </c:pt>
                <c:pt idx="731">
                  <c:v>44994</c:v>
                </c:pt>
                <c:pt idx="732">
                  <c:v>44995</c:v>
                </c:pt>
                <c:pt idx="733">
                  <c:v>44998</c:v>
                </c:pt>
                <c:pt idx="734">
                  <c:v>44999</c:v>
                </c:pt>
                <c:pt idx="735">
                  <c:v>45000</c:v>
                </c:pt>
                <c:pt idx="736">
                  <c:v>45001</c:v>
                </c:pt>
                <c:pt idx="737">
                  <c:v>45002</c:v>
                </c:pt>
                <c:pt idx="738">
                  <c:v>45005</c:v>
                </c:pt>
                <c:pt idx="739">
                  <c:v>45006</c:v>
                </c:pt>
                <c:pt idx="740">
                  <c:v>45007</c:v>
                </c:pt>
                <c:pt idx="741">
                  <c:v>45008</c:v>
                </c:pt>
                <c:pt idx="742">
                  <c:v>45009</c:v>
                </c:pt>
                <c:pt idx="743">
                  <c:v>45012</c:v>
                </c:pt>
                <c:pt idx="744">
                  <c:v>45013</c:v>
                </c:pt>
                <c:pt idx="745">
                  <c:v>45014</c:v>
                </c:pt>
                <c:pt idx="746">
                  <c:v>45015</c:v>
                </c:pt>
                <c:pt idx="747">
                  <c:v>45016</c:v>
                </c:pt>
                <c:pt idx="748">
                  <c:v>45019</c:v>
                </c:pt>
                <c:pt idx="749">
                  <c:v>45020</c:v>
                </c:pt>
                <c:pt idx="750">
                  <c:v>45021</c:v>
                </c:pt>
                <c:pt idx="751">
                  <c:v>45022</c:v>
                </c:pt>
                <c:pt idx="752">
                  <c:v>45026</c:v>
                </c:pt>
                <c:pt idx="753">
                  <c:v>45027</c:v>
                </c:pt>
                <c:pt idx="754">
                  <c:v>45028</c:v>
                </c:pt>
                <c:pt idx="755">
                  <c:v>45029</c:v>
                </c:pt>
                <c:pt idx="756">
                  <c:v>45030</c:v>
                </c:pt>
                <c:pt idx="757">
                  <c:v>45033</c:v>
                </c:pt>
                <c:pt idx="758">
                  <c:v>45034</c:v>
                </c:pt>
                <c:pt idx="759">
                  <c:v>45035</c:v>
                </c:pt>
                <c:pt idx="760">
                  <c:v>45036</c:v>
                </c:pt>
                <c:pt idx="761">
                  <c:v>45037</c:v>
                </c:pt>
                <c:pt idx="762">
                  <c:v>45040</c:v>
                </c:pt>
                <c:pt idx="763">
                  <c:v>45041</c:v>
                </c:pt>
                <c:pt idx="764">
                  <c:v>45042</c:v>
                </c:pt>
                <c:pt idx="765">
                  <c:v>45043</c:v>
                </c:pt>
                <c:pt idx="766">
                  <c:v>45044</c:v>
                </c:pt>
                <c:pt idx="767">
                  <c:v>45047</c:v>
                </c:pt>
                <c:pt idx="768">
                  <c:v>45048</c:v>
                </c:pt>
                <c:pt idx="769">
                  <c:v>45049</c:v>
                </c:pt>
                <c:pt idx="770">
                  <c:v>45050</c:v>
                </c:pt>
                <c:pt idx="771">
                  <c:v>45051</c:v>
                </c:pt>
                <c:pt idx="772">
                  <c:v>45054</c:v>
                </c:pt>
                <c:pt idx="773">
                  <c:v>45055</c:v>
                </c:pt>
                <c:pt idx="774">
                  <c:v>45056</c:v>
                </c:pt>
                <c:pt idx="775">
                  <c:v>45057</c:v>
                </c:pt>
                <c:pt idx="776">
                  <c:v>45058</c:v>
                </c:pt>
                <c:pt idx="777">
                  <c:v>45061</c:v>
                </c:pt>
                <c:pt idx="778">
                  <c:v>45062</c:v>
                </c:pt>
                <c:pt idx="779">
                  <c:v>45063</c:v>
                </c:pt>
                <c:pt idx="780">
                  <c:v>45064</c:v>
                </c:pt>
                <c:pt idx="781">
                  <c:v>45065</c:v>
                </c:pt>
                <c:pt idx="782">
                  <c:v>45068</c:v>
                </c:pt>
                <c:pt idx="783">
                  <c:v>45069</c:v>
                </c:pt>
                <c:pt idx="784">
                  <c:v>45070</c:v>
                </c:pt>
                <c:pt idx="785">
                  <c:v>45071</c:v>
                </c:pt>
                <c:pt idx="786">
                  <c:v>45072</c:v>
                </c:pt>
                <c:pt idx="787">
                  <c:v>45076</c:v>
                </c:pt>
                <c:pt idx="788">
                  <c:v>45077</c:v>
                </c:pt>
                <c:pt idx="789">
                  <c:v>45078</c:v>
                </c:pt>
                <c:pt idx="790">
                  <c:v>45079</c:v>
                </c:pt>
                <c:pt idx="791">
                  <c:v>45082</c:v>
                </c:pt>
                <c:pt idx="792">
                  <c:v>45083</c:v>
                </c:pt>
                <c:pt idx="793">
                  <c:v>45084</c:v>
                </c:pt>
                <c:pt idx="794">
                  <c:v>45085</c:v>
                </c:pt>
                <c:pt idx="795">
                  <c:v>45086</c:v>
                </c:pt>
                <c:pt idx="796">
                  <c:v>45089</c:v>
                </c:pt>
                <c:pt idx="797">
                  <c:v>45090</c:v>
                </c:pt>
                <c:pt idx="798">
                  <c:v>45091</c:v>
                </c:pt>
                <c:pt idx="799">
                  <c:v>45092</c:v>
                </c:pt>
                <c:pt idx="800">
                  <c:v>45093</c:v>
                </c:pt>
                <c:pt idx="801">
                  <c:v>45097</c:v>
                </c:pt>
                <c:pt idx="802">
                  <c:v>45098</c:v>
                </c:pt>
                <c:pt idx="803">
                  <c:v>45099</c:v>
                </c:pt>
                <c:pt idx="804">
                  <c:v>45100</c:v>
                </c:pt>
                <c:pt idx="805">
                  <c:v>45103</c:v>
                </c:pt>
                <c:pt idx="806">
                  <c:v>45104</c:v>
                </c:pt>
                <c:pt idx="807">
                  <c:v>45105</c:v>
                </c:pt>
                <c:pt idx="808">
                  <c:v>45106</c:v>
                </c:pt>
                <c:pt idx="809">
                  <c:v>45107</c:v>
                </c:pt>
                <c:pt idx="810">
                  <c:v>45110</c:v>
                </c:pt>
                <c:pt idx="811">
                  <c:v>45112</c:v>
                </c:pt>
                <c:pt idx="812">
                  <c:v>45113</c:v>
                </c:pt>
                <c:pt idx="813">
                  <c:v>45114</c:v>
                </c:pt>
                <c:pt idx="814">
                  <c:v>45117</c:v>
                </c:pt>
                <c:pt idx="815">
                  <c:v>45118</c:v>
                </c:pt>
                <c:pt idx="816">
                  <c:v>45119</c:v>
                </c:pt>
                <c:pt idx="817">
                  <c:v>45120</c:v>
                </c:pt>
                <c:pt idx="818">
                  <c:v>45121</c:v>
                </c:pt>
                <c:pt idx="819">
                  <c:v>45124</c:v>
                </c:pt>
                <c:pt idx="820">
                  <c:v>45125</c:v>
                </c:pt>
                <c:pt idx="821">
                  <c:v>45126</c:v>
                </c:pt>
                <c:pt idx="822">
                  <c:v>45127</c:v>
                </c:pt>
                <c:pt idx="823">
                  <c:v>45128</c:v>
                </c:pt>
                <c:pt idx="824">
                  <c:v>45131</c:v>
                </c:pt>
                <c:pt idx="825">
                  <c:v>45132</c:v>
                </c:pt>
                <c:pt idx="826">
                  <c:v>45133</c:v>
                </c:pt>
                <c:pt idx="827">
                  <c:v>45134</c:v>
                </c:pt>
                <c:pt idx="828">
                  <c:v>45135</c:v>
                </c:pt>
                <c:pt idx="829">
                  <c:v>45138</c:v>
                </c:pt>
                <c:pt idx="830">
                  <c:v>45139</c:v>
                </c:pt>
                <c:pt idx="831">
                  <c:v>45140</c:v>
                </c:pt>
                <c:pt idx="832">
                  <c:v>45141</c:v>
                </c:pt>
                <c:pt idx="833">
                  <c:v>45142</c:v>
                </c:pt>
                <c:pt idx="834">
                  <c:v>45145</c:v>
                </c:pt>
                <c:pt idx="835">
                  <c:v>45146</c:v>
                </c:pt>
                <c:pt idx="836">
                  <c:v>45147</c:v>
                </c:pt>
                <c:pt idx="837">
                  <c:v>45148</c:v>
                </c:pt>
                <c:pt idx="838">
                  <c:v>45149</c:v>
                </c:pt>
                <c:pt idx="839">
                  <c:v>45152</c:v>
                </c:pt>
                <c:pt idx="840">
                  <c:v>45153</c:v>
                </c:pt>
                <c:pt idx="841">
                  <c:v>45154</c:v>
                </c:pt>
                <c:pt idx="842">
                  <c:v>45155</c:v>
                </c:pt>
                <c:pt idx="843">
                  <c:v>45156</c:v>
                </c:pt>
                <c:pt idx="844">
                  <c:v>45159</c:v>
                </c:pt>
                <c:pt idx="845">
                  <c:v>45160</c:v>
                </c:pt>
                <c:pt idx="846">
                  <c:v>45161</c:v>
                </c:pt>
                <c:pt idx="847">
                  <c:v>45162</c:v>
                </c:pt>
                <c:pt idx="848">
                  <c:v>45163</c:v>
                </c:pt>
                <c:pt idx="849">
                  <c:v>45166</c:v>
                </c:pt>
                <c:pt idx="850">
                  <c:v>45167</c:v>
                </c:pt>
                <c:pt idx="851">
                  <c:v>45168</c:v>
                </c:pt>
                <c:pt idx="852">
                  <c:v>45169</c:v>
                </c:pt>
                <c:pt idx="853">
                  <c:v>45170</c:v>
                </c:pt>
                <c:pt idx="854">
                  <c:v>45174</c:v>
                </c:pt>
                <c:pt idx="855">
                  <c:v>45175</c:v>
                </c:pt>
                <c:pt idx="856">
                  <c:v>45176</c:v>
                </c:pt>
                <c:pt idx="857">
                  <c:v>45177</c:v>
                </c:pt>
                <c:pt idx="858">
                  <c:v>45180</c:v>
                </c:pt>
                <c:pt idx="859">
                  <c:v>45181</c:v>
                </c:pt>
                <c:pt idx="860">
                  <c:v>45182</c:v>
                </c:pt>
                <c:pt idx="861">
                  <c:v>45183</c:v>
                </c:pt>
                <c:pt idx="862">
                  <c:v>45184</c:v>
                </c:pt>
                <c:pt idx="863">
                  <c:v>45187</c:v>
                </c:pt>
                <c:pt idx="864">
                  <c:v>45188</c:v>
                </c:pt>
                <c:pt idx="865">
                  <c:v>45189</c:v>
                </c:pt>
                <c:pt idx="866">
                  <c:v>45190</c:v>
                </c:pt>
                <c:pt idx="867">
                  <c:v>45191</c:v>
                </c:pt>
                <c:pt idx="868">
                  <c:v>45194</c:v>
                </c:pt>
                <c:pt idx="869">
                  <c:v>45195</c:v>
                </c:pt>
                <c:pt idx="870">
                  <c:v>45196</c:v>
                </c:pt>
                <c:pt idx="871">
                  <c:v>45197</c:v>
                </c:pt>
                <c:pt idx="872">
                  <c:v>45198</c:v>
                </c:pt>
                <c:pt idx="873">
                  <c:v>45201</c:v>
                </c:pt>
                <c:pt idx="874">
                  <c:v>45202</c:v>
                </c:pt>
                <c:pt idx="875">
                  <c:v>45203</c:v>
                </c:pt>
                <c:pt idx="876">
                  <c:v>45204</c:v>
                </c:pt>
                <c:pt idx="877">
                  <c:v>45205</c:v>
                </c:pt>
                <c:pt idx="878">
                  <c:v>45208</c:v>
                </c:pt>
                <c:pt idx="879">
                  <c:v>45209</c:v>
                </c:pt>
                <c:pt idx="880">
                  <c:v>45210</c:v>
                </c:pt>
                <c:pt idx="881">
                  <c:v>45211</c:v>
                </c:pt>
                <c:pt idx="882">
                  <c:v>45212</c:v>
                </c:pt>
                <c:pt idx="883">
                  <c:v>45215</c:v>
                </c:pt>
                <c:pt idx="884">
                  <c:v>45216</c:v>
                </c:pt>
                <c:pt idx="885">
                  <c:v>45217</c:v>
                </c:pt>
                <c:pt idx="886">
                  <c:v>45218</c:v>
                </c:pt>
                <c:pt idx="887">
                  <c:v>45219</c:v>
                </c:pt>
                <c:pt idx="888">
                  <c:v>45222</c:v>
                </c:pt>
                <c:pt idx="889">
                  <c:v>45223</c:v>
                </c:pt>
                <c:pt idx="890">
                  <c:v>45224</c:v>
                </c:pt>
                <c:pt idx="891">
                  <c:v>45225</c:v>
                </c:pt>
                <c:pt idx="892">
                  <c:v>45226</c:v>
                </c:pt>
                <c:pt idx="893">
                  <c:v>45229</c:v>
                </c:pt>
                <c:pt idx="894">
                  <c:v>45230</c:v>
                </c:pt>
                <c:pt idx="895">
                  <c:v>45231</c:v>
                </c:pt>
                <c:pt idx="896">
                  <c:v>45232</c:v>
                </c:pt>
                <c:pt idx="897">
                  <c:v>45233</c:v>
                </c:pt>
                <c:pt idx="898">
                  <c:v>45236</c:v>
                </c:pt>
                <c:pt idx="899">
                  <c:v>45237</c:v>
                </c:pt>
                <c:pt idx="900">
                  <c:v>45238</c:v>
                </c:pt>
                <c:pt idx="901">
                  <c:v>45239</c:v>
                </c:pt>
                <c:pt idx="902">
                  <c:v>45240</c:v>
                </c:pt>
                <c:pt idx="903">
                  <c:v>45243</c:v>
                </c:pt>
                <c:pt idx="904">
                  <c:v>45244</c:v>
                </c:pt>
                <c:pt idx="905">
                  <c:v>45245</c:v>
                </c:pt>
                <c:pt idx="906">
                  <c:v>45246</c:v>
                </c:pt>
                <c:pt idx="907">
                  <c:v>45247</c:v>
                </c:pt>
                <c:pt idx="908">
                  <c:v>45250</c:v>
                </c:pt>
                <c:pt idx="909">
                  <c:v>45251</c:v>
                </c:pt>
                <c:pt idx="910">
                  <c:v>45252</c:v>
                </c:pt>
                <c:pt idx="911">
                  <c:v>45254</c:v>
                </c:pt>
                <c:pt idx="912">
                  <c:v>45257</c:v>
                </c:pt>
                <c:pt idx="913">
                  <c:v>45258</c:v>
                </c:pt>
                <c:pt idx="914">
                  <c:v>45259</c:v>
                </c:pt>
                <c:pt idx="915">
                  <c:v>45260</c:v>
                </c:pt>
                <c:pt idx="916">
                  <c:v>45261</c:v>
                </c:pt>
                <c:pt idx="917">
                  <c:v>45264</c:v>
                </c:pt>
                <c:pt idx="918">
                  <c:v>45265</c:v>
                </c:pt>
                <c:pt idx="919">
                  <c:v>45266</c:v>
                </c:pt>
                <c:pt idx="920">
                  <c:v>45267</c:v>
                </c:pt>
                <c:pt idx="921">
                  <c:v>45268</c:v>
                </c:pt>
                <c:pt idx="922">
                  <c:v>45271</c:v>
                </c:pt>
                <c:pt idx="923">
                  <c:v>45272</c:v>
                </c:pt>
                <c:pt idx="924">
                  <c:v>45273</c:v>
                </c:pt>
                <c:pt idx="925">
                  <c:v>45274</c:v>
                </c:pt>
                <c:pt idx="926">
                  <c:v>45275</c:v>
                </c:pt>
                <c:pt idx="927">
                  <c:v>45278</c:v>
                </c:pt>
                <c:pt idx="928">
                  <c:v>45279</c:v>
                </c:pt>
                <c:pt idx="929">
                  <c:v>45280</c:v>
                </c:pt>
                <c:pt idx="930">
                  <c:v>45281</c:v>
                </c:pt>
                <c:pt idx="931">
                  <c:v>45282</c:v>
                </c:pt>
                <c:pt idx="932">
                  <c:v>45286</c:v>
                </c:pt>
                <c:pt idx="933">
                  <c:v>45287</c:v>
                </c:pt>
                <c:pt idx="934">
                  <c:v>45288</c:v>
                </c:pt>
                <c:pt idx="935">
                  <c:v>45289</c:v>
                </c:pt>
                <c:pt idx="936">
                  <c:v>45293</c:v>
                </c:pt>
                <c:pt idx="937">
                  <c:v>45294</c:v>
                </c:pt>
                <c:pt idx="938">
                  <c:v>45295</c:v>
                </c:pt>
                <c:pt idx="939">
                  <c:v>45296</c:v>
                </c:pt>
                <c:pt idx="940">
                  <c:v>45299</c:v>
                </c:pt>
                <c:pt idx="941">
                  <c:v>45300</c:v>
                </c:pt>
                <c:pt idx="942">
                  <c:v>45301</c:v>
                </c:pt>
                <c:pt idx="943">
                  <c:v>45302</c:v>
                </c:pt>
                <c:pt idx="944">
                  <c:v>45303</c:v>
                </c:pt>
                <c:pt idx="945">
                  <c:v>45307</c:v>
                </c:pt>
                <c:pt idx="946">
                  <c:v>45308</c:v>
                </c:pt>
                <c:pt idx="947">
                  <c:v>45309</c:v>
                </c:pt>
                <c:pt idx="948">
                  <c:v>45310</c:v>
                </c:pt>
                <c:pt idx="949">
                  <c:v>45313</c:v>
                </c:pt>
                <c:pt idx="950">
                  <c:v>45314</c:v>
                </c:pt>
                <c:pt idx="951">
                  <c:v>45315</c:v>
                </c:pt>
                <c:pt idx="952">
                  <c:v>45316</c:v>
                </c:pt>
                <c:pt idx="953">
                  <c:v>45317</c:v>
                </c:pt>
                <c:pt idx="954">
                  <c:v>45320</c:v>
                </c:pt>
                <c:pt idx="955">
                  <c:v>45321</c:v>
                </c:pt>
                <c:pt idx="956">
                  <c:v>45322</c:v>
                </c:pt>
                <c:pt idx="957">
                  <c:v>45323</c:v>
                </c:pt>
                <c:pt idx="958">
                  <c:v>45324</c:v>
                </c:pt>
                <c:pt idx="959">
                  <c:v>45327</c:v>
                </c:pt>
                <c:pt idx="960">
                  <c:v>45328</c:v>
                </c:pt>
                <c:pt idx="961">
                  <c:v>45329</c:v>
                </c:pt>
                <c:pt idx="962">
                  <c:v>45330</c:v>
                </c:pt>
                <c:pt idx="963">
                  <c:v>45331</c:v>
                </c:pt>
                <c:pt idx="964">
                  <c:v>45334</c:v>
                </c:pt>
                <c:pt idx="965">
                  <c:v>45335</c:v>
                </c:pt>
                <c:pt idx="966">
                  <c:v>45336</c:v>
                </c:pt>
                <c:pt idx="967">
                  <c:v>45337</c:v>
                </c:pt>
                <c:pt idx="968">
                  <c:v>45338</c:v>
                </c:pt>
                <c:pt idx="969">
                  <c:v>45342</c:v>
                </c:pt>
                <c:pt idx="970">
                  <c:v>45343</c:v>
                </c:pt>
                <c:pt idx="971">
                  <c:v>45344</c:v>
                </c:pt>
                <c:pt idx="972">
                  <c:v>45345</c:v>
                </c:pt>
                <c:pt idx="973">
                  <c:v>45348</c:v>
                </c:pt>
                <c:pt idx="974">
                  <c:v>45349</c:v>
                </c:pt>
                <c:pt idx="975">
                  <c:v>45350</c:v>
                </c:pt>
                <c:pt idx="976">
                  <c:v>45351</c:v>
                </c:pt>
                <c:pt idx="977">
                  <c:v>45352</c:v>
                </c:pt>
                <c:pt idx="978">
                  <c:v>45355</c:v>
                </c:pt>
                <c:pt idx="979">
                  <c:v>45356</c:v>
                </c:pt>
                <c:pt idx="980">
                  <c:v>45357</c:v>
                </c:pt>
                <c:pt idx="981">
                  <c:v>45358</c:v>
                </c:pt>
                <c:pt idx="982">
                  <c:v>45359</c:v>
                </c:pt>
                <c:pt idx="983">
                  <c:v>45362</c:v>
                </c:pt>
                <c:pt idx="984">
                  <c:v>45363</c:v>
                </c:pt>
                <c:pt idx="985">
                  <c:v>45364</c:v>
                </c:pt>
                <c:pt idx="986">
                  <c:v>45365</c:v>
                </c:pt>
                <c:pt idx="987">
                  <c:v>45366</c:v>
                </c:pt>
                <c:pt idx="988">
                  <c:v>45369</c:v>
                </c:pt>
                <c:pt idx="989">
                  <c:v>45370</c:v>
                </c:pt>
                <c:pt idx="990">
                  <c:v>45371</c:v>
                </c:pt>
                <c:pt idx="991">
                  <c:v>45372</c:v>
                </c:pt>
                <c:pt idx="992">
                  <c:v>45373</c:v>
                </c:pt>
                <c:pt idx="993">
                  <c:v>45376</c:v>
                </c:pt>
                <c:pt idx="994">
                  <c:v>45377</c:v>
                </c:pt>
                <c:pt idx="995">
                  <c:v>45378</c:v>
                </c:pt>
                <c:pt idx="996">
                  <c:v>45379</c:v>
                </c:pt>
                <c:pt idx="997">
                  <c:v>45383</c:v>
                </c:pt>
                <c:pt idx="998">
                  <c:v>45384</c:v>
                </c:pt>
                <c:pt idx="999">
                  <c:v>45385</c:v>
                </c:pt>
                <c:pt idx="1000">
                  <c:v>45386</c:v>
                </c:pt>
                <c:pt idx="1001">
                  <c:v>45387</c:v>
                </c:pt>
                <c:pt idx="1002">
                  <c:v>45390</c:v>
                </c:pt>
                <c:pt idx="1003">
                  <c:v>45391</c:v>
                </c:pt>
                <c:pt idx="1004">
                  <c:v>45392</c:v>
                </c:pt>
                <c:pt idx="1005">
                  <c:v>45393</c:v>
                </c:pt>
                <c:pt idx="1006">
                  <c:v>45394</c:v>
                </c:pt>
                <c:pt idx="1007">
                  <c:v>45397</c:v>
                </c:pt>
                <c:pt idx="1008">
                  <c:v>45398</c:v>
                </c:pt>
                <c:pt idx="1009">
                  <c:v>45399</c:v>
                </c:pt>
                <c:pt idx="1010">
                  <c:v>45400</c:v>
                </c:pt>
                <c:pt idx="1011">
                  <c:v>45401</c:v>
                </c:pt>
                <c:pt idx="1012">
                  <c:v>45404</c:v>
                </c:pt>
                <c:pt idx="1013">
                  <c:v>45405</c:v>
                </c:pt>
                <c:pt idx="1014">
                  <c:v>45406</c:v>
                </c:pt>
                <c:pt idx="1015">
                  <c:v>45407</c:v>
                </c:pt>
                <c:pt idx="1016">
                  <c:v>45408</c:v>
                </c:pt>
                <c:pt idx="1017">
                  <c:v>45411</c:v>
                </c:pt>
                <c:pt idx="1018">
                  <c:v>45412</c:v>
                </c:pt>
                <c:pt idx="1019">
                  <c:v>45413</c:v>
                </c:pt>
                <c:pt idx="1020">
                  <c:v>45414</c:v>
                </c:pt>
                <c:pt idx="1021">
                  <c:v>45415</c:v>
                </c:pt>
                <c:pt idx="1022">
                  <c:v>45418</c:v>
                </c:pt>
                <c:pt idx="1023">
                  <c:v>45419</c:v>
                </c:pt>
                <c:pt idx="1024">
                  <c:v>45420</c:v>
                </c:pt>
                <c:pt idx="1025">
                  <c:v>45421</c:v>
                </c:pt>
                <c:pt idx="1026">
                  <c:v>45422</c:v>
                </c:pt>
                <c:pt idx="1027">
                  <c:v>45425</c:v>
                </c:pt>
                <c:pt idx="1028">
                  <c:v>45426</c:v>
                </c:pt>
                <c:pt idx="1029">
                  <c:v>45427</c:v>
                </c:pt>
                <c:pt idx="1030">
                  <c:v>45428</c:v>
                </c:pt>
                <c:pt idx="1031">
                  <c:v>45429</c:v>
                </c:pt>
                <c:pt idx="1032">
                  <c:v>45432</c:v>
                </c:pt>
                <c:pt idx="1033">
                  <c:v>45433</c:v>
                </c:pt>
                <c:pt idx="1034">
                  <c:v>45434</c:v>
                </c:pt>
                <c:pt idx="1035">
                  <c:v>45435</c:v>
                </c:pt>
                <c:pt idx="1036">
                  <c:v>45436</c:v>
                </c:pt>
                <c:pt idx="1037">
                  <c:v>45440</c:v>
                </c:pt>
                <c:pt idx="1038">
                  <c:v>45441</c:v>
                </c:pt>
                <c:pt idx="1039">
                  <c:v>45442</c:v>
                </c:pt>
                <c:pt idx="1040">
                  <c:v>45443</c:v>
                </c:pt>
                <c:pt idx="1041">
                  <c:v>45446</c:v>
                </c:pt>
                <c:pt idx="1042">
                  <c:v>45447</c:v>
                </c:pt>
                <c:pt idx="1043">
                  <c:v>45448</c:v>
                </c:pt>
                <c:pt idx="1044">
                  <c:v>45449</c:v>
                </c:pt>
                <c:pt idx="1045">
                  <c:v>45450</c:v>
                </c:pt>
                <c:pt idx="1046">
                  <c:v>45453</c:v>
                </c:pt>
                <c:pt idx="1047">
                  <c:v>45454</c:v>
                </c:pt>
                <c:pt idx="1048">
                  <c:v>45455</c:v>
                </c:pt>
                <c:pt idx="1049">
                  <c:v>45456</c:v>
                </c:pt>
                <c:pt idx="1050">
                  <c:v>45457</c:v>
                </c:pt>
                <c:pt idx="1051">
                  <c:v>45460</c:v>
                </c:pt>
                <c:pt idx="1052">
                  <c:v>45461</c:v>
                </c:pt>
                <c:pt idx="1053">
                  <c:v>45463</c:v>
                </c:pt>
                <c:pt idx="1054">
                  <c:v>45464</c:v>
                </c:pt>
                <c:pt idx="1055">
                  <c:v>45467</c:v>
                </c:pt>
                <c:pt idx="1056">
                  <c:v>45468</c:v>
                </c:pt>
                <c:pt idx="1057">
                  <c:v>45469</c:v>
                </c:pt>
                <c:pt idx="1058">
                  <c:v>45470</c:v>
                </c:pt>
                <c:pt idx="1059">
                  <c:v>45471</c:v>
                </c:pt>
                <c:pt idx="1060">
                  <c:v>45474</c:v>
                </c:pt>
                <c:pt idx="1061">
                  <c:v>45475</c:v>
                </c:pt>
                <c:pt idx="1062">
                  <c:v>45476</c:v>
                </c:pt>
                <c:pt idx="1063">
                  <c:v>45478</c:v>
                </c:pt>
                <c:pt idx="1064">
                  <c:v>45481</c:v>
                </c:pt>
                <c:pt idx="1065">
                  <c:v>45482</c:v>
                </c:pt>
                <c:pt idx="1066">
                  <c:v>45483</c:v>
                </c:pt>
                <c:pt idx="1067">
                  <c:v>45484</c:v>
                </c:pt>
                <c:pt idx="1068">
                  <c:v>45485</c:v>
                </c:pt>
                <c:pt idx="1069">
                  <c:v>45488</c:v>
                </c:pt>
                <c:pt idx="1070">
                  <c:v>45489</c:v>
                </c:pt>
                <c:pt idx="1071">
                  <c:v>45490</c:v>
                </c:pt>
                <c:pt idx="1072">
                  <c:v>45491</c:v>
                </c:pt>
                <c:pt idx="1073">
                  <c:v>45492</c:v>
                </c:pt>
                <c:pt idx="1074">
                  <c:v>45495</c:v>
                </c:pt>
                <c:pt idx="1075">
                  <c:v>45496</c:v>
                </c:pt>
                <c:pt idx="1076">
                  <c:v>45497</c:v>
                </c:pt>
                <c:pt idx="1077">
                  <c:v>45498</c:v>
                </c:pt>
                <c:pt idx="1078">
                  <c:v>45499</c:v>
                </c:pt>
                <c:pt idx="1079">
                  <c:v>45502</c:v>
                </c:pt>
                <c:pt idx="1080">
                  <c:v>45503</c:v>
                </c:pt>
                <c:pt idx="1081">
                  <c:v>45504</c:v>
                </c:pt>
                <c:pt idx="1082">
                  <c:v>45505</c:v>
                </c:pt>
                <c:pt idx="1083">
                  <c:v>45506</c:v>
                </c:pt>
                <c:pt idx="1084">
                  <c:v>45509</c:v>
                </c:pt>
                <c:pt idx="1085">
                  <c:v>45510</c:v>
                </c:pt>
                <c:pt idx="1086">
                  <c:v>45511</c:v>
                </c:pt>
                <c:pt idx="1087">
                  <c:v>45512</c:v>
                </c:pt>
                <c:pt idx="1088">
                  <c:v>45513</c:v>
                </c:pt>
                <c:pt idx="1089">
                  <c:v>45516</c:v>
                </c:pt>
                <c:pt idx="1090">
                  <c:v>45517</c:v>
                </c:pt>
                <c:pt idx="1091">
                  <c:v>45518</c:v>
                </c:pt>
                <c:pt idx="1092">
                  <c:v>45519</c:v>
                </c:pt>
                <c:pt idx="1093">
                  <c:v>45520</c:v>
                </c:pt>
                <c:pt idx="1094">
                  <c:v>45523</c:v>
                </c:pt>
                <c:pt idx="1095">
                  <c:v>45524</c:v>
                </c:pt>
                <c:pt idx="1096">
                  <c:v>45525</c:v>
                </c:pt>
                <c:pt idx="1097">
                  <c:v>45526</c:v>
                </c:pt>
                <c:pt idx="1098">
                  <c:v>45527</c:v>
                </c:pt>
                <c:pt idx="1099">
                  <c:v>45530</c:v>
                </c:pt>
                <c:pt idx="1100">
                  <c:v>45531</c:v>
                </c:pt>
                <c:pt idx="1101">
                  <c:v>45532</c:v>
                </c:pt>
                <c:pt idx="1102">
                  <c:v>45533</c:v>
                </c:pt>
                <c:pt idx="1103">
                  <c:v>45534</c:v>
                </c:pt>
                <c:pt idx="1104">
                  <c:v>45538</c:v>
                </c:pt>
                <c:pt idx="1105">
                  <c:v>45539</c:v>
                </c:pt>
                <c:pt idx="1106">
                  <c:v>45540</c:v>
                </c:pt>
                <c:pt idx="1107">
                  <c:v>45541</c:v>
                </c:pt>
                <c:pt idx="1108">
                  <c:v>45544</c:v>
                </c:pt>
                <c:pt idx="1109">
                  <c:v>45545</c:v>
                </c:pt>
                <c:pt idx="1110">
                  <c:v>45546</c:v>
                </c:pt>
                <c:pt idx="1111">
                  <c:v>45547</c:v>
                </c:pt>
                <c:pt idx="1112">
                  <c:v>45548</c:v>
                </c:pt>
                <c:pt idx="1113">
                  <c:v>45551</c:v>
                </c:pt>
                <c:pt idx="1114">
                  <c:v>45552</c:v>
                </c:pt>
                <c:pt idx="1115">
                  <c:v>45553</c:v>
                </c:pt>
                <c:pt idx="1116">
                  <c:v>45554</c:v>
                </c:pt>
                <c:pt idx="1117">
                  <c:v>45555</c:v>
                </c:pt>
                <c:pt idx="1118">
                  <c:v>45558</c:v>
                </c:pt>
                <c:pt idx="1119">
                  <c:v>45559</c:v>
                </c:pt>
                <c:pt idx="1120">
                  <c:v>45560</c:v>
                </c:pt>
                <c:pt idx="1121">
                  <c:v>45561</c:v>
                </c:pt>
                <c:pt idx="1122">
                  <c:v>45562</c:v>
                </c:pt>
                <c:pt idx="1123">
                  <c:v>45565</c:v>
                </c:pt>
                <c:pt idx="1124">
                  <c:v>45566</c:v>
                </c:pt>
                <c:pt idx="1125">
                  <c:v>45567</c:v>
                </c:pt>
                <c:pt idx="1126">
                  <c:v>45568</c:v>
                </c:pt>
                <c:pt idx="1127">
                  <c:v>45569</c:v>
                </c:pt>
                <c:pt idx="1128">
                  <c:v>45572</c:v>
                </c:pt>
                <c:pt idx="1129">
                  <c:v>45573</c:v>
                </c:pt>
                <c:pt idx="1130">
                  <c:v>45574</c:v>
                </c:pt>
                <c:pt idx="1131">
                  <c:v>45575</c:v>
                </c:pt>
                <c:pt idx="1132">
                  <c:v>45576</c:v>
                </c:pt>
                <c:pt idx="1133">
                  <c:v>45579</c:v>
                </c:pt>
                <c:pt idx="1134">
                  <c:v>45580</c:v>
                </c:pt>
                <c:pt idx="1135">
                  <c:v>45581</c:v>
                </c:pt>
                <c:pt idx="1136">
                  <c:v>45582</c:v>
                </c:pt>
                <c:pt idx="1137">
                  <c:v>45583</c:v>
                </c:pt>
                <c:pt idx="1138">
                  <c:v>45586</c:v>
                </c:pt>
                <c:pt idx="1139">
                  <c:v>45587</c:v>
                </c:pt>
                <c:pt idx="1140">
                  <c:v>45588</c:v>
                </c:pt>
                <c:pt idx="1141">
                  <c:v>45589</c:v>
                </c:pt>
                <c:pt idx="1142">
                  <c:v>45590</c:v>
                </c:pt>
                <c:pt idx="1143">
                  <c:v>45593</c:v>
                </c:pt>
                <c:pt idx="1144">
                  <c:v>45594</c:v>
                </c:pt>
                <c:pt idx="1145">
                  <c:v>45595</c:v>
                </c:pt>
                <c:pt idx="1146">
                  <c:v>45596</c:v>
                </c:pt>
                <c:pt idx="1147">
                  <c:v>45597</c:v>
                </c:pt>
                <c:pt idx="1148">
                  <c:v>45600</c:v>
                </c:pt>
                <c:pt idx="1149">
                  <c:v>45601</c:v>
                </c:pt>
                <c:pt idx="1150">
                  <c:v>45602</c:v>
                </c:pt>
                <c:pt idx="1151">
                  <c:v>45603</c:v>
                </c:pt>
                <c:pt idx="1152">
                  <c:v>45604</c:v>
                </c:pt>
                <c:pt idx="1153">
                  <c:v>45607</c:v>
                </c:pt>
                <c:pt idx="1154">
                  <c:v>45608</c:v>
                </c:pt>
                <c:pt idx="1155">
                  <c:v>45609</c:v>
                </c:pt>
                <c:pt idx="1156">
                  <c:v>45610</c:v>
                </c:pt>
                <c:pt idx="1157">
                  <c:v>45611</c:v>
                </c:pt>
                <c:pt idx="1158">
                  <c:v>45614</c:v>
                </c:pt>
                <c:pt idx="1159">
                  <c:v>45615</c:v>
                </c:pt>
                <c:pt idx="1160">
                  <c:v>45616</c:v>
                </c:pt>
                <c:pt idx="1161">
                  <c:v>45617</c:v>
                </c:pt>
                <c:pt idx="1162">
                  <c:v>45618</c:v>
                </c:pt>
                <c:pt idx="1163">
                  <c:v>45621</c:v>
                </c:pt>
                <c:pt idx="1164">
                  <c:v>45622</c:v>
                </c:pt>
                <c:pt idx="1165">
                  <c:v>45623</c:v>
                </c:pt>
                <c:pt idx="1166">
                  <c:v>45625</c:v>
                </c:pt>
                <c:pt idx="1167">
                  <c:v>45628</c:v>
                </c:pt>
                <c:pt idx="1168">
                  <c:v>45629</c:v>
                </c:pt>
                <c:pt idx="1169">
                  <c:v>45630</c:v>
                </c:pt>
                <c:pt idx="1170">
                  <c:v>45631</c:v>
                </c:pt>
                <c:pt idx="1171">
                  <c:v>45632</c:v>
                </c:pt>
                <c:pt idx="1172">
                  <c:v>45635</c:v>
                </c:pt>
                <c:pt idx="1173">
                  <c:v>45636</c:v>
                </c:pt>
                <c:pt idx="1174">
                  <c:v>45637</c:v>
                </c:pt>
                <c:pt idx="1175">
                  <c:v>45638</c:v>
                </c:pt>
                <c:pt idx="1176">
                  <c:v>45639</c:v>
                </c:pt>
                <c:pt idx="1177">
                  <c:v>45642</c:v>
                </c:pt>
                <c:pt idx="1178">
                  <c:v>45643</c:v>
                </c:pt>
                <c:pt idx="1179">
                  <c:v>45644</c:v>
                </c:pt>
                <c:pt idx="1180">
                  <c:v>45645</c:v>
                </c:pt>
                <c:pt idx="1181">
                  <c:v>45646</c:v>
                </c:pt>
                <c:pt idx="1182">
                  <c:v>45649</c:v>
                </c:pt>
                <c:pt idx="1183">
                  <c:v>45650</c:v>
                </c:pt>
                <c:pt idx="1184">
                  <c:v>45652</c:v>
                </c:pt>
                <c:pt idx="1185">
                  <c:v>45653</c:v>
                </c:pt>
                <c:pt idx="1186">
                  <c:v>45656</c:v>
                </c:pt>
                <c:pt idx="1187">
                  <c:v>45657</c:v>
                </c:pt>
                <c:pt idx="1188">
                  <c:v>45659</c:v>
                </c:pt>
                <c:pt idx="1189">
                  <c:v>45660</c:v>
                </c:pt>
                <c:pt idx="1190">
                  <c:v>45663</c:v>
                </c:pt>
                <c:pt idx="1191">
                  <c:v>45664</c:v>
                </c:pt>
                <c:pt idx="1192">
                  <c:v>45665</c:v>
                </c:pt>
                <c:pt idx="1193">
                  <c:v>45667</c:v>
                </c:pt>
                <c:pt idx="1194">
                  <c:v>45670</c:v>
                </c:pt>
                <c:pt idx="1195">
                  <c:v>45671</c:v>
                </c:pt>
                <c:pt idx="1196">
                  <c:v>45672</c:v>
                </c:pt>
                <c:pt idx="1197">
                  <c:v>45673</c:v>
                </c:pt>
                <c:pt idx="1198">
                  <c:v>45674</c:v>
                </c:pt>
                <c:pt idx="1199">
                  <c:v>45678</c:v>
                </c:pt>
                <c:pt idx="1200">
                  <c:v>45679</c:v>
                </c:pt>
                <c:pt idx="1201">
                  <c:v>45680</c:v>
                </c:pt>
                <c:pt idx="1202">
                  <c:v>45681</c:v>
                </c:pt>
                <c:pt idx="1203">
                  <c:v>45684</c:v>
                </c:pt>
                <c:pt idx="1204">
                  <c:v>45685</c:v>
                </c:pt>
                <c:pt idx="1205">
                  <c:v>45686</c:v>
                </c:pt>
                <c:pt idx="1206">
                  <c:v>45687</c:v>
                </c:pt>
                <c:pt idx="1207">
                  <c:v>45688</c:v>
                </c:pt>
                <c:pt idx="1208">
                  <c:v>45691</c:v>
                </c:pt>
                <c:pt idx="1209">
                  <c:v>45692</c:v>
                </c:pt>
                <c:pt idx="1210">
                  <c:v>45693</c:v>
                </c:pt>
                <c:pt idx="1211">
                  <c:v>45694</c:v>
                </c:pt>
                <c:pt idx="1212">
                  <c:v>45695</c:v>
                </c:pt>
                <c:pt idx="1213">
                  <c:v>45698</c:v>
                </c:pt>
                <c:pt idx="1214">
                  <c:v>45699</c:v>
                </c:pt>
                <c:pt idx="1215">
                  <c:v>45700</c:v>
                </c:pt>
                <c:pt idx="1216">
                  <c:v>45701</c:v>
                </c:pt>
                <c:pt idx="1217">
                  <c:v>45702</c:v>
                </c:pt>
                <c:pt idx="1218">
                  <c:v>45706</c:v>
                </c:pt>
                <c:pt idx="1219">
                  <c:v>45707</c:v>
                </c:pt>
                <c:pt idx="1220">
                  <c:v>45708</c:v>
                </c:pt>
                <c:pt idx="1221">
                  <c:v>45709</c:v>
                </c:pt>
                <c:pt idx="1222">
                  <c:v>45712</c:v>
                </c:pt>
                <c:pt idx="1223">
                  <c:v>45713</c:v>
                </c:pt>
                <c:pt idx="1224">
                  <c:v>45714</c:v>
                </c:pt>
                <c:pt idx="1225">
                  <c:v>45715</c:v>
                </c:pt>
                <c:pt idx="1226">
                  <c:v>45716</c:v>
                </c:pt>
                <c:pt idx="1227">
                  <c:v>45719</c:v>
                </c:pt>
                <c:pt idx="1228">
                  <c:v>45720</c:v>
                </c:pt>
                <c:pt idx="1229">
                  <c:v>45721</c:v>
                </c:pt>
                <c:pt idx="1230">
                  <c:v>45722</c:v>
                </c:pt>
                <c:pt idx="1231">
                  <c:v>45723</c:v>
                </c:pt>
                <c:pt idx="1232">
                  <c:v>45726</c:v>
                </c:pt>
                <c:pt idx="1233">
                  <c:v>45727</c:v>
                </c:pt>
                <c:pt idx="1234">
                  <c:v>45728</c:v>
                </c:pt>
                <c:pt idx="1235">
                  <c:v>45729</c:v>
                </c:pt>
                <c:pt idx="1236">
                  <c:v>45730</c:v>
                </c:pt>
                <c:pt idx="1237">
                  <c:v>45733</c:v>
                </c:pt>
                <c:pt idx="1238">
                  <c:v>45734</c:v>
                </c:pt>
                <c:pt idx="1239">
                  <c:v>45735</c:v>
                </c:pt>
                <c:pt idx="1240">
                  <c:v>45736</c:v>
                </c:pt>
                <c:pt idx="1241">
                  <c:v>45737</c:v>
                </c:pt>
                <c:pt idx="1242">
                  <c:v>45740</c:v>
                </c:pt>
                <c:pt idx="1243">
                  <c:v>45741</c:v>
                </c:pt>
                <c:pt idx="1244">
                  <c:v>45742</c:v>
                </c:pt>
                <c:pt idx="1245">
                  <c:v>45743</c:v>
                </c:pt>
                <c:pt idx="1246">
                  <c:v>45744</c:v>
                </c:pt>
                <c:pt idx="1247">
                  <c:v>45747</c:v>
                </c:pt>
                <c:pt idx="1248">
                  <c:v>45748</c:v>
                </c:pt>
                <c:pt idx="1249">
                  <c:v>45749</c:v>
                </c:pt>
                <c:pt idx="1250">
                  <c:v>45750</c:v>
                </c:pt>
                <c:pt idx="1251">
                  <c:v>45751</c:v>
                </c:pt>
                <c:pt idx="1252">
                  <c:v>45754</c:v>
                </c:pt>
                <c:pt idx="1253">
                  <c:v>45755</c:v>
                </c:pt>
                <c:pt idx="1254">
                  <c:v>45756</c:v>
                </c:pt>
                <c:pt idx="1255">
                  <c:v>45757</c:v>
                </c:pt>
                <c:pt idx="1256">
                  <c:v>45758</c:v>
                </c:pt>
              </c:numCache>
            </c:numRef>
          </c:cat>
          <c:val>
            <c:numRef>
              <c:f>CovarianceStationaryWeaklyDepen!$F$2:$F$1259</c:f>
              <c:numCache>
                <c:formatCode>_(* #,##0.00_);_(* \(#,##0.00\);_(* "-"??_);_(@_)</c:formatCode>
                <c:ptCount val="1258"/>
                <c:pt idx="0">
                  <c:v>-214.40000000000009</c:v>
                </c:pt>
                <c:pt idx="1">
                  <c:v>204</c:v>
                </c:pt>
                <c:pt idx="2">
                  <c:v>15.200000000000273</c:v>
                </c:pt>
                <c:pt idx="3">
                  <c:v>-110.40000000000009</c:v>
                </c:pt>
                <c:pt idx="4">
                  <c:v>252.79999999999973</c:v>
                </c:pt>
                <c:pt idx="5">
                  <c:v>228.80000000000018</c:v>
                </c:pt>
                <c:pt idx="6">
                  <c:v>-147.19999999999982</c:v>
                </c:pt>
                <c:pt idx="7">
                  <c:v>-1.6000000000003638</c:v>
                </c:pt>
                <c:pt idx="8">
                  <c:v>-159.19999999999982</c:v>
                </c:pt>
                <c:pt idx="9">
                  <c:v>-216</c:v>
                </c:pt>
                <c:pt idx="10">
                  <c:v>43.199999999999818</c:v>
                </c:pt>
                <c:pt idx="11">
                  <c:v>-160.79999999999973</c:v>
                </c:pt>
                <c:pt idx="12">
                  <c:v>79.199999999999818</c:v>
                </c:pt>
                <c:pt idx="13">
                  <c:v>216</c:v>
                </c:pt>
                <c:pt idx="14">
                  <c:v>-55.199999999999818</c:v>
                </c:pt>
                <c:pt idx="15">
                  <c:v>-101.59999999999991</c:v>
                </c:pt>
                <c:pt idx="16">
                  <c:v>28.799999999999727</c:v>
                </c:pt>
                <c:pt idx="17">
                  <c:v>-104</c:v>
                </c:pt>
                <c:pt idx="18">
                  <c:v>-170.40000000000009</c:v>
                </c:pt>
                <c:pt idx="19">
                  <c:v>-157.59999999999991</c:v>
                </c:pt>
                <c:pt idx="20">
                  <c:v>216</c:v>
                </c:pt>
                <c:pt idx="21">
                  <c:v>241.59999999999991</c:v>
                </c:pt>
                <c:pt idx="22">
                  <c:v>-127.19999999999982</c:v>
                </c:pt>
                <c:pt idx="23">
                  <c:v>-67.199999999999818</c:v>
                </c:pt>
                <c:pt idx="24">
                  <c:v>-153.60000000000036</c:v>
                </c:pt>
                <c:pt idx="25">
                  <c:v>113.60000000000036</c:v>
                </c:pt>
                <c:pt idx="26">
                  <c:v>-143.20000000000027</c:v>
                </c:pt>
                <c:pt idx="27">
                  <c:v>48.800000000000182</c:v>
                </c:pt>
                <c:pt idx="28">
                  <c:v>-17.599999999999909</c:v>
                </c:pt>
                <c:pt idx="29">
                  <c:v>-28.800000000000182</c:v>
                </c:pt>
                <c:pt idx="30">
                  <c:v>-51.199999999999818</c:v>
                </c:pt>
                <c:pt idx="31">
                  <c:v>84</c:v>
                </c:pt>
                <c:pt idx="32">
                  <c:v>-72.800000000000182</c:v>
                </c:pt>
                <c:pt idx="33">
                  <c:v>10.400000000000091</c:v>
                </c:pt>
                <c:pt idx="34">
                  <c:v>-59.200000000000273</c:v>
                </c:pt>
                <c:pt idx="35">
                  <c:v>-93.599999999999909</c:v>
                </c:pt>
                <c:pt idx="36">
                  <c:v>-19.199999999999818</c:v>
                </c:pt>
                <c:pt idx="37">
                  <c:v>-108.80000000000018</c:v>
                </c:pt>
                <c:pt idx="38">
                  <c:v>42.400000000000091</c:v>
                </c:pt>
                <c:pt idx="39">
                  <c:v>98.400000000000091</c:v>
                </c:pt>
                <c:pt idx="40">
                  <c:v>-12.800000000000182</c:v>
                </c:pt>
                <c:pt idx="41">
                  <c:v>685.59999999999991</c:v>
                </c:pt>
                <c:pt idx="42">
                  <c:v>-188.79999999999973</c:v>
                </c:pt>
                <c:pt idx="43">
                  <c:v>-61.599999999999909</c:v>
                </c:pt>
                <c:pt idx="44">
                  <c:v>-50.400000000000091</c:v>
                </c:pt>
                <c:pt idx="45">
                  <c:v>-4.8000000000001819</c:v>
                </c:pt>
                <c:pt idx="46">
                  <c:v>-40.799999999999727</c:v>
                </c:pt>
                <c:pt idx="47">
                  <c:v>38.399999999999636</c:v>
                </c:pt>
                <c:pt idx="48">
                  <c:v>-119.19999999999982</c:v>
                </c:pt>
                <c:pt idx="49">
                  <c:v>-44.800000000000182</c:v>
                </c:pt>
                <c:pt idx="50">
                  <c:v>156</c:v>
                </c:pt>
                <c:pt idx="51">
                  <c:v>-94.399999999999636</c:v>
                </c:pt>
                <c:pt idx="52">
                  <c:v>144.79999999999973</c:v>
                </c:pt>
                <c:pt idx="53">
                  <c:v>-119.19999999999982</c:v>
                </c:pt>
                <c:pt idx="54">
                  <c:v>-121.59999999999991</c:v>
                </c:pt>
                <c:pt idx="55">
                  <c:v>-62.400000000000091</c:v>
                </c:pt>
                <c:pt idx="56">
                  <c:v>-36.800000000000182</c:v>
                </c:pt>
                <c:pt idx="57">
                  <c:v>-1.5999999999999091</c:v>
                </c:pt>
                <c:pt idx="58">
                  <c:v>62.400000000000091</c:v>
                </c:pt>
                <c:pt idx="59">
                  <c:v>-49.599999999999909</c:v>
                </c:pt>
                <c:pt idx="60">
                  <c:v>35.199999999999818</c:v>
                </c:pt>
                <c:pt idx="61">
                  <c:v>-55.199999999999818</c:v>
                </c:pt>
                <c:pt idx="62">
                  <c:v>201.59999999999991</c:v>
                </c:pt>
                <c:pt idx="63">
                  <c:v>-137.59999999999991</c:v>
                </c:pt>
                <c:pt idx="64">
                  <c:v>-57.600000000000364</c:v>
                </c:pt>
                <c:pt idx="65">
                  <c:v>-38.399999999999636</c:v>
                </c:pt>
                <c:pt idx="66">
                  <c:v>-74.400000000000091</c:v>
                </c:pt>
                <c:pt idx="67">
                  <c:v>-92.800000000000182</c:v>
                </c:pt>
                <c:pt idx="68">
                  <c:v>16.800000000000182</c:v>
                </c:pt>
                <c:pt idx="69">
                  <c:v>-20.800000000000182</c:v>
                </c:pt>
                <c:pt idx="70">
                  <c:v>58.400000000000091</c:v>
                </c:pt>
                <c:pt idx="71">
                  <c:v>8</c:v>
                </c:pt>
                <c:pt idx="72">
                  <c:v>-55.200000000000045</c:v>
                </c:pt>
                <c:pt idx="73">
                  <c:v>-11.200000000000045</c:v>
                </c:pt>
                <c:pt idx="74">
                  <c:v>-39.199999999999818</c:v>
                </c:pt>
                <c:pt idx="75">
                  <c:v>44</c:v>
                </c:pt>
                <c:pt idx="76">
                  <c:v>-39.200000000000045</c:v>
                </c:pt>
                <c:pt idx="77">
                  <c:v>-11.200000000000045</c:v>
                </c:pt>
                <c:pt idx="78">
                  <c:v>-56</c:v>
                </c:pt>
                <c:pt idx="79">
                  <c:v>-36</c:v>
                </c:pt>
                <c:pt idx="80">
                  <c:v>-20</c:v>
                </c:pt>
                <c:pt idx="81">
                  <c:v>-12</c:v>
                </c:pt>
                <c:pt idx="82">
                  <c:v>-52</c:v>
                </c:pt>
                <c:pt idx="83">
                  <c:v>79.200000000000045</c:v>
                </c:pt>
                <c:pt idx="84">
                  <c:v>-96</c:v>
                </c:pt>
                <c:pt idx="85">
                  <c:v>0</c:v>
                </c:pt>
                <c:pt idx="86">
                  <c:v>1.5999999999999091</c:v>
                </c:pt>
                <c:pt idx="87">
                  <c:v>-64</c:v>
                </c:pt>
                <c:pt idx="88">
                  <c:v>-15.200000000000045</c:v>
                </c:pt>
                <c:pt idx="89">
                  <c:v>31.200000000000045</c:v>
                </c:pt>
                <c:pt idx="90">
                  <c:v>-17.599999999999909</c:v>
                </c:pt>
                <c:pt idx="91">
                  <c:v>7.2000000000000455</c:v>
                </c:pt>
                <c:pt idx="92">
                  <c:v>-5.6000000000001364</c:v>
                </c:pt>
                <c:pt idx="93">
                  <c:v>-11.200000000000045</c:v>
                </c:pt>
                <c:pt idx="94">
                  <c:v>36.800000000000182</c:v>
                </c:pt>
                <c:pt idx="95">
                  <c:v>52</c:v>
                </c:pt>
                <c:pt idx="96">
                  <c:v>-8.8000000000001819</c:v>
                </c:pt>
                <c:pt idx="97">
                  <c:v>80</c:v>
                </c:pt>
                <c:pt idx="98">
                  <c:v>32</c:v>
                </c:pt>
                <c:pt idx="99">
                  <c:v>48</c:v>
                </c:pt>
                <c:pt idx="100">
                  <c:v>243.20000000000027</c:v>
                </c:pt>
                <c:pt idx="101">
                  <c:v>-173.60000000000014</c:v>
                </c:pt>
                <c:pt idx="102">
                  <c:v>-54.400000000000091</c:v>
                </c:pt>
                <c:pt idx="103">
                  <c:v>-93.599999999999909</c:v>
                </c:pt>
                <c:pt idx="104">
                  <c:v>20</c:v>
                </c:pt>
                <c:pt idx="105">
                  <c:v>-108.79999999999995</c:v>
                </c:pt>
                <c:pt idx="106">
                  <c:v>-26.400000000000091</c:v>
                </c:pt>
                <c:pt idx="107">
                  <c:v>-0.79999999999995453</c:v>
                </c:pt>
                <c:pt idx="108">
                  <c:v>-9.6000000000001364</c:v>
                </c:pt>
                <c:pt idx="109">
                  <c:v>-36</c:v>
                </c:pt>
                <c:pt idx="110">
                  <c:v>0.8000000000001819</c:v>
                </c:pt>
                <c:pt idx="111">
                  <c:v>52.799999999999955</c:v>
                </c:pt>
                <c:pt idx="112">
                  <c:v>11.200000000000045</c:v>
                </c:pt>
                <c:pt idx="113">
                  <c:v>88.799999999999955</c:v>
                </c:pt>
                <c:pt idx="114">
                  <c:v>-31.200000000000045</c:v>
                </c:pt>
                <c:pt idx="115">
                  <c:v>-46.400000000000091</c:v>
                </c:pt>
                <c:pt idx="116">
                  <c:v>-5.5999999999999091</c:v>
                </c:pt>
                <c:pt idx="117">
                  <c:v>-32.799999999999955</c:v>
                </c:pt>
                <c:pt idx="118">
                  <c:v>-2.4000000000000909</c:v>
                </c:pt>
                <c:pt idx="119">
                  <c:v>8</c:v>
                </c:pt>
                <c:pt idx="120">
                  <c:v>46.400000000000091</c:v>
                </c:pt>
                <c:pt idx="121">
                  <c:v>-49.600000000000136</c:v>
                </c:pt>
                <c:pt idx="122">
                  <c:v>20.800000000000182</c:v>
                </c:pt>
                <c:pt idx="123">
                  <c:v>-52</c:v>
                </c:pt>
                <c:pt idx="124">
                  <c:v>-63.200000000000045</c:v>
                </c:pt>
                <c:pt idx="125">
                  <c:v>-81.600000000000136</c:v>
                </c:pt>
                <c:pt idx="126">
                  <c:v>-27.199999999999818</c:v>
                </c:pt>
                <c:pt idx="127">
                  <c:v>15.199999999999818</c:v>
                </c:pt>
                <c:pt idx="128">
                  <c:v>-12</c:v>
                </c:pt>
                <c:pt idx="129">
                  <c:v>11.200000000000045</c:v>
                </c:pt>
                <c:pt idx="130">
                  <c:v>9.6000000000001364</c:v>
                </c:pt>
                <c:pt idx="131">
                  <c:v>64.799999999999955</c:v>
                </c:pt>
                <c:pt idx="132">
                  <c:v>-0.79999999999995453</c:v>
                </c:pt>
                <c:pt idx="133">
                  <c:v>-36.800000000000182</c:v>
                </c:pt>
                <c:pt idx="134">
                  <c:v>-33.599999999999909</c:v>
                </c:pt>
                <c:pt idx="135">
                  <c:v>1.5999999999999091</c:v>
                </c:pt>
                <c:pt idx="136">
                  <c:v>127.20000000000005</c:v>
                </c:pt>
                <c:pt idx="137">
                  <c:v>7.2000000000000455</c:v>
                </c:pt>
                <c:pt idx="138">
                  <c:v>228.79999999999995</c:v>
                </c:pt>
                <c:pt idx="139">
                  <c:v>-152.79999999999995</c:v>
                </c:pt>
                <c:pt idx="140">
                  <c:v>74.400000000000091</c:v>
                </c:pt>
                <c:pt idx="141">
                  <c:v>-37.600000000000136</c:v>
                </c:pt>
                <c:pt idx="142">
                  <c:v>-89.599999999999909</c:v>
                </c:pt>
                <c:pt idx="143">
                  <c:v>-141.60000000000014</c:v>
                </c:pt>
                <c:pt idx="144">
                  <c:v>-28</c:v>
                </c:pt>
                <c:pt idx="145">
                  <c:v>-93.599999999999909</c:v>
                </c:pt>
                <c:pt idx="146">
                  <c:v>-30.400000000000091</c:v>
                </c:pt>
                <c:pt idx="147">
                  <c:v>-42.399999999999864</c:v>
                </c:pt>
                <c:pt idx="148">
                  <c:v>-25.600000000000136</c:v>
                </c:pt>
                <c:pt idx="149">
                  <c:v>84</c:v>
                </c:pt>
                <c:pt idx="150">
                  <c:v>-82.399999999999864</c:v>
                </c:pt>
                <c:pt idx="151">
                  <c:v>-32</c:v>
                </c:pt>
                <c:pt idx="152">
                  <c:v>-19.200000000000045</c:v>
                </c:pt>
                <c:pt idx="153">
                  <c:v>44.799999999999955</c:v>
                </c:pt>
                <c:pt idx="154">
                  <c:v>-23.200000000000045</c:v>
                </c:pt>
                <c:pt idx="155">
                  <c:v>-4</c:v>
                </c:pt>
                <c:pt idx="156">
                  <c:v>-15.199999999999818</c:v>
                </c:pt>
                <c:pt idx="157">
                  <c:v>-18.400000000000091</c:v>
                </c:pt>
                <c:pt idx="158">
                  <c:v>-43.200000000000045</c:v>
                </c:pt>
                <c:pt idx="159">
                  <c:v>7.2000000000000455</c:v>
                </c:pt>
                <c:pt idx="160">
                  <c:v>-22.400000000000091</c:v>
                </c:pt>
                <c:pt idx="161">
                  <c:v>8.8000000000001819</c:v>
                </c:pt>
                <c:pt idx="162">
                  <c:v>-4.8000000000001819</c:v>
                </c:pt>
                <c:pt idx="163">
                  <c:v>8.8000000000001819</c:v>
                </c:pt>
                <c:pt idx="164">
                  <c:v>-16.800000000000182</c:v>
                </c:pt>
                <c:pt idx="165">
                  <c:v>6.4000000000000909</c:v>
                </c:pt>
                <c:pt idx="166">
                  <c:v>-39.200000000000045</c:v>
                </c:pt>
                <c:pt idx="167">
                  <c:v>39.200000000000045</c:v>
                </c:pt>
                <c:pt idx="168">
                  <c:v>9.5999999999999091</c:v>
                </c:pt>
                <c:pt idx="169">
                  <c:v>43.200000000000045</c:v>
                </c:pt>
                <c:pt idx="170">
                  <c:v>28</c:v>
                </c:pt>
                <c:pt idx="171">
                  <c:v>-56.799999999999955</c:v>
                </c:pt>
                <c:pt idx="172">
                  <c:v>-40</c:v>
                </c:pt>
                <c:pt idx="173">
                  <c:v>-12</c:v>
                </c:pt>
                <c:pt idx="174">
                  <c:v>26.400000000000091</c:v>
                </c:pt>
                <c:pt idx="175">
                  <c:v>81.599999999999909</c:v>
                </c:pt>
                <c:pt idx="176">
                  <c:v>-23.200000000000045</c:v>
                </c:pt>
                <c:pt idx="177">
                  <c:v>-45.599999999999909</c:v>
                </c:pt>
                <c:pt idx="178">
                  <c:v>-31.200000000000045</c:v>
                </c:pt>
                <c:pt idx="179">
                  <c:v>-8</c:v>
                </c:pt>
                <c:pt idx="180">
                  <c:v>43.200000000000045</c:v>
                </c:pt>
                <c:pt idx="181">
                  <c:v>-43.200000000000045</c:v>
                </c:pt>
                <c:pt idx="182">
                  <c:v>-0.79999999999995453</c:v>
                </c:pt>
                <c:pt idx="183">
                  <c:v>104.79999999999995</c:v>
                </c:pt>
                <c:pt idx="184">
                  <c:v>-45.599999999999909</c:v>
                </c:pt>
                <c:pt idx="185">
                  <c:v>-7.2000000000000455</c:v>
                </c:pt>
                <c:pt idx="186">
                  <c:v>-70.400000000000091</c:v>
                </c:pt>
                <c:pt idx="187">
                  <c:v>-10.399999999999864</c:v>
                </c:pt>
                <c:pt idx="188">
                  <c:v>65.599999999999909</c:v>
                </c:pt>
                <c:pt idx="189">
                  <c:v>-38.799999999999955</c:v>
                </c:pt>
                <c:pt idx="190">
                  <c:v>-17.200000000000045</c:v>
                </c:pt>
                <c:pt idx="191">
                  <c:v>13.599999999999909</c:v>
                </c:pt>
                <c:pt idx="192">
                  <c:v>27.200000000000045</c:v>
                </c:pt>
                <c:pt idx="193">
                  <c:v>-31.200000000000045</c:v>
                </c:pt>
                <c:pt idx="194">
                  <c:v>-22.399999999999864</c:v>
                </c:pt>
                <c:pt idx="195">
                  <c:v>-8.7999999999999545</c:v>
                </c:pt>
                <c:pt idx="196">
                  <c:v>15.199999999999818</c:v>
                </c:pt>
                <c:pt idx="197">
                  <c:v>43.200000000000045</c:v>
                </c:pt>
                <c:pt idx="198">
                  <c:v>-18.399999999999864</c:v>
                </c:pt>
                <c:pt idx="199">
                  <c:v>228</c:v>
                </c:pt>
                <c:pt idx="200">
                  <c:v>-27.200000000000045</c:v>
                </c:pt>
                <c:pt idx="201">
                  <c:v>84.799999999999955</c:v>
                </c:pt>
                <c:pt idx="202">
                  <c:v>-80.799999999999955</c:v>
                </c:pt>
                <c:pt idx="203">
                  <c:v>-108.79999999999995</c:v>
                </c:pt>
                <c:pt idx="204">
                  <c:v>-64</c:v>
                </c:pt>
                <c:pt idx="205">
                  <c:v>-49.600000000000136</c:v>
                </c:pt>
                <c:pt idx="206">
                  <c:v>-2.7999999999999545</c:v>
                </c:pt>
                <c:pt idx="207">
                  <c:v>-8.4000000000000909</c:v>
                </c:pt>
                <c:pt idx="208">
                  <c:v>5.6000000000001364</c:v>
                </c:pt>
                <c:pt idx="209">
                  <c:v>15.200000000000045</c:v>
                </c:pt>
                <c:pt idx="210">
                  <c:v>-24.800000000000182</c:v>
                </c:pt>
                <c:pt idx="211">
                  <c:v>-34.399999999999864</c:v>
                </c:pt>
                <c:pt idx="212">
                  <c:v>1.5999999999999091</c:v>
                </c:pt>
                <c:pt idx="213">
                  <c:v>-14.399999999999977</c:v>
                </c:pt>
                <c:pt idx="214">
                  <c:v>8.8000000000000682</c:v>
                </c:pt>
                <c:pt idx="215">
                  <c:v>-40</c:v>
                </c:pt>
                <c:pt idx="216">
                  <c:v>41.599999999999909</c:v>
                </c:pt>
                <c:pt idx="217">
                  <c:v>-42.399999999999977</c:v>
                </c:pt>
                <c:pt idx="218">
                  <c:v>-37.600000000000023</c:v>
                </c:pt>
                <c:pt idx="219">
                  <c:v>147.20000000000005</c:v>
                </c:pt>
                <c:pt idx="220">
                  <c:v>-52</c:v>
                </c:pt>
                <c:pt idx="221">
                  <c:v>-80</c:v>
                </c:pt>
                <c:pt idx="222">
                  <c:v>16</c:v>
                </c:pt>
                <c:pt idx="223">
                  <c:v>43.200000000000045</c:v>
                </c:pt>
                <c:pt idx="224">
                  <c:v>42.399999999999864</c:v>
                </c:pt>
                <c:pt idx="225">
                  <c:v>-73.599999999999909</c:v>
                </c:pt>
                <c:pt idx="226">
                  <c:v>24</c:v>
                </c:pt>
                <c:pt idx="227">
                  <c:v>-48.799999999999955</c:v>
                </c:pt>
                <c:pt idx="228">
                  <c:v>-11.200000000000045</c:v>
                </c:pt>
                <c:pt idx="229">
                  <c:v>-24.799999999999955</c:v>
                </c:pt>
                <c:pt idx="230">
                  <c:v>-16</c:v>
                </c:pt>
                <c:pt idx="231">
                  <c:v>-52</c:v>
                </c:pt>
                <c:pt idx="232">
                  <c:v>0</c:v>
                </c:pt>
                <c:pt idx="233">
                  <c:v>-39.200000000000045</c:v>
                </c:pt>
                <c:pt idx="234">
                  <c:v>47.200000000000045</c:v>
                </c:pt>
                <c:pt idx="235">
                  <c:v>-28</c:v>
                </c:pt>
                <c:pt idx="236">
                  <c:v>-63.200000000000045</c:v>
                </c:pt>
                <c:pt idx="237">
                  <c:v>40</c:v>
                </c:pt>
                <c:pt idx="238">
                  <c:v>4.7999999999999545</c:v>
                </c:pt>
                <c:pt idx="239">
                  <c:v>-25.599999999999909</c:v>
                </c:pt>
                <c:pt idx="240">
                  <c:v>-31.200000000000045</c:v>
                </c:pt>
                <c:pt idx="241">
                  <c:v>21.600000000000023</c:v>
                </c:pt>
                <c:pt idx="242">
                  <c:v>-36.800000000000068</c:v>
                </c:pt>
                <c:pt idx="243">
                  <c:v>-4.7999999999999545</c:v>
                </c:pt>
                <c:pt idx="244">
                  <c:v>-23.200000000000045</c:v>
                </c:pt>
                <c:pt idx="245">
                  <c:v>-21.599999999999909</c:v>
                </c:pt>
                <c:pt idx="246">
                  <c:v>6.3999999999999773</c:v>
                </c:pt>
                <c:pt idx="247">
                  <c:v>-21.600000000000023</c:v>
                </c:pt>
                <c:pt idx="248">
                  <c:v>-10.399999999999977</c:v>
                </c:pt>
                <c:pt idx="249">
                  <c:v>-1.6000000000000227</c:v>
                </c:pt>
                <c:pt idx="250">
                  <c:v>-10.399999999999977</c:v>
                </c:pt>
                <c:pt idx="251">
                  <c:v>-5.6000000000000227</c:v>
                </c:pt>
                <c:pt idx="252">
                  <c:v>15.200000000000045</c:v>
                </c:pt>
                <c:pt idx="253">
                  <c:v>-22.400000000000091</c:v>
                </c:pt>
                <c:pt idx="254">
                  <c:v>-10.399999999999977</c:v>
                </c:pt>
                <c:pt idx="255">
                  <c:v>22.399999999999977</c:v>
                </c:pt>
                <c:pt idx="256">
                  <c:v>15.200000000000045</c:v>
                </c:pt>
                <c:pt idx="257">
                  <c:v>-35.200000000000045</c:v>
                </c:pt>
                <c:pt idx="258">
                  <c:v>44.800000000000068</c:v>
                </c:pt>
                <c:pt idx="259">
                  <c:v>-31.200000000000045</c:v>
                </c:pt>
                <c:pt idx="260">
                  <c:v>-4.7999999999999545</c:v>
                </c:pt>
                <c:pt idx="261">
                  <c:v>-14.399999999999977</c:v>
                </c:pt>
                <c:pt idx="262">
                  <c:v>-2.4000000000000909</c:v>
                </c:pt>
                <c:pt idx="263">
                  <c:v>-4</c:v>
                </c:pt>
                <c:pt idx="264">
                  <c:v>25.600000000000023</c:v>
                </c:pt>
                <c:pt idx="265">
                  <c:v>-24.799999999999955</c:v>
                </c:pt>
                <c:pt idx="266">
                  <c:v>24</c:v>
                </c:pt>
                <c:pt idx="267">
                  <c:v>-15.200000000000045</c:v>
                </c:pt>
                <c:pt idx="268">
                  <c:v>-4</c:v>
                </c:pt>
                <c:pt idx="269">
                  <c:v>-38.399999999999977</c:v>
                </c:pt>
                <c:pt idx="270">
                  <c:v>26.399999999999977</c:v>
                </c:pt>
                <c:pt idx="271">
                  <c:v>48.800000000000068</c:v>
                </c:pt>
                <c:pt idx="272">
                  <c:v>116</c:v>
                </c:pt>
                <c:pt idx="273">
                  <c:v>-74.400000000000091</c:v>
                </c:pt>
                <c:pt idx="274">
                  <c:v>-84</c:v>
                </c:pt>
                <c:pt idx="275">
                  <c:v>12.800000000000068</c:v>
                </c:pt>
                <c:pt idx="276">
                  <c:v>17.600000000000023</c:v>
                </c:pt>
                <c:pt idx="277">
                  <c:v>28.799999999999955</c:v>
                </c:pt>
                <c:pt idx="278">
                  <c:v>-36.799999999999955</c:v>
                </c:pt>
                <c:pt idx="279">
                  <c:v>-8.8000000000000682</c:v>
                </c:pt>
                <c:pt idx="280">
                  <c:v>-29.600000000000023</c:v>
                </c:pt>
                <c:pt idx="281">
                  <c:v>0</c:v>
                </c:pt>
                <c:pt idx="282">
                  <c:v>-29</c:v>
                </c:pt>
                <c:pt idx="283">
                  <c:v>-28.599999999999909</c:v>
                </c:pt>
                <c:pt idx="284">
                  <c:v>8</c:v>
                </c:pt>
                <c:pt idx="285">
                  <c:v>14.199999999999932</c:v>
                </c:pt>
                <c:pt idx="286">
                  <c:v>-14.199999999999932</c:v>
                </c:pt>
                <c:pt idx="287">
                  <c:v>10.399999999999977</c:v>
                </c:pt>
                <c:pt idx="288">
                  <c:v>-30.600000000000023</c:v>
                </c:pt>
                <c:pt idx="289">
                  <c:v>-9.7999999999999545</c:v>
                </c:pt>
                <c:pt idx="290">
                  <c:v>6.5999999999999091</c:v>
                </c:pt>
                <c:pt idx="291">
                  <c:v>8.2000000000000455</c:v>
                </c:pt>
                <c:pt idx="292">
                  <c:v>-33.399999999999977</c:v>
                </c:pt>
                <c:pt idx="293">
                  <c:v>-14</c:v>
                </c:pt>
                <c:pt idx="294">
                  <c:v>3.7999999999999545</c:v>
                </c:pt>
                <c:pt idx="295">
                  <c:v>11.5</c:v>
                </c:pt>
                <c:pt idx="296">
                  <c:v>5.1000000000000227</c:v>
                </c:pt>
                <c:pt idx="297">
                  <c:v>-3.2000000000000455</c:v>
                </c:pt>
                <c:pt idx="298">
                  <c:v>45.400000000000091</c:v>
                </c:pt>
                <c:pt idx="299">
                  <c:v>-37.200000000000045</c:v>
                </c:pt>
                <c:pt idx="300">
                  <c:v>-24.600000000000023</c:v>
                </c:pt>
                <c:pt idx="301">
                  <c:v>-10</c:v>
                </c:pt>
                <c:pt idx="302">
                  <c:v>-10.799999999999955</c:v>
                </c:pt>
                <c:pt idx="303">
                  <c:v>-7.2000000000000455</c:v>
                </c:pt>
                <c:pt idx="304">
                  <c:v>0.80000000000001137</c:v>
                </c:pt>
                <c:pt idx="305">
                  <c:v>8.4000000000000341</c:v>
                </c:pt>
                <c:pt idx="306">
                  <c:v>-5</c:v>
                </c:pt>
                <c:pt idx="307">
                  <c:v>-6.6000000000000227</c:v>
                </c:pt>
                <c:pt idx="308">
                  <c:v>-2.3999999999999773</c:v>
                </c:pt>
                <c:pt idx="309">
                  <c:v>11.399999999999977</c:v>
                </c:pt>
                <c:pt idx="310">
                  <c:v>1.1999999999999886</c:v>
                </c:pt>
                <c:pt idx="311">
                  <c:v>32.400000000000034</c:v>
                </c:pt>
                <c:pt idx="312">
                  <c:v>-36.200000000000045</c:v>
                </c:pt>
                <c:pt idx="313">
                  <c:v>-2.5999999999999659</c:v>
                </c:pt>
                <c:pt idx="314">
                  <c:v>6.1999999999999886</c:v>
                </c:pt>
                <c:pt idx="315">
                  <c:v>-11.399999999999977</c:v>
                </c:pt>
                <c:pt idx="316">
                  <c:v>7</c:v>
                </c:pt>
                <c:pt idx="317">
                  <c:v>18.399999999999977</c:v>
                </c:pt>
                <c:pt idx="318">
                  <c:v>72.200000000000045</c:v>
                </c:pt>
                <c:pt idx="319">
                  <c:v>-45.600000000000023</c:v>
                </c:pt>
                <c:pt idx="320">
                  <c:v>-35.800000000000011</c:v>
                </c:pt>
                <c:pt idx="321">
                  <c:v>8.8000000000000114</c:v>
                </c:pt>
                <c:pt idx="322">
                  <c:v>-3.2000000000000455</c:v>
                </c:pt>
                <c:pt idx="323">
                  <c:v>-6.5999999999999659</c:v>
                </c:pt>
                <c:pt idx="324">
                  <c:v>16.199999999999989</c:v>
                </c:pt>
                <c:pt idx="325">
                  <c:v>-12.800000000000011</c:v>
                </c:pt>
                <c:pt idx="326">
                  <c:v>-10</c:v>
                </c:pt>
                <c:pt idx="327">
                  <c:v>13.199999999999989</c:v>
                </c:pt>
                <c:pt idx="328">
                  <c:v>18.200000000000045</c:v>
                </c:pt>
                <c:pt idx="329">
                  <c:v>-25.600000000000023</c:v>
                </c:pt>
                <c:pt idx="330">
                  <c:v>-0.39999999999997726</c:v>
                </c:pt>
                <c:pt idx="331">
                  <c:v>-12.800000000000011</c:v>
                </c:pt>
                <c:pt idx="332">
                  <c:v>-12</c:v>
                </c:pt>
                <c:pt idx="333">
                  <c:v>-5.4000000000000341</c:v>
                </c:pt>
                <c:pt idx="334">
                  <c:v>-6.3999999999999773</c:v>
                </c:pt>
                <c:pt idx="335">
                  <c:v>-12.399999999999977</c:v>
                </c:pt>
                <c:pt idx="336">
                  <c:v>-9.6000000000000227</c:v>
                </c:pt>
                <c:pt idx="337">
                  <c:v>0</c:v>
                </c:pt>
                <c:pt idx="338">
                  <c:v>2</c:v>
                </c:pt>
                <c:pt idx="339">
                  <c:v>14</c:v>
                </c:pt>
                <c:pt idx="340">
                  <c:v>30.399999999999977</c:v>
                </c:pt>
                <c:pt idx="341">
                  <c:v>15.400000000000034</c:v>
                </c:pt>
                <c:pt idx="342">
                  <c:v>-36.800000000000011</c:v>
                </c:pt>
                <c:pt idx="343">
                  <c:v>-15.800000000000011</c:v>
                </c:pt>
                <c:pt idx="344">
                  <c:v>-1</c:v>
                </c:pt>
                <c:pt idx="345">
                  <c:v>-10</c:v>
                </c:pt>
                <c:pt idx="346">
                  <c:v>18.600000000000023</c:v>
                </c:pt>
                <c:pt idx="347">
                  <c:v>-23</c:v>
                </c:pt>
                <c:pt idx="348">
                  <c:v>-4.4000000000000341</c:v>
                </c:pt>
                <c:pt idx="349">
                  <c:v>-1.3999999999999773</c:v>
                </c:pt>
                <c:pt idx="350">
                  <c:v>-10.800000000000011</c:v>
                </c:pt>
                <c:pt idx="351">
                  <c:v>-0.80000000000001137</c:v>
                </c:pt>
                <c:pt idx="352">
                  <c:v>3.8000000000000114</c:v>
                </c:pt>
                <c:pt idx="353">
                  <c:v>9</c:v>
                </c:pt>
                <c:pt idx="354">
                  <c:v>-0.59999999999996589</c:v>
                </c:pt>
                <c:pt idx="355">
                  <c:v>9.1999999999999886</c:v>
                </c:pt>
                <c:pt idx="356">
                  <c:v>14.199999999999989</c:v>
                </c:pt>
                <c:pt idx="357">
                  <c:v>-14.199999999999989</c:v>
                </c:pt>
                <c:pt idx="358">
                  <c:v>6.8000000000000114</c:v>
                </c:pt>
                <c:pt idx="359">
                  <c:v>-17.600000000000023</c:v>
                </c:pt>
                <c:pt idx="360">
                  <c:v>-4.1999999999999886</c:v>
                </c:pt>
                <c:pt idx="361">
                  <c:v>27</c:v>
                </c:pt>
                <c:pt idx="362">
                  <c:v>47.800000000000011</c:v>
                </c:pt>
                <c:pt idx="363">
                  <c:v>-18.200000000000045</c:v>
                </c:pt>
                <c:pt idx="364">
                  <c:v>-26.399999999999977</c:v>
                </c:pt>
                <c:pt idx="365">
                  <c:v>-27.399999999999977</c:v>
                </c:pt>
                <c:pt idx="366">
                  <c:v>-12.600000000000023</c:v>
                </c:pt>
                <c:pt idx="367">
                  <c:v>3.6000000000000227</c:v>
                </c:pt>
                <c:pt idx="368">
                  <c:v>43.199999999999989</c:v>
                </c:pt>
                <c:pt idx="369">
                  <c:v>6</c:v>
                </c:pt>
                <c:pt idx="370">
                  <c:v>1.1999999999999886</c:v>
                </c:pt>
                <c:pt idx="371">
                  <c:v>-17.399999999999977</c:v>
                </c:pt>
                <c:pt idx="372">
                  <c:v>12.599999999999966</c:v>
                </c:pt>
                <c:pt idx="373">
                  <c:v>-16.599999999999966</c:v>
                </c:pt>
                <c:pt idx="374">
                  <c:v>-5</c:v>
                </c:pt>
                <c:pt idx="375">
                  <c:v>-16.200000000000045</c:v>
                </c:pt>
                <c:pt idx="376">
                  <c:v>-7.7999999999999545</c:v>
                </c:pt>
                <c:pt idx="377">
                  <c:v>4.5999999999999659</c:v>
                </c:pt>
                <c:pt idx="378">
                  <c:v>-7.8000000000000114</c:v>
                </c:pt>
                <c:pt idx="379">
                  <c:v>-7.5999999999999659</c:v>
                </c:pt>
                <c:pt idx="380">
                  <c:v>-21.400000000000034</c:v>
                </c:pt>
                <c:pt idx="381">
                  <c:v>-0.19999999999998863</c:v>
                </c:pt>
                <c:pt idx="382">
                  <c:v>-7.5999999999999659</c:v>
                </c:pt>
                <c:pt idx="383">
                  <c:v>-3.4000000000000341</c:v>
                </c:pt>
                <c:pt idx="384">
                  <c:v>-3</c:v>
                </c:pt>
                <c:pt idx="385">
                  <c:v>-11.800000000000011</c:v>
                </c:pt>
                <c:pt idx="386">
                  <c:v>7</c:v>
                </c:pt>
                <c:pt idx="387">
                  <c:v>-10.399999999999977</c:v>
                </c:pt>
                <c:pt idx="388">
                  <c:v>6.6000000000000227</c:v>
                </c:pt>
                <c:pt idx="389">
                  <c:v>8.1999999999999886</c:v>
                </c:pt>
                <c:pt idx="390">
                  <c:v>-11.199999999999989</c:v>
                </c:pt>
                <c:pt idx="391">
                  <c:v>2.1999999999999886</c:v>
                </c:pt>
                <c:pt idx="392">
                  <c:v>-4.8000000000000114</c:v>
                </c:pt>
                <c:pt idx="393">
                  <c:v>-9</c:v>
                </c:pt>
                <c:pt idx="394">
                  <c:v>-12.199999999999989</c:v>
                </c:pt>
                <c:pt idx="395">
                  <c:v>4.8000000000000114</c:v>
                </c:pt>
                <c:pt idx="396">
                  <c:v>11.199999999999989</c:v>
                </c:pt>
                <c:pt idx="397">
                  <c:v>0.80000000000001137</c:v>
                </c:pt>
                <c:pt idx="398">
                  <c:v>5.5999999999999659</c:v>
                </c:pt>
                <c:pt idx="399">
                  <c:v>6</c:v>
                </c:pt>
                <c:pt idx="400">
                  <c:v>-6.8000000000000114</c:v>
                </c:pt>
                <c:pt idx="401">
                  <c:v>-11.799999999999955</c:v>
                </c:pt>
                <c:pt idx="402">
                  <c:v>-4.6000000000000227</c:v>
                </c:pt>
                <c:pt idx="403">
                  <c:v>0.80000000000001137</c:v>
                </c:pt>
                <c:pt idx="404">
                  <c:v>6</c:v>
                </c:pt>
                <c:pt idx="405">
                  <c:v>2.3999999999999773</c:v>
                </c:pt>
                <c:pt idx="406">
                  <c:v>4.6000000000000227</c:v>
                </c:pt>
                <c:pt idx="407">
                  <c:v>5.5999999999999659</c:v>
                </c:pt>
                <c:pt idx="408">
                  <c:v>-7.5999999999999659</c:v>
                </c:pt>
                <c:pt idx="409">
                  <c:v>-5</c:v>
                </c:pt>
                <c:pt idx="410">
                  <c:v>84</c:v>
                </c:pt>
                <c:pt idx="411">
                  <c:v>-56.800000000000011</c:v>
                </c:pt>
                <c:pt idx="412">
                  <c:v>51</c:v>
                </c:pt>
                <c:pt idx="413">
                  <c:v>31.800000000000011</c:v>
                </c:pt>
                <c:pt idx="414">
                  <c:v>-24.800000000000011</c:v>
                </c:pt>
                <c:pt idx="415">
                  <c:v>36.800000000000011</c:v>
                </c:pt>
                <c:pt idx="416">
                  <c:v>-37</c:v>
                </c:pt>
                <c:pt idx="417">
                  <c:v>-45.400000000000034</c:v>
                </c:pt>
                <c:pt idx="418">
                  <c:v>-22</c:v>
                </c:pt>
                <c:pt idx="419">
                  <c:v>9.8000000000000114</c:v>
                </c:pt>
                <c:pt idx="420">
                  <c:v>-23.599999999999966</c:v>
                </c:pt>
                <c:pt idx="421">
                  <c:v>13.599999999999966</c:v>
                </c:pt>
                <c:pt idx="422">
                  <c:v>6.1999999999999886</c:v>
                </c:pt>
                <c:pt idx="423">
                  <c:v>-25.799999999999955</c:v>
                </c:pt>
                <c:pt idx="424">
                  <c:v>14.399999999999977</c:v>
                </c:pt>
                <c:pt idx="425">
                  <c:v>11.199999999999989</c:v>
                </c:pt>
                <c:pt idx="426">
                  <c:v>12.400000000000034</c:v>
                </c:pt>
                <c:pt idx="427">
                  <c:v>-17.800000000000011</c:v>
                </c:pt>
                <c:pt idx="428">
                  <c:v>-20</c:v>
                </c:pt>
                <c:pt idx="429">
                  <c:v>-4.1999999999999886</c:v>
                </c:pt>
                <c:pt idx="430">
                  <c:v>-7.6000000000000227</c:v>
                </c:pt>
                <c:pt idx="431">
                  <c:v>-8.1999999999999886</c:v>
                </c:pt>
                <c:pt idx="432">
                  <c:v>-7.8000000000000114</c:v>
                </c:pt>
                <c:pt idx="433">
                  <c:v>-0.19999999999998863</c:v>
                </c:pt>
                <c:pt idx="434">
                  <c:v>-2.4000000000000341</c:v>
                </c:pt>
                <c:pt idx="435">
                  <c:v>-11</c:v>
                </c:pt>
                <c:pt idx="436">
                  <c:v>-0.19999999999998863</c:v>
                </c:pt>
                <c:pt idx="437">
                  <c:v>22.400000000000034</c:v>
                </c:pt>
                <c:pt idx="438">
                  <c:v>2.1999999999999886</c:v>
                </c:pt>
                <c:pt idx="439">
                  <c:v>-9.1999999999999886</c:v>
                </c:pt>
                <c:pt idx="440">
                  <c:v>-5.8000000000000114</c:v>
                </c:pt>
                <c:pt idx="441">
                  <c:v>-10.400000000000034</c:v>
                </c:pt>
                <c:pt idx="442">
                  <c:v>-3</c:v>
                </c:pt>
                <c:pt idx="443">
                  <c:v>18.200000000000045</c:v>
                </c:pt>
                <c:pt idx="444">
                  <c:v>-5</c:v>
                </c:pt>
                <c:pt idx="445">
                  <c:v>23.199999999999989</c:v>
                </c:pt>
                <c:pt idx="446">
                  <c:v>8</c:v>
                </c:pt>
                <c:pt idx="447">
                  <c:v>14.199999999999989</c:v>
                </c:pt>
                <c:pt idx="448">
                  <c:v>32.199999999999989</c:v>
                </c:pt>
                <c:pt idx="449">
                  <c:v>8.1999999999999886</c:v>
                </c:pt>
                <c:pt idx="450">
                  <c:v>3.2000000000000455</c:v>
                </c:pt>
                <c:pt idx="451">
                  <c:v>6.1999999999999886</c:v>
                </c:pt>
                <c:pt idx="452">
                  <c:v>3.3999999999999773</c:v>
                </c:pt>
                <c:pt idx="453">
                  <c:v>-25.599999999999966</c:v>
                </c:pt>
                <c:pt idx="454">
                  <c:v>-25</c:v>
                </c:pt>
                <c:pt idx="455">
                  <c:v>-25.800000000000011</c:v>
                </c:pt>
                <c:pt idx="456">
                  <c:v>-6.4000000000000341</c:v>
                </c:pt>
                <c:pt idx="457">
                  <c:v>38.200000000000045</c:v>
                </c:pt>
                <c:pt idx="458">
                  <c:v>-12.400000000000034</c:v>
                </c:pt>
                <c:pt idx="459">
                  <c:v>-9.1999999999999886</c:v>
                </c:pt>
                <c:pt idx="460">
                  <c:v>-15.399999999999977</c:v>
                </c:pt>
                <c:pt idx="461">
                  <c:v>-12.200000000000045</c:v>
                </c:pt>
                <c:pt idx="462">
                  <c:v>28.400000000000034</c:v>
                </c:pt>
                <c:pt idx="463">
                  <c:v>44.399999999999977</c:v>
                </c:pt>
                <c:pt idx="464">
                  <c:v>0</c:v>
                </c:pt>
                <c:pt idx="465">
                  <c:v>-30.199999999999989</c:v>
                </c:pt>
                <c:pt idx="466">
                  <c:v>-13.600000000000023</c:v>
                </c:pt>
                <c:pt idx="467">
                  <c:v>38.600000000000023</c:v>
                </c:pt>
                <c:pt idx="468">
                  <c:v>9.8000000000000114</c:v>
                </c:pt>
                <c:pt idx="469">
                  <c:v>-2</c:v>
                </c:pt>
                <c:pt idx="470">
                  <c:v>21.199999999999989</c:v>
                </c:pt>
                <c:pt idx="471">
                  <c:v>-12.600000000000023</c:v>
                </c:pt>
                <c:pt idx="472">
                  <c:v>-16</c:v>
                </c:pt>
                <c:pt idx="473">
                  <c:v>18.600000000000023</c:v>
                </c:pt>
                <c:pt idx="474">
                  <c:v>42.199999999999989</c:v>
                </c:pt>
                <c:pt idx="475">
                  <c:v>-27.199999999999989</c:v>
                </c:pt>
                <c:pt idx="476">
                  <c:v>2</c:v>
                </c:pt>
                <c:pt idx="477">
                  <c:v>17</c:v>
                </c:pt>
                <c:pt idx="478">
                  <c:v>37.800000000000011</c:v>
                </c:pt>
                <c:pt idx="479">
                  <c:v>-4.6000000000000227</c:v>
                </c:pt>
                <c:pt idx="480">
                  <c:v>-18.800000000000011</c:v>
                </c:pt>
                <c:pt idx="481">
                  <c:v>-19.199999999999989</c:v>
                </c:pt>
                <c:pt idx="482">
                  <c:v>8</c:v>
                </c:pt>
                <c:pt idx="483">
                  <c:v>13.800000000000011</c:v>
                </c:pt>
                <c:pt idx="484">
                  <c:v>-14.600000000000023</c:v>
                </c:pt>
                <c:pt idx="485">
                  <c:v>-44.199999999999989</c:v>
                </c:pt>
                <c:pt idx="486">
                  <c:v>-6</c:v>
                </c:pt>
                <c:pt idx="487">
                  <c:v>-17.800000000000011</c:v>
                </c:pt>
                <c:pt idx="488">
                  <c:v>-3.7999999999999545</c:v>
                </c:pt>
                <c:pt idx="489">
                  <c:v>-6.6000000000000227</c:v>
                </c:pt>
                <c:pt idx="490">
                  <c:v>-0.60000000000002274</c:v>
                </c:pt>
                <c:pt idx="491">
                  <c:v>-8</c:v>
                </c:pt>
                <c:pt idx="492">
                  <c:v>-9.7999999999999545</c:v>
                </c:pt>
                <c:pt idx="493">
                  <c:v>-5</c:v>
                </c:pt>
                <c:pt idx="494">
                  <c:v>-15.200000000000045</c:v>
                </c:pt>
                <c:pt idx="495">
                  <c:v>3.4000000000000341</c:v>
                </c:pt>
                <c:pt idx="496">
                  <c:v>15.599999999999966</c:v>
                </c:pt>
                <c:pt idx="497">
                  <c:v>-11.399999999999977</c:v>
                </c:pt>
                <c:pt idx="498">
                  <c:v>-17.199999999999989</c:v>
                </c:pt>
                <c:pt idx="499">
                  <c:v>25.599999999999966</c:v>
                </c:pt>
                <c:pt idx="500">
                  <c:v>7.6000000000000227</c:v>
                </c:pt>
                <c:pt idx="501">
                  <c:v>-9.8000000000000114</c:v>
                </c:pt>
                <c:pt idx="502">
                  <c:v>0</c:v>
                </c:pt>
                <c:pt idx="503">
                  <c:v>18.600000000000023</c:v>
                </c:pt>
                <c:pt idx="504">
                  <c:v>3.1999999999999886</c:v>
                </c:pt>
                <c:pt idx="505">
                  <c:v>-23.399999999999977</c:v>
                </c:pt>
                <c:pt idx="506">
                  <c:v>7.7999999999999545</c:v>
                </c:pt>
                <c:pt idx="507">
                  <c:v>-4.5999999999999659</c:v>
                </c:pt>
                <c:pt idx="508">
                  <c:v>-16.199999999999989</c:v>
                </c:pt>
                <c:pt idx="509">
                  <c:v>-7.2000000000000455</c:v>
                </c:pt>
                <c:pt idx="510">
                  <c:v>22</c:v>
                </c:pt>
                <c:pt idx="511">
                  <c:v>40.800000000000011</c:v>
                </c:pt>
                <c:pt idx="512">
                  <c:v>-8.5999999999999659</c:v>
                </c:pt>
                <c:pt idx="513">
                  <c:v>37.599999999999966</c:v>
                </c:pt>
                <c:pt idx="514">
                  <c:v>8.1999999999999886</c:v>
                </c:pt>
                <c:pt idx="515">
                  <c:v>-21</c:v>
                </c:pt>
                <c:pt idx="516">
                  <c:v>29.200000000000045</c:v>
                </c:pt>
                <c:pt idx="517">
                  <c:v>-5.6000000000000227</c:v>
                </c:pt>
                <c:pt idx="518">
                  <c:v>-24.600000000000023</c:v>
                </c:pt>
                <c:pt idx="519">
                  <c:v>-35</c:v>
                </c:pt>
                <c:pt idx="520">
                  <c:v>61.600000000000023</c:v>
                </c:pt>
                <c:pt idx="521">
                  <c:v>-5.3999999999999773</c:v>
                </c:pt>
                <c:pt idx="522">
                  <c:v>32.199999999999989</c:v>
                </c:pt>
                <c:pt idx="523">
                  <c:v>-14.400000000000034</c:v>
                </c:pt>
                <c:pt idx="524">
                  <c:v>-3.7999999999999545</c:v>
                </c:pt>
                <c:pt idx="525">
                  <c:v>-7.4000000000000341</c:v>
                </c:pt>
                <c:pt idx="526">
                  <c:v>-26.599999999999966</c:v>
                </c:pt>
                <c:pt idx="527">
                  <c:v>-15.800000000000011</c:v>
                </c:pt>
                <c:pt idx="528">
                  <c:v>-9</c:v>
                </c:pt>
                <c:pt idx="529">
                  <c:v>52.599999999999966</c:v>
                </c:pt>
                <c:pt idx="530">
                  <c:v>-26.599999999999966</c:v>
                </c:pt>
                <c:pt idx="531">
                  <c:v>1.8000000000000114</c:v>
                </c:pt>
                <c:pt idx="532">
                  <c:v>-6</c:v>
                </c:pt>
                <c:pt idx="533">
                  <c:v>1.7999999999999545</c:v>
                </c:pt>
                <c:pt idx="534">
                  <c:v>-8.5999999999999659</c:v>
                </c:pt>
                <c:pt idx="535">
                  <c:v>-4</c:v>
                </c:pt>
                <c:pt idx="536">
                  <c:v>-14</c:v>
                </c:pt>
                <c:pt idx="537">
                  <c:v>-6</c:v>
                </c:pt>
                <c:pt idx="538">
                  <c:v>-2.4000000000000341</c:v>
                </c:pt>
                <c:pt idx="539">
                  <c:v>-7.1999999999999886</c:v>
                </c:pt>
                <c:pt idx="540">
                  <c:v>3.1999999999999886</c:v>
                </c:pt>
                <c:pt idx="541">
                  <c:v>-4</c:v>
                </c:pt>
                <c:pt idx="542">
                  <c:v>-9.3999999999999773</c:v>
                </c:pt>
                <c:pt idx="543">
                  <c:v>0</c:v>
                </c:pt>
                <c:pt idx="544">
                  <c:v>16</c:v>
                </c:pt>
                <c:pt idx="545">
                  <c:v>20.800000000000011</c:v>
                </c:pt>
                <c:pt idx="546">
                  <c:v>49.399999999999977</c:v>
                </c:pt>
                <c:pt idx="547">
                  <c:v>-12.599999999999966</c:v>
                </c:pt>
                <c:pt idx="548">
                  <c:v>-24</c:v>
                </c:pt>
                <c:pt idx="549">
                  <c:v>24.199999999999989</c:v>
                </c:pt>
                <c:pt idx="550">
                  <c:v>-11.800000000000011</c:v>
                </c:pt>
                <c:pt idx="551">
                  <c:v>-7.8000000000000114</c:v>
                </c:pt>
                <c:pt idx="552">
                  <c:v>-15</c:v>
                </c:pt>
                <c:pt idx="553">
                  <c:v>0</c:v>
                </c:pt>
                <c:pt idx="554">
                  <c:v>-7.5999999999999659</c:v>
                </c:pt>
                <c:pt idx="555">
                  <c:v>-11.200000000000045</c:v>
                </c:pt>
                <c:pt idx="556">
                  <c:v>10.200000000000045</c:v>
                </c:pt>
                <c:pt idx="557">
                  <c:v>1</c:v>
                </c:pt>
                <c:pt idx="558">
                  <c:v>3.3999999999999773</c:v>
                </c:pt>
                <c:pt idx="559">
                  <c:v>-9.3999999999999773</c:v>
                </c:pt>
                <c:pt idx="560">
                  <c:v>-0.20000000000004547</c:v>
                </c:pt>
                <c:pt idx="561">
                  <c:v>-5.7999999999999545</c:v>
                </c:pt>
                <c:pt idx="562">
                  <c:v>-3.8000000000000114</c:v>
                </c:pt>
                <c:pt idx="563">
                  <c:v>-7.1999999999999886</c:v>
                </c:pt>
                <c:pt idx="564">
                  <c:v>9.5999999999999659</c:v>
                </c:pt>
                <c:pt idx="565">
                  <c:v>3.4000000000000341</c:v>
                </c:pt>
                <c:pt idx="566">
                  <c:v>-5.4000000000000341</c:v>
                </c:pt>
                <c:pt idx="567">
                  <c:v>0.60000000000002274</c:v>
                </c:pt>
                <c:pt idx="568">
                  <c:v>-17.600000000000023</c:v>
                </c:pt>
                <c:pt idx="569">
                  <c:v>9.6000000000000227</c:v>
                </c:pt>
                <c:pt idx="570">
                  <c:v>-4.8000000000000114</c:v>
                </c:pt>
                <c:pt idx="571">
                  <c:v>-7.3999999999999773</c:v>
                </c:pt>
                <c:pt idx="572">
                  <c:v>-8.4000000000000341</c:v>
                </c:pt>
                <c:pt idx="573">
                  <c:v>-1.5999999999999659</c:v>
                </c:pt>
                <c:pt idx="574">
                  <c:v>-4</c:v>
                </c:pt>
                <c:pt idx="575">
                  <c:v>7.1999999999999886</c:v>
                </c:pt>
                <c:pt idx="576">
                  <c:v>-9.8000000000000114</c:v>
                </c:pt>
                <c:pt idx="577">
                  <c:v>-16</c:v>
                </c:pt>
                <c:pt idx="578">
                  <c:v>-2.8000000000000114</c:v>
                </c:pt>
                <c:pt idx="579">
                  <c:v>10.199999999999989</c:v>
                </c:pt>
                <c:pt idx="580">
                  <c:v>3</c:v>
                </c:pt>
                <c:pt idx="581">
                  <c:v>-15.199999999999989</c:v>
                </c:pt>
                <c:pt idx="582">
                  <c:v>1</c:v>
                </c:pt>
                <c:pt idx="583">
                  <c:v>-7.3999999999999773</c:v>
                </c:pt>
                <c:pt idx="584">
                  <c:v>1.5999999999999659</c:v>
                </c:pt>
                <c:pt idx="585">
                  <c:v>2</c:v>
                </c:pt>
                <c:pt idx="586">
                  <c:v>-16.399999999999977</c:v>
                </c:pt>
                <c:pt idx="587">
                  <c:v>2.1999999999999886</c:v>
                </c:pt>
                <c:pt idx="588">
                  <c:v>-3.3999999999999773</c:v>
                </c:pt>
                <c:pt idx="589">
                  <c:v>-4.1999999999999886</c:v>
                </c:pt>
                <c:pt idx="590">
                  <c:v>2</c:v>
                </c:pt>
                <c:pt idx="591">
                  <c:v>-1.2000000000000455</c:v>
                </c:pt>
                <c:pt idx="592">
                  <c:v>-4.1999999999999886</c:v>
                </c:pt>
                <c:pt idx="593">
                  <c:v>13</c:v>
                </c:pt>
                <c:pt idx="594">
                  <c:v>17.800000000000011</c:v>
                </c:pt>
                <c:pt idx="595">
                  <c:v>-5</c:v>
                </c:pt>
                <c:pt idx="596">
                  <c:v>-9.3999999999999773</c:v>
                </c:pt>
                <c:pt idx="597">
                  <c:v>-9.4000000000000341</c:v>
                </c:pt>
                <c:pt idx="598">
                  <c:v>27.199999999999989</c:v>
                </c:pt>
                <c:pt idx="599">
                  <c:v>-2.7999999999999545</c:v>
                </c:pt>
                <c:pt idx="600">
                  <c:v>5</c:v>
                </c:pt>
                <c:pt idx="601">
                  <c:v>-5.8000000000000114</c:v>
                </c:pt>
                <c:pt idx="602">
                  <c:v>-2.1999999999999886</c:v>
                </c:pt>
                <c:pt idx="603">
                  <c:v>2.5999999999999659</c:v>
                </c:pt>
                <c:pt idx="604">
                  <c:v>6.1999999999999886</c:v>
                </c:pt>
                <c:pt idx="605">
                  <c:v>-16</c:v>
                </c:pt>
                <c:pt idx="606">
                  <c:v>-4.3999999999999773</c:v>
                </c:pt>
                <c:pt idx="607">
                  <c:v>-2.8000000000000114</c:v>
                </c:pt>
                <c:pt idx="608">
                  <c:v>-1.3999999999999773</c:v>
                </c:pt>
                <c:pt idx="609">
                  <c:v>23.800000000000011</c:v>
                </c:pt>
                <c:pt idx="610">
                  <c:v>-0.60000000000002274</c:v>
                </c:pt>
                <c:pt idx="611">
                  <c:v>-0.60000000000002274</c:v>
                </c:pt>
                <c:pt idx="612">
                  <c:v>0</c:v>
                </c:pt>
                <c:pt idx="613">
                  <c:v>-9.3999999999999773</c:v>
                </c:pt>
                <c:pt idx="614">
                  <c:v>9.6000000000000227</c:v>
                </c:pt>
                <c:pt idx="615">
                  <c:v>9.5999999999999659</c:v>
                </c:pt>
                <c:pt idx="616">
                  <c:v>-1.8000000000000114</c:v>
                </c:pt>
                <c:pt idx="617">
                  <c:v>18.600000000000023</c:v>
                </c:pt>
                <c:pt idx="618">
                  <c:v>11.199999999999989</c:v>
                </c:pt>
                <c:pt idx="619">
                  <c:v>5</c:v>
                </c:pt>
                <c:pt idx="620">
                  <c:v>-14</c:v>
                </c:pt>
                <c:pt idx="621">
                  <c:v>9.1999999999999886</c:v>
                </c:pt>
                <c:pt idx="622">
                  <c:v>7.6000000000000227</c:v>
                </c:pt>
                <c:pt idx="623">
                  <c:v>-15.800000000000011</c:v>
                </c:pt>
                <c:pt idx="624">
                  <c:v>-11.800000000000011</c:v>
                </c:pt>
                <c:pt idx="625">
                  <c:v>2.4000000000000341</c:v>
                </c:pt>
                <c:pt idx="626">
                  <c:v>9.1999999999999886</c:v>
                </c:pt>
                <c:pt idx="627">
                  <c:v>13.399999999999977</c:v>
                </c:pt>
                <c:pt idx="628">
                  <c:v>8.2000000000000455</c:v>
                </c:pt>
                <c:pt idx="629">
                  <c:v>5.3999999999999773</c:v>
                </c:pt>
                <c:pt idx="630">
                  <c:v>-3.1999999999999886</c:v>
                </c:pt>
                <c:pt idx="631">
                  <c:v>-10</c:v>
                </c:pt>
                <c:pt idx="632">
                  <c:v>7</c:v>
                </c:pt>
                <c:pt idx="633">
                  <c:v>-8.8000000000000114</c:v>
                </c:pt>
                <c:pt idx="634">
                  <c:v>-6.6000000000000227</c:v>
                </c:pt>
                <c:pt idx="635">
                  <c:v>2.4000000000000341</c:v>
                </c:pt>
                <c:pt idx="636">
                  <c:v>-4.1999999999999886</c:v>
                </c:pt>
                <c:pt idx="637">
                  <c:v>-1.2000000000000455</c:v>
                </c:pt>
                <c:pt idx="638">
                  <c:v>-5.1999999999999886</c:v>
                </c:pt>
                <c:pt idx="639">
                  <c:v>-12.800000000000011</c:v>
                </c:pt>
                <c:pt idx="640">
                  <c:v>-7.1999999999999886</c:v>
                </c:pt>
                <c:pt idx="641">
                  <c:v>-6</c:v>
                </c:pt>
                <c:pt idx="642">
                  <c:v>-7</c:v>
                </c:pt>
                <c:pt idx="643">
                  <c:v>-4.3999999999999773</c:v>
                </c:pt>
                <c:pt idx="644">
                  <c:v>-2.8000000000000114</c:v>
                </c:pt>
                <c:pt idx="645">
                  <c:v>7.6000000000000227</c:v>
                </c:pt>
                <c:pt idx="646">
                  <c:v>-6.4000000000000341</c:v>
                </c:pt>
                <c:pt idx="647">
                  <c:v>-3.3999999999999773</c:v>
                </c:pt>
                <c:pt idx="648">
                  <c:v>-2.6000000000000227</c:v>
                </c:pt>
                <c:pt idx="649">
                  <c:v>7.4000000000000341</c:v>
                </c:pt>
                <c:pt idx="650">
                  <c:v>8.5999999999999659</c:v>
                </c:pt>
                <c:pt idx="651">
                  <c:v>-16</c:v>
                </c:pt>
                <c:pt idx="652">
                  <c:v>-3.1999999999999886</c:v>
                </c:pt>
                <c:pt idx="653">
                  <c:v>-0.19999999999998863</c:v>
                </c:pt>
                <c:pt idx="654">
                  <c:v>3.1999999999999886</c:v>
                </c:pt>
                <c:pt idx="655">
                  <c:v>-7.1999999999999886</c:v>
                </c:pt>
                <c:pt idx="656">
                  <c:v>-2.4000000000000341</c:v>
                </c:pt>
                <c:pt idx="657">
                  <c:v>-2.7999999999999545</c:v>
                </c:pt>
                <c:pt idx="658">
                  <c:v>-7</c:v>
                </c:pt>
                <c:pt idx="659">
                  <c:v>-9.0000000000000284</c:v>
                </c:pt>
                <c:pt idx="660">
                  <c:v>-5.4000000000000057</c:v>
                </c:pt>
                <c:pt idx="661">
                  <c:v>1</c:v>
                </c:pt>
                <c:pt idx="662">
                  <c:v>9</c:v>
                </c:pt>
                <c:pt idx="663">
                  <c:v>-3.3999999999999773</c:v>
                </c:pt>
                <c:pt idx="664">
                  <c:v>-9.6000000000000227</c:v>
                </c:pt>
                <c:pt idx="665">
                  <c:v>-4</c:v>
                </c:pt>
                <c:pt idx="666">
                  <c:v>-4.7999999999999829</c:v>
                </c:pt>
                <c:pt idx="667">
                  <c:v>4.5999999999999943</c:v>
                </c:pt>
                <c:pt idx="668">
                  <c:v>6.5999999999999943</c:v>
                </c:pt>
                <c:pt idx="669">
                  <c:v>3.4000000000000057</c:v>
                </c:pt>
                <c:pt idx="670">
                  <c:v>-4.8000000000000114</c:v>
                </c:pt>
                <c:pt idx="671">
                  <c:v>5.6000000000000227</c:v>
                </c:pt>
                <c:pt idx="672">
                  <c:v>-1.6000000000000227</c:v>
                </c:pt>
                <c:pt idx="673">
                  <c:v>-10.199999999999989</c:v>
                </c:pt>
                <c:pt idx="674">
                  <c:v>-8.8000000000000114</c:v>
                </c:pt>
                <c:pt idx="675">
                  <c:v>14.600000000000023</c:v>
                </c:pt>
                <c:pt idx="676">
                  <c:v>1.3999999999999773</c:v>
                </c:pt>
                <c:pt idx="677">
                  <c:v>-6.3999999999999773</c:v>
                </c:pt>
                <c:pt idx="678">
                  <c:v>-2</c:v>
                </c:pt>
                <c:pt idx="679">
                  <c:v>-8.4000000000000057</c:v>
                </c:pt>
                <c:pt idx="680">
                  <c:v>11.799999999999983</c:v>
                </c:pt>
                <c:pt idx="681">
                  <c:v>-6.5999999999999943</c:v>
                </c:pt>
                <c:pt idx="682">
                  <c:v>0.20000000000001705</c:v>
                </c:pt>
                <c:pt idx="683">
                  <c:v>-0.20000000000001705</c:v>
                </c:pt>
                <c:pt idx="684">
                  <c:v>-3</c:v>
                </c:pt>
                <c:pt idx="685">
                  <c:v>-1</c:v>
                </c:pt>
                <c:pt idx="686">
                  <c:v>-1</c:v>
                </c:pt>
                <c:pt idx="687">
                  <c:v>-6.7999999999999829</c:v>
                </c:pt>
                <c:pt idx="688">
                  <c:v>1.7999999999999829</c:v>
                </c:pt>
                <c:pt idx="689">
                  <c:v>-5.1999999999999886</c:v>
                </c:pt>
                <c:pt idx="690">
                  <c:v>1.1999999999999886</c:v>
                </c:pt>
                <c:pt idx="691">
                  <c:v>-9.1999999999999886</c:v>
                </c:pt>
                <c:pt idx="692">
                  <c:v>1.1999999999999886</c:v>
                </c:pt>
                <c:pt idx="693">
                  <c:v>-10.400000000000006</c:v>
                </c:pt>
                <c:pt idx="694">
                  <c:v>-4.7999999999999829</c:v>
                </c:pt>
                <c:pt idx="695">
                  <c:v>1.5999999999999943</c:v>
                </c:pt>
                <c:pt idx="696">
                  <c:v>6.5999999999999943</c:v>
                </c:pt>
                <c:pt idx="697">
                  <c:v>1</c:v>
                </c:pt>
                <c:pt idx="698">
                  <c:v>-7</c:v>
                </c:pt>
                <c:pt idx="699">
                  <c:v>-2</c:v>
                </c:pt>
                <c:pt idx="700">
                  <c:v>-6.7999999999999829</c:v>
                </c:pt>
                <c:pt idx="701">
                  <c:v>-0.30000000000001137</c:v>
                </c:pt>
                <c:pt idx="702">
                  <c:v>-2.3000000000000114</c:v>
                </c:pt>
                <c:pt idx="703">
                  <c:v>-3.1999999999999886</c:v>
                </c:pt>
                <c:pt idx="704">
                  <c:v>5.1999999999999886</c:v>
                </c:pt>
                <c:pt idx="705">
                  <c:v>-4.1999999999999886</c:v>
                </c:pt>
                <c:pt idx="706">
                  <c:v>-6.4000000000000057</c:v>
                </c:pt>
                <c:pt idx="707">
                  <c:v>4.4000000000000057</c:v>
                </c:pt>
                <c:pt idx="708">
                  <c:v>1.1999999999999886</c:v>
                </c:pt>
                <c:pt idx="709">
                  <c:v>4.8000000000000114</c:v>
                </c:pt>
                <c:pt idx="710">
                  <c:v>-5.8000000000000114</c:v>
                </c:pt>
                <c:pt idx="711">
                  <c:v>7.4000000000000057</c:v>
                </c:pt>
                <c:pt idx="712">
                  <c:v>5.2000000000000171</c:v>
                </c:pt>
                <c:pt idx="713">
                  <c:v>2.5999999999999943</c:v>
                </c:pt>
                <c:pt idx="714">
                  <c:v>-7</c:v>
                </c:pt>
                <c:pt idx="715">
                  <c:v>-7.2000000000000171</c:v>
                </c:pt>
                <c:pt idx="716">
                  <c:v>-3.5999999999999943</c:v>
                </c:pt>
                <c:pt idx="717">
                  <c:v>9.4000000000000057</c:v>
                </c:pt>
                <c:pt idx="718">
                  <c:v>1</c:v>
                </c:pt>
                <c:pt idx="719">
                  <c:v>14.400000000000006</c:v>
                </c:pt>
                <c:pt idx="720">
                  <c:v>-6.4000000000000057</c:v>
                </c:pt>
                <c:pt idx="721">
                  <c:v>-6.5999999999999943</c:v>
                </c:pt>
                <c:pt idx="722">
                  <c:v>7.1999999999999886</c:v>
                </c:pt>
                <c:pt idx="723">
                  <c:v>-7</c:v>
                </c:pt>
                <c:pt idx="724">
                  <c:v>-4.1999999999999886</c:v>
                </c:pt>
                <c:pt idx="725">
                  <c:v>1.1999999999999886</c:v>
                </c:pt>
                <c:pt idx="726">
                  <c:v>-6.5999999999999943</c:v>
                </c:pt>
                <c:pt idx="727">
                  <c:v>-5.8000000000000114</c:v>
                </c:pt>
                <c:pt idx="728">
                  <c:v>-1.7999999999999829</c:v>
                </c:pt>
                <c:pt idx="729">
                  <c:v>3.5999999999999943</c:v>
                </c:pt>
                <c:pt idx="730">
                  <c:v>-3.5999999999999943</c:v>
                </c:pt>
                <c:pt idx="731">
                  <c:v>18.799999999999983</c:v>
                </c:pt>
                <c:pt idx="732">
                  <c:v>20.200000000000017</c:v>
                </c:pt>
                <c:pt idx="733">
                  <c:v>6.5999999999999943</c:v>
                </c:pt>
                <c:pt idx="734">
                  <c:v>-12.199999999999989</c:v>
                </c:pt>
                <c:pt idx="735">
                  <c:v>15.599999999999994</c:v>
                </c:pt>
                <c:pt idx="736">
                  <c:v>-19.200000000000017</c:v>
                </c:pt>
                <c:pt idx="737">
                  <c:v>21.400000000000006</c:v>
                </c:pt>
                <c:pt idx="738">
                  <c:v>-9.4000000000000057</c:v>
                </c:pt>
                <c:pt idx="739">
                  <c:v>-19.799999999999983</c:v>
                </c:pt>
                <c:pt idx="740">
                  <c:v>7.4000000000000057</c:v>
                </c:pt>
                <c:pt idx="741">
                  <c:v>6.1999999999999886</c:v>
                </c:pt>
                <c:pt idx="742">
                  <c:v>-8.8000000000000114</c:v>
                </c:pt>
                <c:pt idx="743">
                  <c:v>-7.7999999999999829</c:v>
                </c:pt>
                <c:pt idx="744">
                  <c:v>-4.4000000000000057</c:v>
                </c:pt>
                <c:pt idx="745">
                  <c:v>-6.1999999999999886</c:v>
                </c:pt>
                <c:pt idx="746">
                  <c:v>-0.20000000000001705</c:v>
                </c:pt>
                <c:pt idx="747">
                  <c:v>-0.59999999999999432</c:v>
                </c:pt>
                <c:pt idx="748">
                  <c:v>-4.8000000000000114</c:v>
                </c:pt>
                <c:pt idx="749">
                  <c:v>3.2000000000000171</c:v>
                </c:pt>
                <c:pt idx="750">
                  <c:v>-1.2000000000000171</c:v>
                </c:pt>
                <c:pt idx="751">
                  <c:v>-3.1999999999999886</c:v>
                </c:pt>
                <c:pt idx="752">
                  <c:v>-1.8000000000000114</c:v>
                </c:pt>
                <c:pt idx="753">
                  <c:v>-1.3999999999999773</c:v>
                </c:pt>
                <c:pt idx="754">
                  <c:v>0.19999999999998863</c:v>
                </c:pt>
                <c:pt idx="755">
                  <c:v>-5.8000000000000114</c:v>
                </c:pt>
                <c:pt idx="756">
                  <c:v>-2.5999999999999943</c:v>
                </c:pt>
                <c:pt idx="757">
                  <c:v>-4.5999999999999943</c:v>
                </c:pt>
                <c:pt idx="758">
                  <c:v>-1.4000000000000057</c:v>
                </c:pt>
                <c:pt idx="759">
                  <c:v>-0.19999999999998863</c:v>
                </c:pt>
                <c:pt idx="760">
                  <c:v>3.4000000000000057</c:v>
                </c:pt>
                <c:pt idx="761">
                  <c:v>-3</c:v>
                </c:pt>
                <c:pt idx="762">
                  <c:v>-0.40000000000000568</c:v>
                </c:pt>
                <c:pt idx="763">
                  <c:v>12.599999999999994</c:v>
                </c:pt>
                <c:pt idx="764">
                  <c:v>-4.4000000000000057</c:v>
                </c:pt>
                <c:pt idx="765">
                  <c:v>-7.1999999999999886</c:v>
                </c:pt>
                <c:pt idx="766">
                  <c:v>-6.8000000000000114</c:v>
                </c:pt>
                <c:pt idx="767">
                  <c:v>-1.9000000000000057</c:v>
                </c:pt>
                <c:pt idx="768">
                  <c:v>6.9000000000000057</c:v>
                </c:pt>
                <c:pt idx="769">
                  <c:v>4.4000000000000057</c:v>
                </c:pt>
                <c:pt idx="770">
                  <c:v>8</c:v>
                </c:pt>
                <c:pt idx="771">
                  <c:v>-13</c:v>
                </c:pt>
                <c:pt idx="772">
                  <c:v>-2.5999999999999943</c:v>
                </c:pt>
                <c:pt idx="773">
                  <c:v>3.1999999999999886</c:v>
                </c:pt>
                <c:pt idx="774">
                  <c:v>-4.5999999999999943</c:v>
                </c:pt>
                <c:pt idx="775">
                  <c:v>-1.4000000000000057</c:v>
                </c:pt>
                <c:pt idx="776">
                  <c:v>-0.19999999999998863</c:v>
                </c:pt>
                <c:pt idx="777">
                  <c:v>-3.4000000000000057</c:v>
                </c:pt>
                <c:pt idx="778">
                  <c:v>3.8000000000000114</c:v>
                </c:pt>
                <c:pt idx="779">
                  <c:v>-5</c:v>
                </c:pt>
                <c:pt idx="780">
                  <c:v>-5.8000000000000114</c:v>
                </c:pt>
                <c:pt idx="781">
                  <c:v>3.8000000000000114</c:v>
                </c:pt>
                <c:pt idx="782">
                  <c:v>0.39999999999997726</c:v>
                </c:pt>
                <c:pt idx="783">
                  <c:v>2.2000000000000171</c:v>
                </c:pt>
                <c:pt idx="784">
                  <c:v>6.1999999999999886</c:v>
                </c:pt>
                <c:pt idx="785">
                  <c:v>-3.7999999999999829</c:v>
                </c:pt>
                <c:pt idx="786">
                  <c:v>-5.8000000000000114</c:v>
                </c:pt>
                <c:pt idx="787">
                  <c:v>-3.8000000000000114</c:v>
                </c:pt>
                <c:pt idx="788">
                  <c:v>-1.1999999999999886</c:v>
                </c:pt>
                <c:pt idx="789">
                  <c:v>-7.5999999999999943</c:v>
                </c:pt>
                <c:pt idx="790">
                  <c:v>-5.2000000000000028</c:v>
                </c:pt>
                <c:pt idx="791">
                  <c:v>-2.6000000000000085</c:v>
                </c:pt>
                <c:pt idx="792">
                  <c:v>-7.3999999999999915</c:v>
                </c:pt>
                <c:pt idx="793">
                  <c:v>0.79999999999999716</c:v>
                </c:pt>
                <c:pt idx="794">
                  <c:v>-3.2000000000000028</c:v>
                </c:pt>
                <c:pt idx="795">
                  <c:v>1.2000000000000028</c:v>
                </c:pt>
                <c:pt idx="796">
                  <c:v>0.40000000000000568</c:v>
                </c:pt>
                <c:pt idx="797">
                  <c:v>-0.60000000000000853</c:v>
                </c:pt>
                <c:pt idx="798">
                  <c:v>-3.2000000000000028</c:v>
                </c:pt>
                <c:pt idx="799">
                  <c:v>3.2000000000000028</c:v>
                </c:pt>
                <c:pt idx="800">
                  <c:v>-4.5999999999999943</c:v>
                </c:pt>
                <c:pt idx="801">
                  <c:v>0.39999999999999147</c:v>
                </c:pt>
                <c:pt idx="802">
                  <c:v>-2.3999999999999915</c:v>
                </c:pt>
                <c:pt idx="803">
                  <c:v>-2.2000000000000028</c:v>
                </c:pt>
                <c:pt idx="804">
                  <c:v>1.2399999999999949</c:v>
                </c:pt>
                <c:pt idx="805">
                  <c:v>-0.39999999999999147</c:v>
                </c:pt>
                <c:pt idx="806">
                  <c:v>-2.6000000000000085</c:v>
                </c:pt>
                <c:pt idx="807">
                  <c:v>-3.8399999999999892</c:v>
                </c:pt>
                <c:pt idx="808">
                  <c:v>2.2800000000000011</c:v>
                </c:pt>
                <c:pt idx="809">
                  <c:v>-1.8400000000000034</c:v>
                </c:pt>
                <c:pt idx="810">
                  <c:v>-0.79999999999999716</c:v>
                </c:pt>
                <c:pt idx="811">
                  <c:v>1.9199999999999875</c:v>
                </c:pt>
                <c:pt idx="812">
                  <c:v>5.3200000000000074</c:v>
                </c:pt>
                <c:pt idx="813">
                  <c:v>-2.4000000000000057</c:v>
                </c:pt>
                <c:pt idx="814">
                  <c:v>-0.8399999999999892</c:v>
                </c:pt>
                <c:pt idx="815">
                  <c:v>-0.84000000000000341</c:v>
                </c:pt>
                <c:pt idx="816">
                  <c:v>-5.7199999999999989</c:v>
                </c:pt>
                <c:pt idx="817">
                  <c:v>0.64000000000000057</c:v>
                </c:pt>
                <c:pt idx="818">
                  <c:v>-1.1600000000000108</c:v>
                </c:pt>
                <c:pt idx="819">
                  <c:v>-0.19999999999998863</c:v>
                </c:pt>
                <c:pt idx="820">
                  <c:v>-1.5200000000000102</c:v>
                </c:pt>
                <c:pt idx="821">
                  <c:v>2.0799999999999983</c:v>
                </c:pt>
                <c:pt idx="822">
                  <c:v>-0.15999999999999659</c:v>
                </c:pt>
                <c:pt idx="823">
                  <c:v>-1.2399999999999949</c:v>
                </c:pt>
                <c:pt idx="824">
                  <c:v>-1.5600000000000023</c:v>
                </c:pt>
                <c:pt idx="825">
                  <c:v>-0.12000000000000455</c:v>
                </c:pt>
                <c:pt idx="826">
                  <c:v>-2.3999999999999915</c:v>
                </c:pt>
                <c:pt idx="827">
                  <c:v>4.6799999999999926</c:v>
                </c:pt>
                <c:pt idx="828">
                  <c:v>-3.9200000000000017</c:v>
                </c:pt>
                <c:pt idx="829">
                  <c:v>-0.91999999999998749</c:v>
                </c:pt>
                <c:pt idx="830">
                  <c:v>1.1999999999999886</c:v>
                </c:pt>
                <c:pt idx="831">
                  <c:v>8.64</c:v>
                </c:pt>
                <c:pt idx="832">
                  <c:v>-0.56000000000000227</c:v>
                </c:pt>
                <c:pt idx="833">
                  <c:v>3.480000000000004</c:v>
                </c:pt>
                <c:pt idx="834">
                  <c:v>-5.4399999999999977</c:v>
                </c:pt>
                <c:pt idx="835">
                  <c:v>2.1599999999999966</c:v>
                </c:pt>
                <c:pt idx="836">
                  <c:v>-1.039999999999992</c:v>
                </c:pt>
                <c:pt idx="837">
                  <c:v>0.35999999999999943</c:v>
                </c:pt>
                <c:pt idx="838">
                  <c:v>-3.9200000000000017</c:v>
                </c:pt>
                <c:pt idx="839">
                  <c:v>-1.6400000000000006</c:v>
                </c:pt>
                <c:pt idx="840">
                  <c:v>5.3999999999999915</c:v>
                </c:pt>
                <c:pt idx="841">
                  <c:v>1.6000000000000085</c:v>
                </c:pt>
                <c:pt idx="842">
                  <c:v>4.8799999999999955</c:v>
                </c:pt>
                <c:pt idx="843">
                  <c:v>-2.6799999999999926</c:v>
                </c:pt>
                <c:pt idx="844">
                  <c:v>-2.6800000000000068</c:v>
                </c:pt>
                <c:pt idx="845">
                  <c:v>0.40000000000000568</c:v>
                </c:pt>
                <c:pt idx="846">
                  <c:v>-3.3599999999999994</c:v>
                </c:pt>
                <c:pt idx="847">
                  <c:v>3.7199999999999989</c:v>
                </c:pt>
                <c:pt idx="848">
                  <c:v>-4.4000000000000057</c:v>
                </c:pt>
                <c:pt idx="849">
                  <c:v>-3.6799999999999926</c:v>
                </c:pt>
                <c:pt idx="850">
                  <c:v>-2.4399999999999977</c:v>
                </c:pt>
                <c:pt idx="851">
                  <c:v>-3.0800000000000125</c:v>
                </c:pt>
                <c:pt idx="852">
                  <c:v>-1.519999999999996</c:v>
                </c:pt>
                <c:pt idx="853">
                  <c:v>-1.2000000000000028</c:v>
                </c:pt>
                <c:pt idx="854">
                  <c:v>0.88000000000000966</c:v>
                </c:pt>
                <c:pt idx="855">
                  <c:v>1.3599999999999994</c:v>
                </c:pt>
                <c:pt idx="856">
                  <c:v>-0.1600000000000108</c:v>
                </c:pt>
                <c:pt idx="857">
                  <c:v>-1.7199999999999989</c:v>
                </c:pt>
                <c:pt idx="858">
                  <c:v>-2.1999999999999886</c:v>
                </c:pt>
                <c:pt idx="859">
                  <c:v>0.64000000000000057</c:v>
                </c:pt>
                <c:pt idx="860">
                  <c:v>-1.480000000000004</c:v>
                </c:pt>
                <c:pt idx="861">
                  <c:v>-2.519999999999996</c:v>
                </c:pt>
                <c:pt idx="862">
                  <c:v>3.039999999999992</c:v>
                </c:pt>
                <c:pt idx="863">
                  <c:v>-0.56000000000000227</c:v>
                </c:pt>
                <c:pt idx="864">
                  <c:v>-0.56000000000000227</c:v>
                </c:pt>
                <c:pt idx="865">
                  <c:v>3.0400000000000063</c:v>
                </c:pt>
                <c:pt idx="866">
                  <c:v>6.7600000000000051</c:v>
                </c:pt>
                <c:pt idx="867">
                  <c:v>0.19999999999998863</c:v>
                </c:pt>
                <c:pt idx="868">
                  <c:v>-0.19999999999998863</c:v>
                </c:pt>
                <c:pt idx="869">
                  <c:v>9.2800000000000011</c:v>
                </c:pt>
                <c:pt idx="870">
                  <c:v>-4.8400000000000034</c:v>
                </c:pt>
                <c:pt idx="871">
                  <c:v>-4.2400000000000091</c:v>
                </c:pt>
                <c:pt idx="872">
                  <c:v>1.6000000000000085</c:v>
                </c:pt>
                <c:pt idx="873">
                  <c:v>0.31999999999999318</c:v>
                </c:pt>
                <c:pt idx="874">
                  <c:v>8.7199999999999989</c:v>
                </c:pt>
                <c:pt idx="875">
                  <c:v>-5.2199999999999989</c:v>
                </c:pt>
                <c:pt idx="876">
                  <c:v>-1.1400000000000006</c:v>
                </c:pt>
                <c:pt idx="877">
                  <c:v>-1.3999999999999915</c:v>
                </c:pt>
                <c:pt idx="878">
                  <c:v>-1.2400000000000091</c:v>
                </c:pt>
                <c:pt idx="879">
                  <c:v>-3.1199999999999903</c:v>
                </c:pt>
                <c:pt idx="880">
                  <c:v>-1.6000000000000085</c:v>
                </c:pt>
                <c:pt idx="881">
                  <c:v>1.960000000000008</c:v>
                </c:pt>
                <c:pt idx="882">
                  <c:v>11</c:v>
                </c:pt>
                <c:pt idx="883">
                  <c:v>-9.8400000000000034</c:v>
                </c:pt>
                <c:pt idx="884">
                  <c:v>2.519999999999996</c:v>
                </c:pt>
                <c:pt idx="885">
                  <c:v>5.7600000000000051</c:v>
                </c:pt>
                <c:pt idx="886">
                  <c:v>5</c:v>
                </c:pt>
                <c:pt idx="887">
                  <c:v>0.84000000000000341</c:v>
                </c:pt>
                <c:pt idx="888">
                  <c:v>-3.7199999999999989</c:v>
                </c:pt>
                <c:pt idx="889">
                  <c:v>-4.4000000000000057</c:v>
                </c:pt>
                <c:pt idx="890">
                  <c:v>6.1599999999999966</c:v>
                </c:pt>
                <c:pt idx="891">
                  <c:v>0.96000000000000796</c:v>
                </c:pt>
                <c:pt idx="892">
                  <c:v>3.3999999999999915</c:v>
                </c:pt>
                <c:pt idx="893">
                  <c:v>-7.8799999999999955</c:v>
                </c:pt>
                <c:pt idx="894">
                  <c:v>-6.5999999999999943</c:v>
                </c:pt>
                <c:pt idx="895">
                  <c:v>-4.0800000000000125</c:v>
                </c:pt>
                <c:pt idx="896">
                  <c:v>-2.9599999999999937</c:v>
                </c:pt>
                <c:pt idx="897">
                  <c:v>-2.0400000000000063</c:v>
                </c:pt>
                <c:pt idx="898">
                  <c:v>-2.7999999999999972</c:v>
                </c:pt>
                <c:pt idx="899">
                  <c:v>-0.43999999999999773</c:v>
                </c:pt>
                <c:pt idx="900">
                  <c:v>-1.4399999999999977</c:v>
                </c:pt>
                <c:pt idx="901">
                  <c:v>3.1599999999999966</c:v>
                </c:pt>
                <c:pt idx="902">
                  <c:v>-3.5600000000000023</c:v>
                </c:pt>
                <c:pt idx="903">
                  <c:v>-0.59999999999999432</c:v>
                </c:pt>
                <c:pt idx="904">
                  <c:v>-0.79999999999999716</c:v>
                </c:pt>
                <c:pt idx="905">
                  <c:v>-1.7199999999999989</c:v>
                </c:pt>
                <c:pt idx="906">
                  <c:v>-1.1600000000000108</c:v>
                </c:pt>
                <c:pt idx="907">
                  <c:v>-1.1199999999999903</c:v>
                </c:pt>
                <c:pt idx="908">
                  <c:v>-0.56000000000000227</c:v>
                </c:pt>
                <c:pt idx="909">
                  <c:v>-1.5600000000000023</c:v>
                </c:pt>
                <c:pt idx="910">
                  <c:v>0.68000000000000682</c:v>
                </c:pt>
                <c:pt idx="911">
                  <c:v>-3.1200000000000045</c:v>
                </c:pt>
                <c:pt idx="912">
                  <c:v>0.39999999999999147</c:v>
                </c:pt>
                <c:pt idx="913">
                  <c:v>-0.8399999999999892</c:v>
                </c:pt>
                <c:pt idx="914">
                  <c:v>1.039999999999992</c:v>
                </c:pt>
                <c:pt idx="915">
                  <c:v>-1.1199999999999903</c:v>
                </c:pt>
                <c:pt idx="916">
                  <c:v>-0.44000000000001194</c:v>
                </c:pt>
                <c:pt idx="917">
                  <c:v>0.40000000000000568</c:v>
                </c:pt>
                <c:pt idx="918">
                  <c:v>-0.64000000000000057</c:v>
                </c:pt>
                <c:pt idx="919">
                  <c:v>0.43999999999999773</c:v>
                </c:pt>
                <c:pt idx="920">
                  <c:v>0</c:v>
                </c:pt>
                <c:pt idx="921">
                  <c:v>-2</c:v>
                </c:pt>
                <c:pt idx="922">
                  <c:v>-1.4399999999999977</c:v>
                </c:pt>
                <c:pt idx="923">
                  <c:v>-1.8399999999999963</c:v>
                </c:pt>
                <c:pt idx="924">
                  <c:v>-0.84000000000000341</c:v>
                </c:pt>
                <c:pt idx="925">
                  <c:v>-0.24000000000000199</c:v>
                </c:pt>
                <c:pt idx="926">
                  <c:v>1.960000000000008</c:v>
                </c:pt>
                <c:pt idx="927">
                  <c:v>0.15999999999999659</c:v>
                </c:pt>
                <c:pt idx="928">
                  <c:v>1</c:v>
                </c:pt>
                <c:pt idx="929">
                  <c:v>4.039999999999992</c:v>
                </c:pt>
                <c:pt idx="930">
                  <c:v>-1.7199999999999989</c:v>
                </c:pt>
                <c:pt idx="931">
                  <c:v>-1.5600000000000023</c:v>
                </c:pt>
                <c:pt idx="932">
                  <c:v>-1.8199999999999932</c:v>
                </c:pt>
                <c:pt idx="933">
                  <c:v>-2.6000000000000014</c:v>
                </c:pt>
                <c:pt idx="934">
                  <c:v>-0.10000000000000142</c:v>
                </c:pt>
                <c:pt idx="935">
                  <c:v>0.24000000000000199</c:v>
                </c:pt>
                <c:pt idx="936">
                  <c:v>0</c:v>
                </c:pt>
                <c:pt idx="937">
                  <c:v>2.1600000000000037</c:v>
                </c:pt>
                <c:pt idx="938">
                  <c:v>-7.9999999999998295E-2</c:v>
                </c:pt>
                <c:pt idx="939">
                  <c:v>-2.1200000000000045</c:v>
                </c:pt>
                <c:pt idx="940">
                  <c:v>-1.5200000000000031</c:v>
                </c:pt>
                <c:pt idx="941">
                  <c:v>-1.3200000000000003</c:v>
                </c:pt>
                <c:pt idx="942">
                  <c:v>-0.59999999999999432</c:v>
                </c:pt>
                <c:pt idx="943">
                  <c:v>-0.24000000000000199</c:v>
                </c:pt>
                <c:pt idx="944">
                  <c:v>0.92000000000000171</c:v>
                </c:pt>
                <c:pt idx="945">
                  <c:v>1.9600000000000009</c:v>
                </c:pt>
                <c:pt idx="946">
                  <c:v>2.3200000000000003</c:v>
                </c:pt>
                <c:pt idx="947">
                  <c:v>-2.3200000000000003</c:v>
                </c:pt>
                <c:pt idx="948">
                  <c:v>-1.4400000000000048</c:v>
                </c:pt>
                <c:pt idx="949">
                  <c:v>-2.0799999999999983</c:v>
                </c:pt>
                <c:pt idx="950">
                  <c:v>-1.4799999999999969</c:v>
                </c:pt>
                <c:pt idx="951">
                  <c:v>1.4799999999999969</c:v>
                </c:pt>
                <c:pt idx="952">
                  <c:v>0.67999999999999972</c:v>
                </c:pt>
                <c:pt idx="953">
                  <c:v>-0.64000000000000057</c:v>
                </c:pt>
                <c:pt idx="954">
                  <c:v>0.71999999999999886</c:v>
                </c:pt>
                <c:pt idx="955">
                  <c:v>-1.0799999999999983</c:v>
                </c:pt>
                <c:pt idx="956">
                  <c:v>2.9600000000000009</c:v>
                </c:pt>
                <c:pt idx="957">
                  <c:v>-0.56000000000000227</c:v>
                </c:pt>
                <c:pt idx="958">
                  <c:v>-0.15999999999999659</c:v>
                </c:pt>
                <c:pt idx="959">
                  <c:v>-2.1200000000000045</c:v>
                </c:pt>
                <c:pt idx="960">
                  <c:v>-1.4399999999999977</c:v>
                </c:pt>
                <c:pt idx="961">
                  <c:v>-0.28000000000000114</c:v>
                </c:pt>
                <c:pt idx="962">
                  <c:v>-0.28000000000000114</c:v>
                </c:pt>
                <c:pt idx="963">
                  <c:v>0.52000000000000313</c:v>
                </c:pt>
                <c:pt idx="964">
                  <c:v>1</c:v>
                </c:pt>
                <c:pt idx="965">
                  <c:v>4.2000000000000028</c:v>
                </c:pt>
                <c:pt idx="966">
                  <c:v>-3.3200000000000003</c:v>
                </c:pt>
                <c:pt idx="967">
                  <c:v>-0.48000000000000398</c:v>
                </c:pt>
                <c:pt idx="968">
                  <c:v>-7.9999999999998295E-2</c:v>
                </c:pt>
                <c:pt idx="969">
                  <c:v>1.7199999999999989</c:v>
                </c:pt>
                <c:pt idx="970">
                  <c:v>-0.24000000000000199</c:v>
                </c:pt>
                <c:pt idx="971">
                  <c:v>-1.1999999999999957</c:v>
                </c:pt>
                <c:pt idx="972">
                  <c:v>-2.240000000000002</c:v>
                </c:pt>
                <c:pt idx="973">
                  <c:v>-0.56000000000000227</c:v>
                </c:pt>
                <c:pt idx="974">
                  <c:v>-0.9199999999999946</c:v>
                </c:pt>
                <c:pt idx="975">
                  <c:v>0.83999999999999631</c:v>
                </c:pt>
                <c:pt idx="976">
                  <c:v>-0.75999999999999801</c:v>
                </c:pt>
                <c:pt idx="977">
                  <c:v>0.11999999999999744</c:v>
                </c:pt>
                <c:pt idx="978">
                  <c:v>-3.9999999999999147E-2</c:v>
                </c:pt>
                <c:pt idx="979">
                  <c:v>2.1600000000000037</c:v>
                </c:pt>
                <c:pt idx="980">
                  <c:v>0.27999999999999403</c:v>
                </c:pt>
                <c:pt idx="981">
                  <c:v>-0.39999999999999858</c:v>
                </c:pt>
                <c:pt idx="982">
                  <c:v>1.5200000000000031</c:v>
                </c:pt>
                <c:pt idx="983">
                  <c:v>-0.56000000000000227</c:v>
                </c:pt>
                <c:pt idx="984">
                  <c:v>-2.8399999999999963</c:v>
                </c:pt>
                <c:pt idx="985">
                  <c:v>-0.35999999999999943</c:v>
                </c:pt>
                <c:pt idx="986">
                  <c:v>1.4799999999999969</c:v>
                </c:pt>
                <c:pt idx="987">
                  <c:v>1</c:v>
                </c:pt>
                <c:pt idx="988">
                  <c:v>-1.2000000000000028</c:v>
                </c:pt>
                <c:pt idx="989">
                  <c:v>-1.4399999999999977</c:v>
                </c:pt>
                <c:pt idx="990">
                  <c:v>-1.3999999999999986</c:v>
                </c:pt>
                <c:pt idx="991">
                  <c:v>-0.28000000000000114</c:v>
                </c:pt>
                <c:pt idx="992">
                  <c:v>0.28000000000000114</c:v>
                </c:pt>
                <c:pt idx="993">
                  <c:v>-0.35999999999999943</c:v>
                </c:pt>
                <c:pt idx="994">
                  <c:v>-0.20000000000000284</c:v>
                </c:pt>
                <c:pt idx="995">
                  <c:v>-1</c:v>
                </c:pt>
                <c:pt idx="996">
                  <c:v>1.1200000000000045</c:v>
                </c:pt>
                <c:pt idx="997">
                  <c:v>0.27999999999999403</c:v>
                </c:pt>
                <c:pt idx="998">
                  <c:v>1.4000000000000057</c:v>
                </c:pt>
                <c:pt idx="999">
                  <c:v>-0.24000000000000199</c:v>
                </c:pt>
                <c:pt idx="1000">
                  <c:v>2.3999999999999986</c:v>
                </c:pt>
                <c:pt idx="1001">
                  <c:v>1.0799999999999983</c:v>
                </c:pt>
                <c:pt idx="1002">
                  <c:v>-2.2800000000000011</c:v>
                </c:pt>
                <c:pt idx="1003">
                  <c:v>-0.23999999999999488</c:v>
                </c:pt>
                <c:pt idx="1004">
                  <c:v>0.83999999999999631</c:v>
                </c:pt>
                <c:pt idx="1005">
                  <c:v>-1.0399999999999991</c:v>
                </c:pt>
                <c:pt idx="1006">
                  <c:v>4.759999999999998</c:v>
                </c:pt>
                <c:pt idx="1007">
                  <c:v>3.3200000000000003</c:v>
                </c:pt>
                <c:pt idx="1008">
                  <c:v>-2.0799999999999983</c:v>
                </c:pt>
                <c:pt idx="1009">
                  <c:v>-0.56000000000000227</c:v>
                </c:pt>
                <c:pt idx="1010">
                  <c:v>0.52000000000000313</c:v>
                </c:pt>
                <c:pt idx="1011">
                  <c:v>1.4399999999999977</c:v>
                </c:pt>
                <c:pt idx="1012">
                  <c:v>-4.6400000000000006</c:v>
                </c:pt>
                <c:pt idx="1013">
                  <c:v>-2.3200000000000003</c:v>
                </c:pt>
                <c:pt idx="1014">
                  <c:v>-0.47999999999999687</c:v>
                </c:pt>
                <c:pt idx="1015">
                  <c:v>1.2000000000000028</c:v>
                </c:pt>
                <c:pt idx="1016">
                  <c:v>-1.8000000000000043</c:v>
                </c:pt>
                <c:pt idx="1017">
                  <c:v>-0.71999999999999886</c:v>
                </c:pt>
                <c:pt idx="1018">
                  <c:v>1.4799999999999969</c:v>
                </c:pt>
                <c:pt idx="1019">
                  <c:v>0.12000000000000455</c:v>
                </c:pt>
                <c:pt idx="1020">
                  <c:v>-1.7199999999999989</c:v>
                </c:pt>
                <c:pt idx="1021">
                  <c:v>-1.8000000000000043</c:v>
                </c:pt>
                <c:pt idx="1022">
                  <c:v>-1.2800000000000011</c:v>
                </c:pt>
                <c:pt idx="1023">
                  <c:v>-0.19999999999999574</c:v>
                </c:pt>
                <c:pt idx="1024">
                  <c:v>-0.43999999999999773</c:v>
                </c:pt>
                <c:pt idx="1025">
                  <c:v>-0.28000000000000114</c:v>
                </c:pt>
                <c:pt idx="1026">
                  <c:v>-0.60000000000000142</c:v>
                </c:pt>
                <c:pt idx="1027">
                  <c:v>0.64000000000000057</c:v>
                </c:pt>
                <c:pt idx="1028">
                  <c:v>-0.92000000000000171</c:v>
                </c:pt>
                <c:pt idx="1029">
                  <c:v>-1.9600000000000009</c:v>
                </c:pt>
                <c:pt idx="1030">
                  <c:v>0</c:v>
                </c:pt>
                <c:pt idx="1031">
                  <c:v>-0.39999999999999858</c:v>
                </c:pt>
                <c:pt idx="1032">
                  <c:v>0.11999999999999744</c:v>
                </c:pt>
                <c:pt idx="1033">
                  <c:v>-1.0399999999999991</c:v>
                </c:pt>
                <c:pt idx="1034">
                  <c:v>1.1200000000000045</c:v>
                </c:pt>
                <c:pt idx="1035">
                  <c:v>0.59999999999999432</c:v>
                </c:pt>
                <c:pt idx="1036">
                  <c:v>-1.5599999999999952</c:v>
                </c:pt>
                <c:pt idx="1037">
                  <c:v>1.1199999999999974</c:v>
                </c:pt>
                <c:pt idx="1038">
                  <c:v>1.6799999999999997</c:v>
                </c:pt>
                <c:pt idx="1039">
                  <c:v>-7.9999999999998295E-2</c:v>
                </c:pt>
                <c:pt idx="1040">
                  <c:v>-1.5200000000000031</c:v>
                </c:pt>
                <c:pt idx="1041">
                  <c:v>-0.23999999999999488</c:v>
                </c:pt>
                <c:pt idx="1042">
                  <c:v>0.23999999999999488</c:v>
                </c:pt>
                <c:pt idx="1043">
                  <c:v>-0.9199999999999946</c:v>
                </c:pt>
                <c:pt idx="1044">
                  <c:v>-0.32000000000000028</c:v>
                </c:pt>
                <c:pt idx="1045">
                  <c:v>-0.44000000000000483</c:v>
                </c:pt>
                <c:pt idx="1046">
                  <c:v>0.12000000000000455</c:v>
                </c:pt>
                <c:pt idx="1047">
                  <c:v>-4.0000000000006253E-2</c:v>
                </c:pt>
                <c:pt idx="1048">
                  <c:v>-0.95999999999999375</c:v>
                </c:pt>
                <c:pt idx="1049">
                  <c:v>0</c:v>
                </c:pt>
                <c:pt idx="1050">
                  <c:v>1.4399999999999977</c:v>
                </c:pt>
                <c:pt idx="1051">
                  <c:v>-0.32000000000000028</c:v>
                </c:pt>
                <c:pt idx="1052">
                  <c:v>-0.32000000000000028</c:v>
                </c:pt>
                <c:pt idx="1053">
                  <c:v>1.5600000000000023</c:v>
                </c:pt>
                <c:pt idx="1054">
                  <c:v>-0.80000000000000426</c:v>
                </c:pt>
                <c:pt idx="1055">
                  <c:v>-0.23999999999999488</c:v>
                </c:pt>
                <c:pt idx="1056">
                  <c:v>-1</c:v>
                </c:pt>
                <c:pt idx="1057">
                  <c:v>-0.44000000000000483</c:v>
                </c:pt>
                <c:pt idx="1058">
                  <c:v>-0.35999999999999943</c:v>
                </c:pt>
                <c:pt idx="1059">
                  <c:v>0.67999999999999972</c:v>
                </c:pt>
                <c:pt idx="1060">
                  <c:v>-1.740000000000002</c:v>
                </c:pt>
                <c:pt idx="1061">
                  <c:v>-0.5</c:v>
                </c:pt>
                <c:pt idx="1062">
                  <c:v>0.20000000000000284</c:v>
                </c:pt>
                <c:pt idx="1063">
                  <c:v>0.11999999999999744</c:v>
                </c:pt>
                <c:pt idx="1064">
                  <c:v>-0.67999999999999972</c:v>
                </c:pt>
                <c:pt idx="1065">
                  <c:v>0</c:v>
                </c:pt>
                <c:pt idx="1066">
                  <c:v>-7.9999999999998295E-2</c:v>
                </c:pt>
                <c:pt idx="1067">
                  <c:v>0.12000000000000455</c:v>
                </c:pt>
                <c:pt idx="1068">
                  <c:v>-0.68000000000000682</c:v>
                </c:pt>
                <c:pt idx="1069">
                  <c:v>0.80000000000000426</c:v>
                </c:pt>
                <c:pt idx="1070">
                  <c:v>0.15999999999999659</c:v>
                </c:pt>
                <c:pt idx="1071">
                  <c:v>1.4000000000000057</c:v>
                </c:pt>
                <c:pt idx="1072">
                  <c:v>1.279999999999994</c:v>
                </c:pt>
                <c:pt idx="1073">
                  <c:v>1.9200000000000017</c:v>
                </c:pt>
                <c:pt idx="1074">
                  <c:v>-2.4799999999999969</c:v>
                </c:pt>
                <c:pt idx="1075">
                  <c:v>-0.39999999999999858</c:v>
                </c:pt>
                <c:pt idx="1076">
                  <c:v>5.9599999999999937</c:v>
                </c:pt>
                <c:pt idx="1077">
                  <c:v>0.40000000000000568</c:v>
                </c:pt>
                <c:pt idx="1078">
                  <c:v>-2.8000000000000043</c:v>
                </c:pt>
                <c:pt idx="1079">
                  <c:v>-0.71999999999999886</c:v>
                </c:pt>
                <c:pt idx="1080">
                  <c:v>1.3999999999999986</c:v>
                </c:pt>
                <c:pt idx="1081">
                  <c:v>-1.2800000000000011</c:v>
                </c:pt>
                <c:pt idx="1082">
                  <c:v>4.1200000000000045</c:v>
                </c:pt>
                <c:pt idx="1083">
                  <c:v>11.96</c:v>
                </c:pt>
                <c:pt idx="1084">
                  <c:v>26.639999999999993</c:v>
                </c:pt>
                <c:pt idx="1085">
                  <c:v>-18.159999999999997</c:v>
                </c:pt>
                <c:pt idx="1086">
                  <c:v>-2.1200000000000045</c:v>
                </c:pt>
                <c:pt idx="1087">
                  <c:v>-5.4799999999999969</c:v>
                </c:pt>
                <c:pt idx="1088">
                  <c:v>-8.36</c:v>
                </c:pt>
                <c:pt idx="1089">
                  <c:v>-0.19999999999999574</c:v>
                </c:pt>
                <c:pt idx="1090">
                  <c:v>-4.240000000000002</c:v>
                </c:pt>
                <c:pt idx="1091">
                  <c:v>-3.3599999999999994</c:v>
                </c:pt>
                <c:pt idx="1092">
                  <c:v>-1.7199999999999989</c:v>
                </c:pt>
                <c:pt idx="1093">
                  <c:v>-3.9999999999999147E-2</c:v>
                </c:pt>
                <c:pt idx="1094">
                  <c:v>-1</c:v>
                </c:pt>
                <c:pt idx="1095">
                  <c:v>1.9199999999999946</c:v>
                </c:pt>
                <c:pt idx="1096">
                  <c:v>0.48000000000000398</c:v>
                </c:pt>
                <c:pt idx="1097">
                  <c:v>2.0799999999999983</c:v>
                </c:pt>
                <c:pt idx="1098">
                  <c:v>-2.9200000000000017</c:v>
                </c:pt>
                <c:pt idx="1099">
                  <c:v>7.9999999999998295E-2</c:v>
                </c:pt>
                <c:pt idx="1100">
                  <c:v>-1.0399999999999991</c:v>
                </c:pt>
                <c:pt idx="1101">
                  <c:v>2.5600000000000023</c:v>
                </c:pt>
                <c:pt idx="1102">
                  <c:v>-1.6799999999999997</c:v>
                </c:pt>
                <c:pt idx="1103">
                  <c:v>-1.3200000000000003</c:v>
                </c:pt>
                <c:pt idx="1104">
                  <c:v>8.9200000000000017</c:v>
                </c:pt>
                <c:pt idx="1105">
                  <c:v>1.1199999999999974</c:v>
                </c:pt>
                <c:pt idx="1106">
                  <c:v>-2.3200000000000003</c:v>
                </c:pt>
                <c:pt idx="1107">
                  <c:v>3.6799999999999997</c:v>
                </c:pt>
                <c:pt idx="1108">
                  <c:v>-3.4399999999999977</c:v>
                </c:pt>
                <c:pt idx="1109">
                  <c:v>-1</c:v>
                </c:pt>
                <c:pt idx="1110">
                  <c:v>-2.2000000000000028</c:v>
                </c:pt>
                <c:pt idx="1111">
                  <c:v>-0.32000000000000028</c:v>
                </c:pt>
                <c:pt idx="1112">
                  <c:v>-0.19999999999999574</c:v>
                </c:pt>
                <c:pt idx="1113">
                  <c:v>0.32000000000000028</c:v>
                </c:pt>
                <c:pt idx="1114">
                  <c:v>1.2399999999999949</c:v>
                </c:pt>
                <c:pt idx="1115">
                  <c:v>-0.59999999999999432</c:v>
                </c:pt>
                <c:pt idx="1116">
                  <c:v>-1.8400000000000034</c:v>
                </c:pt>
                <c:pt idx="1117">
                  <c:v>-0.32000000000000028</c:v>
                </c:pt>
                <c:pt idx="1118">
                  <c:v>0.16000000000000369</c:v>
                </c:pt>
                <c:pt idx="1119">
                  <c:v>3.9999999999999147E-2</c:v>
                </c:pt>
                <c:pt idx="1120">
                  <c:v>0.51999999999999602</c:v>
                </c:pt>
                <c:pt idx="1121">
                  <c:v>3.9999999999999147E-2</c:v>
                </c:pt>
                <c:pt idx="1122">
                  <c:v>2.240000000000002</c:v>
                </c:pt>
                <c:pt idx="1123">
                  <c:v>-1.0399999999999991</c:v>
                </c:pt>
                <c:pt idx="1124">
                  <c:v>3.8400000000000034</c:v>
                </c:pt>
                <c:pt idx="1125">
                  <c:v>-0.84000000000000341</c:v>
                </c:pt>
                <c:pt idx="1126">
                  <c:v>2.2800000000000011</c:v>
                </c:pt>
                <c:pt idx="1127">
                  <c:v>-1.9200000000000017</c:v>
                </c:pt>
                <c:pt idx="1128">
                  <c:v>4.5600000000000023</c:v>
                </c:pt>
                <c:pt idx="1129">
                  <c:v>-2.2800000000000011</c:v>
                </c:pt>
                <c:pt idx="1130">
                  <c:v>-1.3599999999999994</c:v>
                </c:pt>
                <c:pt idx="1131">
                  <c:v>0.71999999999999886</c:v>
                </c:pt>
                <c:pt idx="1132">
                  <c:v>-0.56000000000000227</c:v>
                </c:pt>
                <c:pt idx="1133">
                  <c:v>-1.8799999999999955</c:v>
                </c:pt>
                <c:pt idx="1134">
                  <c:v>1.5999999999999943</c:v>
                </c:pt>
                <c:pt idx="1135">
                  <c:v>-0.47999999999999687</c:v>
                </c:pt>
                <c:pt idx="1136">
                  <c:v>-0.88000000000000256</c:v>
                </c:pt>
                <c:pt idx="1137">
                  <c:v>-1.1999999999999957</c:v>
                </c:pt>
                <c:pt idx="1138">
                  <c:v>3.9999999999999147E-2</c:v>
                </c:pt>
                <c:pt idx="1139">
                  <c:v>-0.11999999999999744</c:v>
                </c:pt>
                <c:pt idx="1140">
                  <c:v>2.4799999999999969</c:v>
                </c:pt>
                <c:pt idx="1141">
                  <c:v>-0.88000000000000256</c:v>
                </c:pt>
                <c:pt idx="1142">
                  <c:v>2.4000000000000057</c:v>
                </c:pt>
                <c:pt idx="1143">
                  <c:v>-2.480000000000004</c:v>
                </c:pt>
                <c:pt idx="1144">
                  <c:v>-0.28000000000000114</c:v>
                </c:pt>
                <c:pt idx="1145">
                  <c:v>1.2000000000000028</c:v>
                </c:pt>
                <c:pt idx="1146">
                  <c:v>4.240000000000002</c:v>
                </c:pt>
                <c:pt idx="1147">
                  <c:v>-1</c:v>
                </c:pt>
                <c:pt idx="1148">
                  <c:v>-2.480000000000004</c:v>
                </c:pt>
                <c:pt idx="1149">
                  <c:v>-2.8399999999999963</c:v>
                </c:pt>
                <c:pt idx="1150">
                  <c:v>-5.1200000000000045</c:v>
                </c:pt>
                <c:pt idx="1151">
                  <c:v>-1.3999999999999986</c:v>
                </c:pt>
                <c:pt idx="1152">
                  <c:v>-0.18999999999999773</c:v>
                </c:pt>
                <c:pt idx="1153">
                  <c:v>-0.10000000000000142</c:v>
                </c:pt>
                <c:pt idx="1154">
                  <c:v>-9.0000000000003411E-2</c:v>
                </c:pt>
                <c:pt idx="1155">
                  <c:v>-1.0599999999999952</c:v>
                </c:pt>
                <c:pt idx="1156">
                  <c:v>-3.9999999999999147E-2</c:v>
                </c:pt>
                <c:pt idx="1157">
                  <c:v>2.9899999999999949</c:v>
                </c:pt>
                <c:pt idx="1158">
                  <c:v>-1.6699999999999946</c:v>
                </c:pt>
                <c:pt idx="1159">
                  <c:v>1.5999999999999943</c:v>
                </c:pt>
                <c:pt idx="1160">
                  <c:v>1.5200000000000031</c:v>
                </c:pt>
                <c:pt idx="1161">
                  <c:v>-0.35000000000000142</c:v>
                </c:pt>
                <c:pt idx="1162">
                  <c:v>-1.9299999999999997</c:v>
                </c:pt>
                <c:pt idx="1163">
                  <c:v>-1.5799999999999983</c:v>
                </c:pt>
                <c:pt idx="1164">
                  <c:v>-0.45000000000000284</c:v>
                </c:pt>
                <c:pt idx="1165">
                  <c:v>-0.18999999999999773</c:v>
                </c:pt>
                <c:pt idx="1166">
                  <c:v>-0.82999999999999829</c:v>
                </c:pt>
                <c:pt idx="1167">
                  <c:v>-3.9999999999999147E-2</c:v>
                </c:pt>
                <c:pt idx="1168">
                  <c:v>-0.49000000000000199</c:v>
                </c:pt>
                <c:pt idx="1169">
                  <c:v>0.25</c:v>
                </c:pt>
                <c:pt idx="1170">
                  <c:v>7.9999999999998295E-2</c:v>
                </c:pt>
                <c:pt idx="1171">
                  <c:v>-0.69999999999999574</c:v>
                </c:pt>
                <c:pt idx="1172">
                  <c:v>0.88999999999999346</c:v>
                </c:pt>
                <c:pt idx="1173">
                  <c:v>-5.9999999999995168E-2</c:v>
                </c:pt>
                <c:pt idx="1174">
                  <c:v>-0.48000000000000398</c:v>
                </c:pt>
                <c:pt idx="1175">
                  <c:v>0.48000000000000398</c:v>
                </c:pt>
                <c:pt idx="1176">
                  <c:v>-0.16000000000000369</c:v>
                </c:pt>
                <c:pt idx="1177">
                  <c:v>0.85000000000000142</c:v>
                </c:pt>
                <c:pt idx="1178">
                  <c:v>0.96999999999999886</c:v>
                </c:pt>
                <c:pt idx="1179">
                  <c:v>7.3800000000000026</c:v>
                </c:pt>
                <c:pt idx="1180">
                  <c:v>4.3500000000000014</c:v>
                </c:pt>
                <c:pt idx="1181">
                  <c:v>-8.2800000000000011</c:v>
                </c:pt>
                <c:pt idx="1182">
                  <c:v>-2.9699999999999989</c:v>
                </c:pt>
                <c:pt idx="1183">
                  <c:v>-2.5</c:v>
                </c:pt>
                <c:pt idx="1184">
                  <c:v>0.25</c:v>
                </c:pt>
                <c:pt idx="1185">
                  <c:v>2</c:v>
                </c:pt>
                <c:pt idx="1186">
                  <c:v>0.9199999999999946</c:v>
                </c:pt>
                <c:pt idx="1187">
                  <c:v>0.29000000000000625</c:v>
                </c:pt>
                <c:pt idx="1188">
                  <c:v>0.93999999999999773</c:v>
                </c:pt>
                <c:pt idx="1189">
                  <c:v>-2.4699999999999989</c:v>
                </c:pt>
                <c:pt idx="1190">
                  <c:v>-0.3300000000000054</c:v>
                </c:pt>
                <c:pt idx="1191">
                  <c:v>2.6600000000000037</c:v>
                </c:pt>
                <c:pt idx="1192">
                  <c:v>-0.29999999999999716</c:v>
                </c:pt>
                <c:pt idx="1193">
                  <c:v>3.1299999999999955</c:v>
                </c:pt>
                <c:pt idx="1194">
                  <c:v>-0.97999999999999687</c:v>
                </c:pt>
                <c:pt idx="1195">
                  <c:v>-0.94000000000000483</c:v>
                </c:pt>
                <c:pt idx="1196">
                  <c:v>-3.9099999999999966</c:v>
                </c:pt>
                <c:pt idx="1197">
                  <c:v>7.9999999999998295E-2</c:v>
                </c:pt>
                <c:pt idx="1198">
                  <c:v>0.24000000000000199</c:v>
                </c:pt>
                <c:pt idx="1199">
                  <c:v>-1.759999999999998</c:v>
                </c:pt>
                <c:pt idx="1200">
                  <c:v>0.57999999999999829</c:v>
                </c:pt>
                <c:pt idx="1201">
                  <c:v>-0.78000000000000114</c:v>
                </c:pt>
                <c:pt idx="1202">
                  <c:v>-0.11999999999999744</c:v>
                </c:pt>
                <c:pt idx="1203">
                  <c:v>2.6299999999999955</c:v>
                </c:pt>
                <c:pt idx="1204">
                  <c:v>-1.3799999999999955</c:v>
                </c:pt>
                <c:pt idx="1205">
                  <c:v>-0.28000000000000114</c:v>
                </c:pt>
                <c:pt idx="1206">
                  <c:v>-0.16000000000000369</c:v>
                </c:pt>
                <c:pt idx="1207">
                  <c:v>1.5</c:v>
                </c:pt>
                <c:pt idx="1208">
                  <c:v>0.84000000000000341</c:v>
                </c:pt>
                <c:pt idx="1209">
                  <c:v>-1.2199999999999989</c:v>
                </c:pt>
                <c:pt idx="1210">
                  <c:v>-0.96000000000000085</c:v>
                </c:pt>
                <c:pt idx="1211">
                  <c:v>-0.24000000000000199</c:v>
                </c:pt>
                <c:pt idx="1212">
                  <c:v>1.4200000000000017</c:v>
                </c:pt>
                <c:pt idx="1213">
                  <c:v>-1.1000000000000014</c:v>
                </c:pt>
                <c:pt idx="1214">
                  <c:v>0.16000000000000369</c:v>
                </c:pt>
                <c:pt idx="1215">
                  <c:v>-0.24000000000000199</c:v>
                </c:pt>
                <c:pt idx="1216">
                  <c:v>-0.70000000000000284</c:v>
                </c:pt>
                <c:pt idx="1217">
                  <c:v>-0.14999999999999858</c:v>
                </c:pt>
                <c:pt idx="1218">
                  <c:v>-0.17999999999999972</c:v>
                </c:pt>
                <c:pt idx="1219">
                  <c:v>-0.5</c:v>
                </c:pt>
                <c:pt idx="1220">
                  <c:v>0.22999999999999687</c:v>
                </c:pt>
                <c:pt idx="1221">
                  <c:v>2.8300000000000054</c:v>
                </c:pt>
                <c:pt idx="1222">
                  <c:v>0.28000000000000114</c:v>
                </c:pt>
                <c:pt idx="1223">
                  <c:v>0.31999999999999318</c:v>
                </c:pt>
                <c:pt idx="1224">
                  <c:v>-0.95999999999999375</c:v>
                </c:pt>
                <c:pt idx="1225">
                  <c:v>2.4699999999999989</c:v>
                </c:pt>
                <c:pt idx="1226">
                  <c:v>-0.89999999999999858</c:v>
                </c:pt>
                <c:pt idx="1227">
                  <c:v>3.6799999999999997</c:v>
                </c:pt>
                <c:pt idx="1228">
                  <c:v>1.25</c:v>
                </c:pt>
                <c:pt idx="1229">
                  <c:v>-2.2800000000000011</c:v>
                </c:pt>
                <c:pt idx="1230">
                  <c:v>5.259999999999998</c:v>
                </c:pt>
                <c:pt idx="1231">
                  <c:v>-2.3900000000000006</c:v>
                </c:pt>
                <c:pt idx="1232">
                  <c:v>5.480000000000004</c:v>
                </c:pt>
                <c:pt idx="1233">
                  <c:v>-1.0000000000005116E-2</c:v>
                </c:pt>
                <c:pt idx="1234">
                  <c:v>-2.8599999999999994</c:v>
                </c:pt>
                <c:pt idx="1235">
                  <c:v>2.3100000000000023</c:v>
                </c:pt>
                <c:pt idx="1236">
                  <c:v>-4.8299999999999983</c:v>
                </c:pt>
                <c:pt idx="1237">
                  <c:v>-1.8900000000000006</c:v>
                </c:pt>
                <c:pt idx="1238">
                  <c:v>1.3399999999999963</c:v>
                </c:pt>
                <c:pt idx="1239">
                  <c:v>-1.6999999999999957</c:v>
                </c:pt>
                <c:pt idx="1240">
                  <c:v>-0.80000000000000426</c:v>
                </c:pt>
                <c:pt idx="1241">
                  <c:v>3.0000000000001137E-2</c:v>
                </c:pt>
                <c:pt idx="1242">
                  <c:v>-3.0499999999999972</c:v>
                </c:pt>
                <c:pt idx="1243">
                  <c:v>0.35999999999999943</c:v>
                </c:pt>
                <c:pt idx="1244">
                  <c:v>1.3599999999999994</c:v>
                </c:pt>
                <c:pt idx="1245">
                  <c:v>0.29999999999999716</c:v>
                </c:pt>
                <c:pt idx="1246">
                  <c:v>4.1499999999999986</c:v>
                </c:pt>
                <c:pt idx="1247">
                  <c:v>-0.21999999999999886</c:v>
                </c:pt>
                <c:pt idx="1248">
                  <c:v>7.0000000000000284E-2</c:v>
                </c:pt>
                <c:pt idx="1249">
                  <c:v>-1.3799999999999955</c:v>
                </c:pt>
                <c:pt idx="1250">
                  <c:v>12</c:v>
                </c:pt>
                <c:pt idx="1251">
                  <c:v>12.170000000000002</c:v>
                </c:pt>
                <c:pt idx="1252">
                  <c:v>0.39999999999999147</c:v>
                </c:pt>
                <c:pt idx="1253">
                  <c:v>9.3100000000000023</c:v>
                </c:pt>
                <c:pt idx="1254">
                  <c:v>-17.329999999999998</c:v>
                </c:pt>
                <c:pt idx="1255">
                  <c:v>12.409999999999997</c:v>
                </c:pt>
                <c:pt idx="1256">
                  <c:v>-2.2199999999999989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C-432D-94EC-B99BBEB80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3734880"/>
        <c:axId val="1863932208"/>
      </c:lineChart>
      <c:dateAx>
        <c:axId val="1863734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932208"/>
        <c:crosses val="autoZero"/>
        <c:auto val="1"/>
        <c:lblOffset val="100"/>
        <c:baseTimeUnit val="days"/>
      </c:dateAx>
      <c:valAx>
        <c:axId val="186393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73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CovarianceStationaryWeaklyDepen!$H$1</c:f>
              <c:strCache>
                <c:ptCount val="1"/>
                <c:pt idx="0">
                  <c:v>log of STD of diff(sp)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CovarianceStationaryWeaklyDepen!$A$2:$A$1259</c:f>
              <c:numCache>
                <c:formatCode>m/d/yyyy</c:formatCode>
                <c:ptCount val="1258"/>
                <c:pt idx="0">
                  <c:v>43935</c:v>
                </c:pt>
                <c:pt idx="1">
                  <c:v>43936</c:v>
                </c:pt>
                <c:pt idx="2">
                  <c:v>43937</c:v>
                </c:pt>
                <c:pt idx="3">
                  <c:v>43938</c:v>
                </c:pt>
                <c:pt idx="4">
                  <c:v>43941</c:v>
                </c:pt>
                <c:pt idx="5">
                  <c:v>43942</c:v>
                </c:pt>
                <c:pt idx="6">
                  <c:v>43943</c:v>
                </c:pt>
                <c:pt idx="7">
                  <c:v>43944</c:v>
                </c:pt>
                <c:pt idx="8">
                  <c:v>43945</c:v>
                </c:pt>
                <c:pt idx="9">
                  <c:v>43948</c:v>
                </c:pt>
                <c:pt idx="10">
                  <c:v>43949</c:v>
                </c:pt>
                <c:pt idx="11">
                  <c:v>43950</c:v>
                </c:pt>
                <c:pt idx="12">
                  <c:v>43951</c:v>
                </c:pt>
                <c:pt idx="13">
                  <c:v>43952</c:v>
                </c:pt>
                <c:pt idx="14">
                  <c:v>43955</c:v>
                </c:pt>
                <c:pt idx="15">
                  <c:v>43956</c:v>
                </c:pt>
                <c:pt idx="16">
                  <c:v>43957</c:v>
                </c:pt>
                <c:pt idx="17">
                  <c:v>43958</c:v>
                </c:pt>
                <c:pt idx="18">
                  <c:v>43959</c:v>
                </c:pt>
                <c:pt idx="19">
                  <c:v>43962</c:v>
                </c:pt>
                <c:pt idx="20">
                  <c:v>43963</c:v>
                </c:pt>
                <c:pt idx="21">
                  <c:v>43964</c:v>
                </c:pt>
                <c:pt idx="22">
                  <c:v>43965</c:v>
                </c:pt>
                <c:pt idx="23">
                  <c:v>43966</c:v>
                </c:pt>
                <c:pt idx="24">
                  <c:v>43969</c:v>
                </c:pt>
                <c:pt idx="25">
                  <c:v>43970</c:v>
                </c:pt>
                <c:pt idx="26">
                  <c:v>43971</c:v>
                </c:pt>
                <c:pt idx="27">
                  <c:v>43972</c:v>
                </c:pt>
                <c:pt idx="28">
                  <c:v>43973</c:v>
                </c:pt>
                <c:pt idx="29">
                  <c:v>43977</c:v>
                </c:pt>
                <c:pt idx="30">
                  <c:v>43978</c:v>
                </c:pt>
                <c:pt idx="31">
                  <c:v>43979</c:v>
                </c:pt>
                <c:pt idx="32">
                  <c:v>43980</c:v>
                </c:pt>
                <c:pt idx="33">
                  <c:v>43983</c:v>
                </c:pt>
                <c:pt idx="34">
                  <c:v>43984</c:v>
                </c:pt>
                <c:pt idx="35">
                  <c:v>43985</c:v>
                </c:pt>
                <c:pt idx="36">
                  <c:v>43986</c:v>
                </c:pt>
                <c:pt idx="37">
                  <c:v>43987</c:v>
                </c:pt>
                <c:pt idx="38">
                  <c:v>43990</c:v>
                </c:pt>
                <c:pt idx="39">
                  <c:v>43991</c:v>
                </c:pt>
                <c:pt idx="40">
                  <c:v>43992</c:v>
                </c:pt>
                <c:pt idx="41">
                  <c:v>43993</c:v>
                </c:pt>
                <c:pt idx="42">
                  <c:v>43994</c:v>
                </c:pt>
                <c:pt idx="43">
                  <c:v>43997</c:v>
                </c:pt>
                <c:pt idx="44">
                  <c:v>43998</c:v>
                </c:pt>
                <c:pt idx="45">
                  <c:v>43999</c:v>
                </c:pt>
                <c:pt idx="46">
                  <c:v>44000</c:v>
                </c:pt>
                <c:pt idx="47">
                  <c:v>44001</c:v>
                </c:pt>
                <c:pt idx="48">
                  <c:v>44004</c:v>
                </c:pt>
                <c:pt idx="49">
                  <c:v>44005</c:v>
                </c:pt>
                <c:pt idx="50">
                  <c:v>44006</c:v>
                </c:pt>
                <c:pt idx="51">
                  <c:v>44007</c:v>
                </c:pt>
                <c:pt idx="52">
                  <c:v>44008</c:v>
                </c:pt>
                <c:pt idx="53">
                  <c:v>44011</c:v>
                </c:pt>
                <c:pt idx="54">
                  <c:v>44012</c:v>
                </c:pt>
                <c:pt idx="55">
                  <c:v>44013</c:v>
                </c:pt>
                <c:pt idx="56">
                  <c:v>44014</c:v>
                </c:pt>
                <c:pt idx="57">
                  <c:v>44018</c:v>
                </c:pt>
                <c:pt idx="58">
                  <c:v>44019</c:v>
                </c:pt>
                <c:pt idx="59">
                  <c:v>44020</c:v>
                </c:pt>
                <c:pt idx="60">
                  <c:v>44021</c:v>
                </c:pt>
                <c:pt idx="61">
                  <c:v>44022</c:v>
                </c:pt>
                <c:pt idx="62">
                  <c:v>44025</c:v>
                </c:pt>
                <c:pt idx="63">
                  <c:v>44026</c:v>
                </c:pt>
                <c:pt idx="64">
                  <c:v>44027</c:v>
                </c:pt>
                <c:pt idx="65">
                  <c:v>44028</c:v>
                </c:pt>
                <c:pt idx="66">
                  <c:v>44029</c:v>
                </c:pt>
                <c:pt idx="67">
                  <c:v>44032</c:v>
                </c:pt>
                <c:pt idx="68">
                  <c:v>44033</c:v>
                </c:pt>
                <c:pt idx="69">
                  <c:v>44034</c:v>
                </c:pt>
                <c:pt idx="70">
                  <c:v>44035</c:v>
                </c:pt>
                <c:pt idx="71">
                  <c:v>44036</c:v>
                </c:pt>
                <c:pt idx="72">
                  <c:v>44039</c:v>
                </c:pt>
                <c:pt idx="73">
                  <c:v>44040</c:v>
                </c:pt>
                <c:pt idx="74">
                  <c:v>44041</c:v>
                </c:pt>
                <c:pt idx="75">
                  <c:v>44042</c:v>
                </c:pt>
                <c:pt idx="76">
                  <c:v>44043</c:v>
                </c:pt>
                <c:pt idx="77">
                  <c:v>44046</c:v>
                </c:pt>
                <c:pt idx="78">
                  <c:v>44047</c:v>
                </c:pt>
                <c:pt idx="79">
                  <c:v>44048</c:v>
                </c:pt>
                <c:pt idx="80">
                  <c:v>44049</c:v>
                </c:pt>
                <c:pt idx="81">
                  <c:v>44050</c:v>
                </c:pt>
                <c:pt idx="82">
                  <c:v>44053</c:v>
                </c:pt>
                <c:pt idx="83">
                  <c:v>44054</c:v>
                </c:pt>
                <c:pt idx="84">
                  <c:v>44055</c:v>
                </c:pt>
                <c:pt idx="85">
                  <c:v>44056</c:v>
                </c:pt>
                <c:pt idx="86">
                  <c:v>44057</c:v>
                </c:pt>
                <c:pt idx="87">
                  <c:v>44060</c:v>
                </c:pt>
                <c:pt idx="88">
                  <c:v>44061</c:v>
                </c:pt>
                <c:pt idx="89">
                  <c:v>44062</c:v>
                </c:pt>
                <c:pt idx="90">
                  <c:v>44063</c:v>
                </c:pt>
                <c:pt idx="91">
                  <c:v>44064</c:v>
                </c:pt>
                <c:pt idx="92">
                  <c:v>44067</c:v>
                </c:pt>
                <c:pt idx="93">
                  <c:v>44068</c:v>
                </c:pt>
                <c:pt idx="94">
                  <c:v>44069</c:v>
                </c:pt>
                <c:pt idx="95">
                  <c:v>44070</c:v>
                </c:pt>
                <c:pt idx="96">
                  <c:v>44071</c:v>
                </c:pt>
                <c:pt idx="97">
                  <c:v>44074</c:v>
                </c:pt>
                <c:pt idx="98">
                  <c:v>44075</c:v>
                </c:pt>
                <c:pt idx="99">
                  <c:v>44076</c:v>
                </c:pt>
                <c:pt idx="100">
                  <c:v>44077</c:v>
                </c:pt>
                <c:pt idx="101">
                  <c:v>44078</c:v>
                </c:pt>
                <c:pt idx="102">
                  <c:v>44082</c:v>
                </c:pt>
                <c:pt idx="103">
                  <c:v>44083</c:v>
                </c:pt>
                <c:pt idx="104">
                  <c:v>44084</c:v>
                </c:pt>
                <c:pt idx="105">
                  <c:v>44085</c:v>
                </c:pt>
                <c:pt idx="106">
                  <c:v>44088</c:v>
                </c:pt>
                <c:pt idx="107">
                  <c:v>44089</c:v>
                </c:pt>
                <c:pt idx="108">
                  <c:v>44090</c:v>
                </c:pt>
                <c:pt idx="109">
                  <c:v>44091</c:v>
                </c:pt>
                <c:pt idx="110">
                  <c:v>44092</c:v>
                </c:pt>
                <c:pt idx="111">
                  <c:v>44095</c:v>
                </c:pt>
                <c:pt idx="112">
                  <c:v>44096</c:v>
                </c:pt>
                <c:pt idx="113">
                  <c:v>44097</c:v>
                </c:pt>
                <c:pt idx="114">
                  <c:v>44098</c:v>
                </c:pt>
                <c:pt idx="115">
                  <c:v>44099</c:v>
                </c:pt>
                <c:pt idx="116">
                  <c:v>44102</c:v>
                </c:pt>
                <c:pt idx="117">
                  <c:v>44103</c:v>
                </c:pt>
                <c:pt idx="118">
                  <c:v>44104</c:v>
                </c:pt>
                <c:pt idx="119">
                  <c:v>44105</c:v>
                </c:pt>
                <c:pt idx="120">
                  <c:v>44106</c:v>
                </c:pt>
                <c:pt idx="121">
                  <c:v>44109</c:v>
                </c:pt>
                <c:pt idx="122">
                  <c:v>44110</c:v>
                </c:pt>
                <c:pt idx="123">
                  <c:v>44111</c:v>
                </c:pt>
                <c:pt idx="124">
                  <c:v>44112</c:v>
                </c:pt>
                <c:pt idx="125">
                  <c:v>44113</c:v>
                </c:pt>
                <c:pt idx="126">
                  <c:v>44116</c:v>
                </c:pt>
                <c:pt idx="127">
                  <c:v>44117</c:v>
                </c:pt>
                <c:pt idx="128">
                  <c:v>44118</c:v>
                </c:pt>
                <c:pt idx="129">
                  <c:v>44119</c:v>
                </c:pt>
                <c:pt idx="130">
                  <c:v>44120</c:v>
                </c:pt>
                <c:pt idx="131">
                  <c:v>44123</c:v>
                </c:pt>
                <c:pt idx="132">
                  <c:v>44124</c:v>
                </c:pt>
                <c:pt idx="133">
                  <c:v>44125</c:v>
                </c:pt>
                <c:pt idx="134">
                  <c:v>44126</c:v>
                </c:pt>
                <c:pt idx="135">
                  <c:v>44127</c:v>
                </c:pt>
                <c:pt idx="136">
                  <c:v>44130</c:v>
                </c:pt>
                <c:pt idx="137">
                  <c:v>44131</c:v>
                </c:pt>
                <c:pt idx="138">
                  <c:v>44132</c:v>
                </c:pt>
                <c:pt idx="139">
                  <c:v>44133</c:v>
                </c:pt>
                <c:pt idx="140">
                  <c:v>44134</c:v>
                </c:pt>
                <c:pt idx="141">
                  <c:v>44137</c:v>
                </c:pt>
                <c:pt idx="142">
                  <c:v>44138</c:v>
                </c:pt>
                <c:pt idx="143">
                  <c:v>44139</c:v>
                </c:pt>
                <c:pt idx="144">
                  <c:v>44140</c:v>
                </c:pt>
                <c:pt idx="145">
                  <c:v>44141</c:v>
                </c:pt>
                <c:pt idx="146">
                  <c:v>44144</c:v>
                </c:pt>
                <c:pt idx="147">
                  <c:v>44145</c:v>
                </c:pt>
                <c:pt idx="148">
                  <c:v>44146</c:v>
                </c:pt>
                <c:pt idx="149">
                  <c:v>44147</c:v>
                </c:pt>
                <c:pt idx="150">
                  <c:v>44148</c:v>
                </c:pt>
                <c:pt idx="151">
                  <c:v>44151</c:v>
                </c:pt>
                <c:pt idx="152">
                  <c:v>44152</c:v>
                </c:pt>
                <c:pt idx="153">
                  <c:v>44153</c:v>
                </c:pt>
                <c:pt idx="154">
                  <c:v>44154</c:v>
                </c:pt>
                <c:pt idx="155">
                  <c:v>44155</c:v>
                </c:pt>
                <c:pt idx="156">
                  <c:v>44158</c:v>
                </c:pt>
                <c:pt idx="157">
                  <c:v>44159</c:v>
                </c:pt>
                <c:pt idx="158">
                  <c:v>44160</c:v>
                </c:pt>
                <c:pt idx="159">
                  <c:v>44162</c:v>
                </c:pt>
                <c:pt idx="160">
                  <c:v>44165</c:v>
                </c:pt>
                <c:pt idx="161">
                  <c:v>44166</c:v>
                </c:pt>
                <c:pt idx="162">
                  <c:v>44167</c:v>
                </c:pt>
                <c:pt idx="163">
                  <c:v>44168</c:v>
                </c:pt>
                <c:pt idx="164">
                  <c:v>44169</c:v>
                </c:pt>
                <c:pt idx="165">
                  <c:v>44172</c:v>
                </c:pt>
                <c:pt idx="166">
                  <c:v>44173</c:v>
                </c:pt>
                <c:pt idx="167">
                  <c:v>44174</c:v>
                </c:pt>
                <c:pt idx="168">
                  <c:v>44175</c:v>
                </c:pt>
                <c:pt idx="169">
                  <c:v>44176</c:v>
                </c:pt>
                <c:pt idx="170">
                  <c:v>44179</c:v>
                </c:pt>
                <c:pt idx="171">
                  <c:v>44180</c:v>
                </c:pt>
                <c:pt idx="172">
                  <c:v>44181</c:v>
                </c:pt>
                <c:pt idx="173">
                  <c:v>44182</c:v>
                </c:pt>
                <c:pt idx="174">
                  <c:v>44183</c:v>
                </c:pt>
                <c:pt idx="175">
                  <c:v>44186</c:v>
                </c:pt>
                <c:pt idx="176">
                  <c:v>44187</c:v>
                </c:pt>
                <c:pt idx="177">
                  <c:v>44188</c:v>
                </c:pt>
                <c:pt idx="178">
                  <c:v>44189</c:v>
                </c:pt>
                <c:pt idx="179">
                  <c:v>44193</c:v>
                </c:pt>
                <c:pt idx="180">
                  <c:v>44194</c:v>
                </c:pt>
                <c:pt idx="181">
                  <c:v>44195</c:v>
                </c:pt>
                <c:pt idx="182">
                  <c:v>44196</c:v>
                </c:pt>
                <c:pt idx="183">
                  <c:v>44200</c:v>
                </c:pt>
                <c:pt idx="184">
                  <c:v>44201</c:v>
                </c:pt>
                <c:pt idx="185">
                  <c:v>44202</c:v>
                </c:pt>
                <c:pt idx="186">
                  <c:v>44203</c:v>
                </c:pt>
                <c:pt idx="187">
                  <c:v>44204</c:v>
                </c:pt>
                <c:pt idx="188">
                  <c:v>44207</c:v>
                </c:pt>
                <c:pt idx="189">
                  <c:v>44208</c:v>
                </c:pt>
                <c:pt idx="190">
                  <c:v>44209</c:v>
                </c:pt>
                <c:pt idx="191">
                  <c:v>44210</c:v>
                </c:pt>
                <c:pt idx="192">
                  <c:v>44211</c:v>
                </c:pt>
                <c:pt idx="193">
                  <c:v>44215</c:v>
                </c:pt>
                <c:pt idx="194">
                  <c:v>44216</c:v>
                </c:pt>
                <c:pt idx="195">
                  <c:v>44217</c:v>
                </c:pt>
                <c:pt idx="196">
                  <c:v>44218</c:v>
                </c:pt>
                <c:pt idx="197">
                  <c:v>44221</c:v>
                </c:pt>
                <c:pt idx="198">
                  <c:v>44222</c:v>
                </c:pt>
                <c:pt idx="199">
                  <c:v>44223</c:v>
                </c:pt>
                <c:pt idx="200">
                  <c:v>44224</c:v>
                </c:pt>
                <c:pt idx="201">
                  <c:v>44225</c:v>
                </c:pt>
                <c:pt idx="202">
                  <c:v>44228</c:v>
                </c:pt>
                <c:pt idx="203">
                  <c:v>44229</c:v>
                </c:pt>
                <c:pt idx="204">
                  <c:v>44230</c:v>
                </c:pt>
                <c:pt idx="205">
                  <c:v>44231</c:v>
                </c:pt>
                <c:pt idx="206">
                  <c:v>44232</c:v>
                </c:pt>
                <c:pt idx="207">
                  <c:v>44235</c:v>
                </c:pt>
                <c:pt idx="208">
                  <c:v>44236</c:v>
                </c:pt>
                <c:pt idx="209">
                  <c:v>44237</c:v>
                </c:pt>
                <c:pt idx="210">
                  <c:v>44238</c:v>
                </c:pt>
                <c:pt idx="211">
                  <c:v>44239</c:v>
                </c:pt>
                <c:pt idx="212">
                  <c:v>44243</c:v>
                </c:pt>
                <c:pt idx="213">
                  <c:v>44244</c:v>
                </c:pt>
                <c:pt idx="214">
                  <c:v>44245</c:v>
                </c:pt>
                <c:pt idx="215">
                  <c:v>44246</c:v>
                </c:pt>
                <c:pt idx="216">
                  <c:v>44249</c:v>
                </c:pt>
                <c:pt idx="217">
                  <c:v>44250</c:v>
                </c:pt>
                <c:pt idx="218">
                  <c:v>44251</c:v>
                </c:pt>
                <c:pt idx="219">
                  <c:v>44252</c:v>
                </c:pt>
                <c:pt idx="220">
                  <c:v>44253</c:v>
                </c:pt>
                <c:pt idx="221">
                  <c:v>44256</c:v>
                </c:pt>
                <c:pt idx="222">
                  <c:v>44257</c:v>
                </c:pt>
                <c:pt idx="223">
                  <c:v>44258</c:v>
                </c:pt>
                <c:pt idx="224">
                  <c:v>44259</c:v>
                </c:pt>
                <c:pt idx="225">
                  <c:v>44260</c:v>
                </c:pt>
                <c:pt idx="226">
                  <c:v>44263</c:v>
                </c:pt>
                <c:pt idx="227">
                  <c:v>44264</c:v>
                </c:pt>
                <c:pt idx="228">
                  <c:v>44265</c:v>
                </c:pt>
                <c:pt idx="229">
                  <c:v>44266</c:v>
                </c:pt>
                <c:pt idx="230">
                  <c:v>44267</c:v>
                </c:pt>
                <c:pt idx="231">
                  <c:v>44270</c:v>
                </c:pt>
                <c:pt idx="232">
                  <c:v>44271</c:v>
                </c:pt>
                <c:pt idx="233">
                  <c:v>44272</c:v>
                </c:pt>
                <c:pt idx="234">
                  <c:v>44273</c:v>
                </c:pt>
                <c:pt idx="235">
                  <c:v>44274</c:v>
                </c:pt>
                <c:pt idx="236">
                  <c:v>44277</c:v>
                </c:pt>
                <c:pt idx="237">
                  <c:v>44278</c:v>
                </c:pt>
                <c:pt idx="238">
                  <c:v>44279</c:v>
                </c:pt>
                <c:pt idx="239">
                  <c:v>44280</c:v>
                </c:pt>
                <c:pt idx="240">
                  <c:v>44281</c:v>
                </c:pt>
                <c:pt idx="241">
                  <c:v>44284</c:v>
                </c:pt>
                <c:pt idx="242">
                  <c:v>44285</c:v>
                </c:pt>
                <c:pt idx="243">
                  <c:v>44286</c:v>
                </c:pt>
                <c:pt idx="244">
                  <c:v>44287</c:v>
                </c:pt>
                <c:pt idx="245">
                  <c:v>44291</c:v>
                </c:pt>
                <c:pt idx="246">
                  <c:v>44292</c:v>
                </c:pt>
                <c:pt idx="247">
                  <c:v>44293</c:v>
                </c:pt>
                <c:pt idx="248">
                  <c:v>44294</c:v>
                </c:pt>
                <c:pt idx="249">
                  <c:v>44295</c:v>
                </c:pt>
                <c:pt idx="250">
                  <c:v>44298</c:v>
                </c:pt>
                <c:pt idx="251">
                  <c:v>44299</c:v>
                </c:pt>
                <c:pt idx="252">
                  <c:v>44300</c:v>
                </c:pt>
                <c:pt idx="253">
                  <c:v>44301</c:v>
                </c:pt>
                <c:pt idx="254">
                  <c:v>44302</c:v>
                </c:pt>
                <c:pt idx="255">
                  <c:v>44305</c:v>
                </c:pt>
                <c:pt idx="256">
                  <c:v>44306</c:v>
                </c:pt>
                <c:pt idx="257">
                  <c:v>44307</c:v>
                </c:pt>
                <c:pt idx="258">
                  <c:v>44308</c:v>
                </c:pt>
                <c:pt idx="259">
                  <c:v>44309</c:v>
                </c:pt>
                <c:pt idx="260">
                  <c:v>44312</c:v>
                </c:pt>
                <c:pt idx="261">
                  <c:v>44313</c:v>
                </c:pt>
                <c:pt idx="262">
                  <c:v>44314</c:v>
                </c:pt>
                <c:pt idx="263">
                  <c:v>44315</c:v>
                </c:pt>
                <c:pt idx="264">
                  <c:v>44316</c:v>
                </c:pt>
                <c:pt idx="265">
                  <c:v>44319</c:v>
                </c:pt>
                <c:pt idx="266">
                  <c:v>44320</c:v>
                </c:pt>
                <c:pt idx="267">
                  <c:v>44321</c:v>
                </c:pt>
                <c:pt idx="268">
                  <c:v>44322</c:v>
                </c:pt>
                <c:pt idx="269">
                  <c:v>44323</c:v>
                </c:pt>
                <c:pt idx="270">
                  <c:v>44326</c:v>
                </c:pt>
                <c:pt idx="271">
                  <c:v>44327</c:v>
                </c:pt>
                <c:pt idx="272">
                  <c:v>44328</c:v>
                </c:pt>
                <c:pt idx="273">
                  <c:v>44329</c:v>
                </c:pt>
                <c:pt idx="274">
                  <c:v>44330</c:v>
                </c:pt>
                <c:pt idx="275">
                  <c:v>44333</c:v>
                </c:pt>
                <c:pt idx="276">
                  <c:v>44334</c:v>
                </c:pt>
                <c:pt idx="277">
                  <c:v>44335</c:v>
                </c:pt>
                <c:pt idx="278">
                  <c:v>44336</c:v>
                </c:pt>
                <c:pt idx="279">
                  <c:v>44337</c:v>
                </c:pt>
                <c:pt idx="280">
                  <c:v>44340</c:v>
                </c:pt>
                <c:pt idx="281">
                  <c:v>44341</c:v>
                </c:pt>
                <c:pt idx="282">
                  <c:v>44342</c:v>
                </c:pt>
                <c:pt idx="283">
                  <c:v>44343</c:v>
                </c:pt>
                <c:pt idx="284">
                  <c:v>44344</c:v>
                </c:pt>
                <c:pt idx="285">
                  <c:v>44348</c:v>
                </c:pt>
                <c:pt idx="286">
                  <c:v>44349</c:v>
                </c:pt>
                <c:pt idx="287">
                  <c:v>44350</c:v>
                </c:pt>
                <c:pt idx="288">
                  <c:v>44351</c:v>
                </c:pt>
                <c:pt idx="289">
                  <c:v>44354</c:v>
                </c:pt>
                <c:pt idx="290">
                  <c:v>44355</c:v>
                </c:pt>
                <c:pt idx="291">
                  <c:v>44356</c:v>
                </c:pt>
                <c:pt idx="292">
                  <c:v>44357</c:v>
                </c:pt>
                <c:pt idx="293">
                  <c:v>44358</c:v>
                </c:pt>
                <c:pt idx="294">
                  <c:v>44361</c:v>
                </c:pt>
                <c:pt idx="295">
                  <c:v>44362</c:v>
                </c:pt>
                <c:pt idx="296">
                  <c:v>44363</c:v>
                </c:pt>
                <c:pt idx="297">
                  <c:v>44364</c:v>
                </c:pt>
                <c:pt idx="298">
                  <c:v>44365</c:v>
                </c:pt>
                <c:pt idx="299">
                  <c:v>44368</c:v>
                </c:pt>
                <c:pt idx="300">
                  <c:v>44369</c:v>
                </c:pt>
                <c:pt idx="301">
                  <c:v>44370</c:v>
                </c:pt>
                <c:pt idx="302">
                  <c:v>44371</c:v>
                </c:pt>
                <c:pt idx="303">
                  <c:v>44372</c:v>
                </c:pt>
                <c:pt idx="304">
                  <c:v>44375</c:v>
                </c:pt>
                <c:pt idx="305">
                  <c:v>44376</c:v>
                </c:pt>
                <c:pt idx="306">
                  <c:v>44377</c:v>
                </c:pt>
                <c:pt idx="307">
                  <c:v>44378</c:v>
                </c:pt>
                <c:pt idx="308">
                  <c:v>44379</c:v>
                </c:pt>
                <c:pt idx="309">
                  <c:v>44383</c:v>
                </c:pt>
                <c:pt idx="310">
                  <c:v>44384</c:v>
                </c:pt>
                <c:pt idx="311">
                  <c:v>44385</c:v>
                </c:pt>
                <c:pt idx="312">
                  <c:v>44386</c:v>
                </c:pt>
                <c:pt idx="313">
                  <c:v>44389</c:v>
                </c:pt>
                <c:pt idx="314">
                  <c:v>44390</c:v>
                </c:pt>
                <c:pt idx="315">
                  <c:v>44391</c:v>
                </c:pt>
                <c:pt idx="316">
                  <c:v>44392</c:v>
                </c:pt>
                <c:pt idx="317">
                  <c:v>44393</c:v>
                </c:pt>
                <c:pt idx="318">
                  <c:v>44396</c:v>
                </c:pt>
                <c:pt idx="319">
                  <c:v>44397</c:v>
                </c:pt>
                <c:pt idx="320">
                  <c:v>44398</c:v>
                </c:pt>
                <c:pt idx="321">
                  <c:v>44399</c:v>
                </c:pt>
                <c:pt idx="322">
                  <c:v>44400</c:v>
                </c:pt>
                <c:pt idx="323">
                  <c:v>44403</c:v>
                </c:pt>
                <c:pt idx="324">
                  <c:v>44404</c:v>
                </c:pt>
                <c:pt idx="325">
                  <c:v>44405</c:v>
                </c:pt>
                <c:pt idx="326">
                  <c:v>44406</c:v>
                </c:pt>
                <c:pt idx="327">
                  <c:v>44407</c:v>
                </c:pt>
                <c:pt idx="328">
                  <c:v>44410</c:v>
                </c:pt>
                <c:pt idx="329">
                  <c:v>44411</c:v>
                </c:pt>
                <c:pt idx="330">
                  <c:v>44412</c:v>
                </c:pt>
                <c:pt idx="331">
                  <c:v>44413</c:v>
                </c:pt>
                <c:pt idx="332">
                  <c:v>44414</c:v>
                </c:pt>
                <c:pt idx="333">
                  <c:v>44417</c:v>
                </c:pt>
                <c:pt idx="334">
                  <c:v>44418</c:v>
                </c:pt>
                <c:pt idx="335">
                  <c:v>44419</c:v>
                </c:pt>
                <c:pt idx="336">
                  <c:v>44420</c:v>
                </c:pt>
                <c:pt idx="337">
                  <c:v>44421</c:v>
                </c:pt>
                <c:pt idx="338">
                  <c:v>44424</c:v>
                </c:pt>
                <c:pt idx="339">
                  <c:v>44425</c:v>
                </c:pt>
                <c:pt idx="340">
                  <c:v>44426</c:v>
                </c:pt>
                <c:pt idx="341">
                  <c:v>44427</c:v>
                </c:pt>
                <c:pt idx="342">
                  <c:v>44428</c:v>
                </c:pt>
                <c:pt idx="343">
                  <c:v>44431</c:v>
                </c:pt>
                <c:pt idx="344">
                  <c:v>44432</c:v>
                </c:pt>
                <c:pt idx="345">
                  <c:v>44433</c:v>
                </c:pt>
                <c:pt idx="346">
                  <c:v>44434</c:v>
                </c:pt>
                <c:pt idx="347">
                  <c:v>44435</c:v>
                </c:pt>
                <c:pt idx="348">
                  <c:v>44438</c:v>
                </c:pt>
                <c:pt idx="349">
                  <c:v>44439</c:v>
                </c:pt>
                <c:pt idx="350">
                  <c:v>44440</c:v>
                </c:pt>
                <c:pt idx="351">
                  <c:v>44441</c:v>
                </c:pt>
                <c:pt idx="352">
                  <c:v>44442</c:v>
                </c:pt>
                <c:pt idx="353">
                  <c:v>44446</c:v>
                </c:pt>
                <c:pt idx="354">
                  <c:v>44447</c:v>
                </c:pt>
                <c:pt idx="355">
                  <c:v>44448</c:v>
                </c:pt>
                <c:pt idx="356">
                  <c:v>44449</c:v>
                </c:pt>
                <c:pt idx="357">
                  <c:v>44452</c:v>
                </c:pt>
                <c:pt idx="358">
                  <c:v>44453</c:v>
                </c:pt>
                <c:pt idx="359">
                  <c:v>44454</c:v>
                </c:pt>
                <c:pt idx="360">
                  <c:v>44455</c:v>
                </c:pt>
                <c:pt idx="361">
                  <c:v>44456</c:v>
                </c:pt>
                <c:pt idx="362">
                  <c:v>44459</c:v>
                </c:pt>
                <c:pt idx="363">
                  <c:v>44460</c:v>
                </c:pt>
                <c:pt idx="364">
                  <c:v>44461</c:v>
                </c:pt>
                <c:pt idx="365">
                  <c:v>44462</c:v>
                </c:pt>
                <c:pt idx="366">
                  <c:v>44463</c:v>
                </c:pt>
                <c:pt idx="367">
                  <c:v>44466</c:v>
                </c:pt>
                <c:pt idx="368">
                  <c:v>44467</c:v>
                </c:pt>
                <c:pt idx="369">
                  <c:v>44468</c:v>
                </c:pt>
                <c:pt idx="370">
                  <c:v>44469</c:v>
                </c:pt>
                <c:pt idx="371">
                  <c:v>44470</c:v>
                </c:pt>
                <c:pt idx="372">
                  <c:v>44473</c:v>
                </c:pt>
                <c:pt idx="373">
                  <c:v>44474</c:v>
                </c:pt>
                <c:pt idx="374">
                  <c:v>44475</c:v>
                </c:pt>
                <c:pt idx="375">
                  <c:v>44476</c:v>
                </c:pt>
                <c:pt idx="376">
                  <c:v>44477</c:v>
                </c:pt>
                <c:pt idx="377">
                  <c:v>44480</c:v>
                </c:pt>
                <c:pt idx="378">
                  <c:v>44481</c:v>
                </c:pt>
                <c:pt idx="379">
                  <c:v>44482</c:v>
                </c:pt>
                <c:pt idx="380">
                  <c:v>44483</c:v>
                </c:pt>
                <c:pt idx="381">
                  <c:v>44484</c:v>
                </c:pt>
                <c:pt idx="382">
                  <c:v>44487</c:v>
                </c:pt>
                <c:pt idx="383">
                  <c:v>44488</c:v>
                </c:pt>
                <c:pt idx="384">
                  <c:v>44489</c:v>
                </c:pt>
                <c:pt idx="385">
                  <c:v>44490</c:v>
                </c:pt>
                <c:pt idx="386">
                  <c:v>44491</c:v>
                </c:pt>
                <c:pt idx="387">
                  <c:v>44494</c:v>
                </c:pt>
                <c:pt idx="388">
                  <c:v>44495</c:v>
                </c:pt>
                <c:pt idx="389">
                  <c:v>44496</c:v>
                </c:pt>
                <c:pt idx="390">
                  <c:v>44497</c:v>
                </c:pt>
                <c:pt idx="391">
                  <c:v>44498</c:v>
                </c:pt>
                <c:pt idx="392">
                  <c:v>44501</c:v>
                </c:pt>
                <c:pt idx="393">
                  <c:v>44502</c:v>
                </c:pt>
                <c:pt idx="394">
                  <c:v>44503</c:v>
                </c:pt>
                <c:pt idx="395">
                  <c:v>44504</c:v>
                </c:pt>
                <c:pt idx="396">
                  <c:v>44505</c:v>
                </c:pt>
                <c:pt idx="397">
                  <c:v>44508</c:v>
                </c:pt>
                <c:pt idx="398">
                  <c:v>44509</c:v>
                </c:pt>
                <c:pt idx="399">
                  <c:v>44510</c:v>
                </c:pt>
                <c:pt idx="400">
                  <c:v>44511</c:v>
                </c:pt>
                <c:pt idx="401">
                  <c:v>44512</c:v>
                </c:pt>
                <c:pt idx="402">
                  <c:v>44515</c:v>
                </c:pt>
                <c:pt idx="403">
                  <c:v>44516</c:v>
                </c:pt>
                <c:pt idx="404">
                  <c:v>44517</c:v>
                </c:pt>
                <c:pt idx="405">
                  <c:v>44518</c:v>
                </c:pt>
                <c:pt idx="406">
                  <c:v>44519</c:v>
                </c:pt>
                <c:pt idx="407">
                  <c:v>44522</c:v>
                </c:pt>
                <c:pt idx="408">
                  <c:v>44523</c:v>
                </c:pt>
                <c:pt idx="409">
                  <c:v>44524</c:v>
                </c:pt>
                <c:pt idx="410">
                  <c:v>44526</c:v>
                </c:pt>
                <c:pt idx="411">
                  <c:v>44529</c:v>
                </c:pt>
                <c:pt idx="412">
                  <c:v>44530</c:v>
                </c:pt>
                <c:pt idx="413">
                  <c:v>44531</c:v>
                </c:pt>
                <c:pt idx="414">
                  <c:v>44532</c:v>
                </c:pt>
                <c:pt idx="415">
                  <c:v>44533</c:v>
                </c:pt>
                <c:pt idx="416">
                  <c:v>44536</c:v>
                </c:pt>
                <c:pt idx="417">
                  <c:v>44537</c:v>
                </c:pt>
                <c:pt idx="418">
                  <c:v>44538</c:v>
                </c:pt>
                <c:pt idx="419">
                  <c:v>44539</c:v>
                </c:pt>
                <c:pt idx="420">
                  <c:v>44540</c:v>
                </c:pt>
                <c:pt idx="421">
                  <c:v>44543</c:v>
                </c:pt>
                <c:pt idx="422">
                  <c:v>44544</c:v>
                </c:pt>
                <c:pt idx="423">
                  <c:v>44545</c:v>
                </c:pt>
                <c:pt idx="424">
                  <c:v>44546</c:v>
                </c:pt>
                <c:pt idx="425">
                  <c:v>44547</c:v>
                </c:pt>
                <c:pt idx="426">
                  <c:v>44550</c:v>
                </c:pt>
                <c:pt idx="427">
                  <c:v>44551</c:v>
                </c:pt>
                <c:pt idx="428">
                  <c:v>44552</c:v>
                </c:pt>
                <c:pt idx="429">
                  <c:v>44553</c:v>
                </c:pt>
                <c:pt idx="430">
                  <c:v>44557</c:v>
                </c:pt>
                <c:pt idx="431">
                  <c:v>44558</c:v>
                </c:pt>
                <c:pt idx="432">
                  <c:v>44559</c:v>
                </c:pt>
                <c:pt idx="433">
                  <c:v>44560</c:v>
                </c:pt>
                <c:pt idx="434">
                  <c:v>44561</c:v>
                </c:pt>
                <c:pt idx="435">
                  <c:v>44564</c:v>
                </c:pt>
                <c:pt idx="436">
                  <c:v>44565</c:v>
                </c:pt>
                <c:pt idx="437">
                  <c:v>44566</c:v>
                </c:pt>
                <c:pt idx="438">
                  <c:v>44567</c:v>
                </c:pt>
                <c:pt idx="439">
                  <c:v>44568</c:v>
                </c:pt>
                <c:pt idx="440">
                  <c:v>44571</c:v>
                </c:pt>
                <c:pt idx="441">
                  <c:v>44572</c:v>
                </c:pt>
                <c:pt idx="442">
                  <c:v>44573</c:v>
                </c:pt>
                <c:pt idx="443">
                  <c:v>44574</c:v>
                </c:pt>
                <c:pt idx="444">
                  <c:v>44575</c:v>
                </c:pt>
                <c:pt idx="445">
                  <c:v>44579</c:v>
                </c:pt>
                <c:pt idx="446">
                  <c:v>44580</c:v>
                </c:pt>
                <c:pt idx="447">
                  <c:v>44581</c:v>
                </c:pt>
                <c:pt idx="448">
                  <c:v>44582</c:v>
                </c:pt>
                <c:pt idx="449">
                  <c:v>44585</c:v>
                </c:pt>
                <c:pt idx="450">
                  <c:v>44586</c:v>
                </c:pt>
                <c:pt idx="451">
                  <c:v>44587</c:v>
                </c:pt>
                <c:pt idx="452">
                  <c:v>44588</c:v>
                </c:pt>
                <c:pt idx="453">
                  <c:v>44589</c:v>
                </c:pt>
                <c:pt idx="454">
                  <c:v>44592</c:v>
                </c:pt>
                <c:pt idx="455">
                  <c:v>44593</c:v>
                </c:pt>
                <c:pt idx="456">
                  <c:v>44594</c:v>
                </c:pt>
                <c:pt idx="457">
                  <c:v>44595</c:v>
                </c:pt>
                <c:pt idx="458">
                  <c:v>44596</c:v>
                </c:pt>
                <c:pt idx="459">
                  <c:v>44599</c:v>
                </c:pt>
                <c:pt idx="460">
                  <c:v>44600</c:v>
                </c:pt>
                <c:pt idx="461">
                  <c:v>44601</c:v>
                </c:pt>
                <c:pt idx="462">
                  <c:v>44602</c:v>
                </c:pt>
                <c:pt idx="463">
                  <c:v>44603</c:v>
                </c:pt>
                <c:pt idx="464">
                  <c:v>44606</c:v>
                </c:pt>
                <c:pt idx="465">
                  <c:v>44607</c:v>
                </c:pt>
                <c:pt idx="466">
                  <c:v>44608</c:v>
                </c:pt>
                <c:pt idx="467">
                  <c:v>44609</c:v>
                </c:pt>
                <c:pt idx="468">
                  <c:v>44610</c:v>
                </c:pt>
                <c:pt idx="469">
                  <c:v>44614</c:v>
                </c:pt>
                <c:pt idx="470">
                  <c:v>44615</c:v>
                </c:pt>
                <c:pt idx="471">
                  <c:v>44616</c:v>
                </c:pt>
                <c:pt idx="472">
                  <c:v>44617</c:v>
                </c:pt>
                <c:pt idx="473">
                  <c:v>44620</c:v>
                </c:pt>
                <c:pt idx="474">
                  <c:v>44621</c:v>
                </c:pt>
                <c:pt idx="475">
                  <c:v>44622</c:v>
                </c:pt>
                <c:pt idx="476">
                  <c:v>44623</c:v>
                </c:pt>
                <c:pt idx="477">
                  <c:v>44624</c:v>
                </c:pt>
                <c:pt idx="478">
                  <c:v>44627</c:v>
                </c:pt>
                <c:pt idx="479">
                  <c:v>44628</c:v>
                </c:pt>
                <c:pt idx="480">
                  <c:v>44629</c:v>
                </c:pt>
                <c:pt idx="481">
                  <c:v>44630</c:v>
                </c:pt>
                <c:pt idx="482">
                  <c:v>44631</c:v>
                </c:pt>
                <c:pt idx="483">
                  <c:v>44634</c:v>
                </c:pt>
                <c:pt idx="484">
                  <c:v>44635</c:v>
                </c:pt>
                <c:pt idx="485">
                  <c:v>44636</c:v>
                </c:pt>
                <c:pt idx="486">
                  <c:v>44637</c:v>
                </c:pt>
                <c:pt idx="487">
                  <c:v>44638</c:v>
                </c:pt>
                <c:pt idx="488">
                  <c:v>44641</c:v>
                </c:pt>
                <c:pt idx="489">
                  <c:v>44642</c:v>
                </c:pt>
                <c:pt idx="490">
                  <c:v>44643</c:v>
                </c:pt>
                <c:pt idx="491">
                  <c:v>44644</c:v>
                </c:pt>
                <c:pt idx="492">
                  <c:v>44645</c:v>
                </c:pt>
                <c:pt idx="493">
                  <c:v>44648</c:v>
                </c:pt>
                <c:pt idx="494">
                  <c:v>44649</c:v>
                </c:pt>
                <c:pt idx="495">
                  <c:v>44650</c:v>
                </c:pt>
                <c:pt idx="496">
                  <c:v>44651</c:v>
                </c:pt>
                <c:pt idx="497">
                  <c:v>44652</c:v>
                </c:pt>
                <c:pt idx="498">
                  <c:v>44655</c:v>
                </c:pt>
                <c:pt idx="499">
                  <c:v>44656</c:v>
                </c:pt>
                <c:pt idx="500">
                  <c:v>44657</c:v>
                </c:pt>
                <c:pt idx="501">
                  <c:v>44658</c:v>
                </c:pt>
                <c:pt idx="502">
                  <c:v>44659</c:v>
                </c:pt>
                <c:pt idx="503">
                  <c:v>44662</c:v>
                </c:pt>
                <c:pt idx="504">
                  <c:v>44663</c:v>
                </c:pt>
                <c:pt idx="505">
                  <c:v>44664</c:v>
                </c:pt>
                <c:pt idx="506">
                  <c:v>44665</c:v>
                </c:pt>
                <c:pt idx="507">
                  <c:v>44669</c:v>
                </c:pt>
                <c:pt idx="508">
                  <c:v>44670</c:v>
                </c:pt>
                <c:pt idx="509">
                  <c:v>44671</c:v>
                </c:pt>
                <c:pt idx="510">
                  <c:v>44672</c:v>
                </c:pt>
                <c:pt idx="511">
                  <c:v>44673</c:v>
                </c:pt>
                <c:pt idx="512">
                  <c:v>44676</c:v>
                </c:pt>
                <c:pt idx="513">
                  <c:v>44677</c:v>
                </c:pt>
                <c:pt idx="514">
                  <c:v>44678</c:v>
                </c:pt>
                <c:pt idx="515">
                  <c:v>44679</c:v>
                </c:pt>
                <c:pt idx="516">
                  <c:v>44680</c:v>
                </c:pt>
                <c:pt idx="517">
                  <c:v>44683</c:v>
                </c:pt>
                <c:pt idx="518">
                  <c:v>44684</c:v>
                </c:pt>
                <c:pt idx="519">
                  <c:v>44685</c:v>
                </c:pt>
                <c:pt idx="520">
                  <c:v>44686</c:v>
                </c:pt>
                <c:pt idx="521">
                  <c:v>44687</c:v>
                </c:pt>
                <c:pt idx="522">
                  <c:v>44690</c:v>
                </c:pt>
                <c:pt idx="523">
                  <c:v>44691</c:v>
                </c:pt>
                <c:pt idx="524">
                  <c:v>44692</c:v>
                </c:pt>
                <c:pt idx="525">
                  <c:v>44693</c:v>
                </c:pt>
                <c:pt idx="526">
                  <c:v>44694</c:v>
                </c:pt>
                <c:pt idx="527">
                  <c:v>44697</c:v>
                </c:pt>
                <c:pt idx="528">
                  <c:v>44698</c:v>
                </c:pt>
                <c:pt idx="529">
                  <c:v>44699</c:v>
                </c:pt>
                <c:pt idx="530">
                  <c:v>44700</c:v>
                </c:pt>
                <c:pt idx="531">
                  <c:v>44701</c:v>
                </c:pt>
                <c:pt idx="532">
                  <c:v>44704</c:v>
                </c:pt>
                <c:pt idx="533">
                  <c:v>44705</c:v>
                </c:pt>
                <c:pt idx="534">
                  <c:v>44706</c:v>
                </c:pt>
                <c:pt idx="535">
                  <c:v>44707</c:v>
                </c:pt>
                <c:pt idx="536">
                  <c:v>44708</c:v>
                </c:pt>
                <c:pt idx="537">
                  <c:v>44712</c:v>
                </c:pt>
                <c:pt idx="538">
                  <c:v>44713</c:v>
                </c:pt>
                <c:pt idx="539">
                  <c:v>44714</c:v>
                </c:pt>
                <c:pt idx="540">
                  <c:v>44715</c:v>
                </c:pt>
                <c:pt idx="541">
                  <c:v>44718</c:v>
                </c:pt>
                <c:pt idx="542">
                  <c:v>44719</c:v>
                </c:pt>
                <c:pt idx="543">
                  <c:v>44720</c:v>
                </c:pt>
                <c:pt idx="544">
                  <c:v>44721</c:v>
                </c:pt>
                <c:pt idx="545">
                  <c:v>44722</c:v>
                </c:pt>
                <c:pt idx="546">
                  <c:v>44725</c:v>
                </c:pt>
                <c:pt idx="547">
                  <c:v>44726</c:v>
                </c:pt>
                <c:pt idx="548">
                  <c:v>44727</c:v>
                </c:pt>
                <c:pt idx="549">
                  <c:v>44728</c:v>
                </c:pt>
                <c:pt idx="550">
                  <c:v>44729</c:v>
                </c:pt>
                <c:pt idx="551">
                  <c:v>44733</c:v>
                </c:pt>
                <c:pt idx="552">
                  <c:v>44734</c:v>
                </c:pt>
                <c:pt idx="553">
                  <c:v>44735</c:v>
                </c:pt>
                <c:pt idx="554">
                  <c:v>44736</c:v>
                </c:pt>
                <c:pt idx="555">
                  <c:v>44739</c:v>
                </c:pt>
                <c:pt idx="556">
                  <c:v>44740</c:v>
                </c:pt>
                <c:pt idx="557">
                  <c:v>44741</c:v>
                </c:pt>
                <c:pt idx="558">
                  <c:v>44742</c:v>
                </c:pt>
                <c:pt idx="559">
                  <c:v>44743</c:v>
                </c:pt>
                <c:pt idx="560">
                  <c:v>44747</c:v>
                </c:pt>
                <c:pt idx="561">
                  <c:v>44748</c:v>
                </c:pt>
                <c:pt idx="562">
                  <c:v>44749</c:v>
                </c:pt>
                <c:pt idx="563">
                  <c:v>44750</c:v>
                </c:pt>
                <c:pt idx="564">
                  <c:v>44753</c:v>
                </c:pt>
                <c:pt idx="565">
                  <c:v>44754</c:v>
                </c:pt>
                <c:pt idx="566">
                  <c:v>44755</c:v>
                </c:pt>
                <c:pt idx="567">
                  <c:v>44756</c:v>
                </c:pt>
                <c:pt idx="568">
                  <c:v>44757</c:v>
                </c:pt>
                <c:pt idx="569">
                  <c:v>44760</c:v>
                </c:pt>
                <c:pt idx="570">
                  <c:v>44761</c:v>
                </c:pt>
                <c:pt idx="571">
                  <c:v>44762</c:v>
                </c:pt>
                <c:pt idx="572">
                  <c:v>44763</c:v>
                </c:pt>
                <c:pt idx="573">
                  <c:v>44764</c:v>
                </c:pt>
                <c:pt idx="574">
                  <c:v>44767</c:v>
                </c:pt>
                <c:pt idx="575">
                  <c:v>44768</c:v>
                </c:pt>
                <c:pt idx="576">
                  <c:v>44769</c:v>
                </c:pt>
                <c:pt idx="577">
                  <c:v>44770</c:v>
                </c:pt>
                <c:pt idx="578">
                  <c:v>44771</c:v>
                </c:pt>
                <c:pt idx="579">
                  <c:v>44774</c:v>
                </c:pt>
                <c:pt idx="580">
                  <c:v>44775</c:v>
                </c:pt>
                <c:pt idx="581">
                  <c:v>44776</c:v>
                </c:pt>
                <c:pt idx="582">
                  <c:v>44777</c:v>
                </c:pt>
                <c:pt idx="583">
                  <c:v>44778</c:v>
                </c:pt>
                <c:pt idx="584">
                  <c:v>44781</c:v>
                </c:pt>
                <c:pt idx="585">
                  <c:v>44782</c:v>
                </c:pt>
                <c:pt idx="586">
                  <c:v>44783</c:v>
                </c:pt>
                <c:pt idx="587">
                  <c:v>44784</c:v>
                </c:pt>
                <c:pt idx="588">
                  <c:v>44785</c:v>
                </c:pt>
                <c:pt idx="589">
                  <c:v>44788</c:v>
                </c:pt>
                <c:pt idx="590">
                  <c:v>44789</c:v>
                </c:pt>
                <c:pt idx="591">
                  <c:v>44790</c:v>
                </c:pt>
                <c:pt idx="592">
                  <c:v>44791</c:v>
                </c:pt>
                <c:pt idx="593">
                  <c:v>44792</c:v>
                </c:pt>
                <c:pt idx="594">
                  <c:v>44795</c:v>
                </c:pt>
                <c:pt idx="595">
                  <c:v>44796</c:v>
                </c:pt>
                <c:pt idx="596">
                  <c:v>44797</c:v>
                </c:pt>
                <c:pt idx="597">
                  <c:v>44798</c:v>
                </c:pt>
                <c:pt idx="598">
                  <c:v>44799</c:v>
                </c:pt>
                <c:pt idx="599">
                  <c:v>44802</c:v>
                </c:pt>
                <c:pt idx="600">
                  <c:v>44803</c:v>
                </c:pt>
                <c:pt idx="601">
                  <c:v>44804</c:v>
                </c:pt>
                <c:pt idx="602">
                  <c:v>44805</c:v>
                </c:pt>
                <c:pt idx="603">
                  <c:v>44806</c:v>
                </c:pt>
                <c:pt idx="604">
                  <c:v>44810</c:v>
                </c:pt>
                <c:pt idx="605">
                  <c:v>44811</c:v>
                </c:pt>
                <c:pt idx="606">
                  <c:v>44812</c:v>
                </c:pt>
                <c:pt idx="607">
                  <c:v>44813</c:v>
                </c:pt>
                <c:pt idx="608">
                  <c:v>44816</c:v>
                </c:pt>
                <c:pt idx="609">
                  <c:v>44817</c:v>
                </c:pt>
                <c:pt idx="610">
                  <c:v>44818</c:v>
                </c:pt>
                <c:pt idx="611">
                  <c:v>44819</c:v>
                </c:pt>
                <c:pt idx="612">
                  <c:v>44820</c:v>
                </c:pt>
                <c:pt idx="613">
                  <c:v>44823</c:v>
                </c:pt>
                <c:pt idx="614">
                  <c:v>44824</c:v>
                </c:pt>
                <c:pt idx="615">
                  <c:v>44825</c:v>
                </c:pt>
                <c:pt idx="616">
                  <c:v>44826</c:v>
                </c:pt>
                <c:pt idx="617">
                  <c:v>44827</c:v>
                </c:pt>
                <c:pt idx="618">
                  <c:v>44830</c:v>
                </c:pt>
                <c:pt idx="619">
                  <c:v>44831</c:v>
                </c:pt>
                <c:pt idx="620">
                  <c:v>44832</c:v>
                </c:pt>
                <c:pt idx="621">
                  <c:v>44833</c:v>
                </c:pt>
                <c:pt idx="622">
                  <c:v>44834</c:v>
                </c:pt>
                <c:pt idx="623">
                  <c:v>44837</c:v>
                </c:pt>
                <c:pt idx="624">
                  <c:v>44838</c:v>
                </c:pt>
                <c:pt idx="625">
                  <c:v>44839</c:v>
                </c:pt>
                <c:pt idx="626">
                  <c:v>44840</c:v>
                </c:pt>
                <c:pt idx="627">
                  <c:v>44841</c:v>
                </c:pt>
                <c:pt idx="628">
                  <c:v>44844</c:v>
                </c:pt>
                <c:pt idx="629">
                  <c:v>44845</c:v>
                </c:pt>
                <c:pt idx="630">
                  <c:v>44846</c:v>
                </c:pt>
                <c:pt idx="631">
                  <c:v>44847</c:v>
                </c:pt>
                <c:pt idx="632">
                  <c:v>44848</c:v>
                </c:pt>
                <c:pt idx="633">
                  <c:v>44851</c:v>
                </c:pt>
                <c:pt idx="634">
                  <c:v>44852</c:v>
                </c:pt>
                <c:pt idx="635">
                  <c:v>44853</c:v>
                </c:pt>
                <c:pt idx="636">
                  <c:v>44854</c:v>
                </c:pt>
                <c:pt idx="637">
                  <c:v>44855</c:v>
                </c:pt>
                <c:pt idx="638">
                  <c:v>44858</c:v>
                </c:pt>
                <c:pt idx="639">
                  <c:v>44859</c:v>
                </c:pt>
                <c:pt idx="640">
                  <c:v>44860</c:v>
                </c:pt>
                <c:pt idx="641">
                  <c:v>44861</c:v>
                </c:pt>
                <c:pt idx="642">
                  <c:v>44862</c:v>
                </c:pt>
                <c:pt idx="643">
                  <c:v>44865</c:v>
                </c:pt>
                <c:pt idx="644">
                  <c:v>44866</c:v>
                </c:pt>
                <c:pt idx="645">
                  <c:v>44867</c:v>
                </c:pt>
                <c:pt idx="646">
                  <c:v>44868</c:v>
                </c:pt>
                <c:pt idx="647">
                  <c:v>44869</c:v>
                </c:pt>
                <c:pt idx="648">
                  <c:v>44872</c:v>
                </c:pt>
                <c:pt idx="649">
                  <c:v>44873</c:v>
                </c:pt>
                <c:pt idx="650">
                  <c:v>44874</c:v>
                </c:pt>
                <c:pt idx="651">
                  <c:v>44875</c:v>
                </c:pt>
                <c:pt idx="652">
                  <c:v>44876</c:v>
                </c:pt>
                <c:pt idx="653">
                  <c:v>44879</c:v>
                </c:pt>
                <c:pt idx="654">
                  <c:v>44880</c:v>
                </c:pt>
                <c:pt idx="655">
                  <c:v>44881</c:v>
                </c:pt>
                <c:pt idx="656">
                  <c:v>44882</c:v>
                </c:pt>
                <c:pt idx="657">
                  <c:v>44883</c:v>
                </c:pt>
                <c:pt idx="658">
                  <c:v>44886</c:v>
                </c:pt>
                <c:pt idx="659">
                  <c:v>44887</c:v>
                </c:pt>
                <c:pt idx="660">
                  <c:v>44888</c:v>
                </c:pt>
                <c:pt idx="661">
                  <c:v>44890</c:v>
                </c:pt>
                <c:pt idx="662">
                  <c:v>44893</c:v>
                </c:pt>
                <c:pt idx="663">
                  <c:v>44894</c:v>
                </c:pt>
                <c:pt idx="664">
                  <c:v>44895</c:v>
                </c:pt>
                <c:pt idx="665">
                  <c:v>44896</c:v>
                </c:pt>
                <c:pt idx="666">
                  <c:v>44897</c:v>
                </c:pt>
                <c:pt idx="667">
                  <c:v>44900</c:v>
                </c:pt>
                <c:pt idx="668">
                  <c:v>44901</c:v>
                </c:pt>
                <c:pt idx="669">
                  <c:v>44902</c:v>
                </c:pt>
                <c:pt idx="670">
                  <c:v>44903</c:v>
                </c:pt>
                <c:pt idx="671">
                  <c:v>44904</c:v>
                </c:pt>
                <c:pt idx="672">
                  <c:v>44907</c:v>
                </c:pt>
                <c:pt idx="673">
                  <c:v>44908</c:v>
                </c:pt>
                <c:pt idx="674">
                  <c:v>44909</c:v>
                </c:pt>
                <c:pt idx="675">
                  <c:v>44910</c:v>
                </c:pt>
                <c:pt idx="676">
                  <c:v>44911</c:v>
                </c:pt>
                <c:pt idx="677">
                  <c:v>44914</c:v>
                </c:pt>
                <c:pt idx="678">
                  <c:v>44915</c:v>
                </c:pt>
                <c:pt idx="679">
                  <c:v>44916</c:v>
                </c:pt>
                <c:pt idx="680">
                  <c:v>44917</c:v>
                </c:pt>
                <c:pt idx="681">
                  <c:v>44918</c:v>
                </c:pt>
                <c:pt idx="682">
                  <c:v>44922</c:v>
                </c:pt>
                <c:pt idx="683">
                  <c:v>44923</c:v>
                </c:pt>
                <c:pt idx="684">
                  <c:v>44924</c:v>
                </c:pt>
                <c:pt idx="685">
                  <c:v>44925</c:v>
                </c:pt>
                <c:pt idx="686">
                  <c:v>44929</c:v>
                </c:pt>
                <c:pt idx="687">
                  <c:v>44930</c:v>
                </c:pt>
                <c:pt idx="688">
                  <c:v>44931</c:v>
                </c:pt>
                <c:pt idx="689">
                  <c:v>44932</c:v>
                </c:pt>
                <c:pt idx="690">
                  <c:v>44935</c:v>
                </c:pt>
                <c:pt idx="691">
                  <c:v>44936</c:v>
                </c:pt>
                <c:pt idx="692">
                  <c:v>44937</c:v>
                </c:pt>
                <c:pt idx="693">
                  <c:v>44938</c:v>
                </c:pt>
                <c:pt idx="694">
                  <c:v>44939</c:v>
                </c:pt>
                <c:pt idx="695">
                  <c:v>44943</c:v>
                </c:pt>
                <c:pt idx="696">
                  <c:v>44944</c:v>
                </c:pt>
                <c:pt idx="697">
                  <c:v>44945</c:v>
                </c:pt>
                <c:pt idx="698">
                  <c:v>44946</c:v>
                </c:pt>
                <c:pt idx="699">
                  <c:v>44949</c:v>
                </c:pt>
                <c:pt idx="700">
                  <c:v>44950</c:v>
                </c:pt>
                <c:pt idx="701">
                  <c:v>44951</c:v>
                </c:pt>
                <c:pt idx="702">
                  <c:v>44952</c:v>
                </c:pt>
                <c:pt idx="703">
                  <c:v>44953</c:v>
                </c:pt>
                <c:pt idx="704">
                  <c:v>44956</c:v>
                </c:pt>
                <c:pt idx="705">
                  <c:v>44957</c:v>
                </c:pt>
                <c:pt idx="706">
                  <c:v>44958</c:v>
                </c:pt>
                <c:pt idx="707">
                  <c:v>44959</c:v>
                </c:pt>
                <c:pt idx="708">
                  <c:v>44960</c:v>
                </c:pt>
                <c:pt idx="709">
                  <c:v>44963</c:v>
                </c:pt>
                <c:pt idx="710">
                  <c:v>44964</c:v>
                </c:pt>
                <c:pt idx="711">
                  <c:v>44965</c:v>
                </c:pt>
                <c:pt idx="712">
                  <c:v>44966</c:v>
                </c:pt>
                <c:pt idx="713">
                  <c:v>44967</c:v>
                </c:pt>
                <c:pt idx="714">
                  <c:v>44970</c:v>
                </c:pt>
                <c:pt idx="715">
                  <c:v>44971</c:v>
                </c:pt>
                <c:pt idx="716">
                  <c:v>44972</c:v>
                </c:pt>
                <c:pt idx="717">
                  <c:v>44973</c:v>
                </c:pt>
                <c:pt idx="718">
                  <c:v>44974</c:v>
                </c:pt>
                <c:pt idx="719">
                  <c:v>44978</c:v>
                </c:pt>
                <c:pt idx="720">
                  <c:v>44979</c:v>
                </c:pt>
                <c:pt idx="721">
                  <c:v>44980</c:v>
                </c:pt>
                <c:pt idx="722">
                  <c:v>44981</c:v>
                </c:pt>
                <c:pt idx="723">
                  <c:v>44984</c:v>
                </c:pt>
                <c:pt idx="724">
                  <c:v>44985</c:v>
                </c:pt>
                <c:pt idx="725">
                  <c:v>44986</c:v>
                </c:pt>
                <c:pt idx="726">
                  <c:v>44987</c:v>
                </c:pt>
                <c:pt idx="727">
                  <c:v>44988</c:v>
                </c:pt>
                <c:pt idx="728">
                  <c:v>44991</c:v>
                </c:pt>
                <c:pt idx="729">
                  <c:v>44992</c:v>
                </c:pt>
                <c:pt idx="730">
                  <c:v>44993</c:v>
                </c:pt>
                <c:pt idx="731">
                  <c:v>44994</c:v>
                </c:pt>
                <c:pt idx="732">
                  <c:v>44995</c:v>
                </c:pt>
                <c:pt idx="733">
                  <c:v>44998</c:v>
                </c:pt>
                <c:pt idx="734">
                  <c:v>44999</c:v>
                </c:pt>
                <c:pt idx="735">
                  <c:v>45000</c:v>
                </c:pt>
                <c:pt idx="736">
                  <c:v>45001</c:v>
                </c:pt>
                <c:pt idx="737">
                  <c:v>45002</c:v>
                </c:pt>
                <c:pt idx="738">
                  <c:v>45005</c:v>
                </c:pt>
                <c:pt idx="739">
                  <c:v>45006</c:v>
                </c:pt>
                <c:pt idx="740">
                  <c:v>45007</c:v>
                </c:pt>
                <c:pt idx="741">
                  <c:v>45008</c:v>
                </c:pt>
                <c:pt idx="742">
                  <c:v>45009</c:v>
                </c:pt>
                <c:pt idx="743">
                  <c:v>45012</c:v>
                </c:pt>
                <c:pt idx="744">
                  <c:v>45013</c:v>
                </c:pt>
                <c:pt idx="745">
                  <c:v>45014</c:v>
                </c:pt>
                <c:pt idx="746">
                  <c:v>45015</c:v>
                </c:pt>
                <c:pt idx="747">
                  <c:v>45016</c:v>
                </c:pt>
                <c:pt idx="748">
                  <c:v>45019</c:v>
                </c:pt>
                <c:pt idx="749">
                  <c:v>45020</c:v>
                </c:pt>
                <c:pt idx="750">
                  <c:v>45021</c:v>
                </c:pt>
                <c:pt idx="751">
                  <c:v>45022</c:v>
                </c:pt>
                <c:pt idx="752">
                  <c:v>45026</c:v>
                </c:pt>
                <c:pt idx="753">
                  <c:v>45027</c:v>
                </c:pt>
                <c:pt idx="754">
                  <c:v>45028</c:v>
                </c:pt>
                <c:pt idx="755">
                  <c:v>45029</c:v>
                </c:pt>
                <c:pt idx="756">
                  <c:v>45030</c:v>
                </c:pt>
                <c:pt idx="757">
                  <c:v>45033</c:v>
                </c:pt>
                <c:pt idx="758">
                  <c:v>45034</c:v>
                </c:pt>
                <c:pt idx="759">
                  <c:v>45035</c:v>
                </c:pt>
                <c:pt idx="760">
                  <c:v>45036</c:v>
                </c:pt>
                <c:pt idx="761">
                  <c:v>45037</c:v>
                </c:pt>
                <c:pt idx="762">
                  <c:v>45040</c:v>
                </c:pt>
                <c:pt idx="763">
                  <c:v>45041</c:v>
                </c:pt>
                <c:pt idx="764">
                  <c:v>45042</c:v>
                </c:pt>
                <c:pt idx="765">
                  <c:v>45043</c:v>
                </c:pt>
                <c:pt idx="766">
                  <c:v>45044</c:v>
                </c:pt>
                <c:pt idx="767">
                  <c:v>45047</c:v>
                </c:pt>
                <c:pt idx="768">
                  <c:v>45048</c:v>
                </c:pt>
                <c:pt idx="769">
                  <c:v>45049</c:v>
                </c:pt>
                <c:pt idx="770">
                  <c:v>45050</c:v>
                </c:pt>
                <c:pt idx="771">
                  <c:v>45051</c:v>
                </c:pt>
                <c:pt idx="772">
                  <c:v>45054</c:v>
                </c:pt>
                <c:pt idx="773">
                  <c:v>45055</c:v>
                </c:pt>
                <c:pt idx="774">
                  <c:v>45056</c:v>
                </c:pt>
                <c:pt idx="775">
                  <c:v>45057</c:v>
                </c:pt>
                <c:pt idx="776">
                  <c:v>45058</c:v>
                </c:pt>
                <c:pt idx="777">
                  <c:v>45061</c:v>
                </c:pt>
                <c:pt idx="778">
                  <c:v>45062</c:v>
                </c:pt>
                <c:pt idx="779">
                  <c:v>45063</c:v>
                </c:pt>
                <c:pt idx="780">
                  <c:v>45064</c:v>
                </c:pt>
                <c:pt idx="781">
                  <c:v>45065</c:v>
                </c:pt>
                <c:pt idx="782">
                  <c:v>45068</c:v>
                </c:pt>
                <c:pt idx="783">
                  <c:v>45069</c:v>
                </c:pt>
                <c:pt idx="784">
                  <c:v>45070</c:v>
                </c:pt>
                <c:pt idx="785">
                  <c:v>45071</c:v>
                </c:pt>
                <c:pt idx="786">
                  <c:v>45072</c:v>
                </c:pt>
                <c:pt idx="787">
                  <c:v>45076</c:v>
                </c:pt>
                <c:pt idx="788">
                  <c:v>45077</c:v>
                </c:pt>
                <c:pt idx="789">
                  <c:v>45078</c:v>
                </c:pt>
                <c:pt idx="790">
                  <c:v>45079</c:v>
                </c:pt>
                <c:pt idx="791">
                  <c:v>45082</c:v>
                </c:pt>
                <c:pt idx="792">
                  <c:v>45083</c:v>
                </c:pt>
                <c:pt idx="793">
                  <c:v>45084</c:v>
                </c:pt>
                <c:pt idx="794">
                  <c:v>45085</c:v>
                </c:pt>
                <c:pt idx="795">
                  <c:v>45086</c:v>
                </c:pt>
                <c:pt idx="796">
                  <c:v>45089</c:v>
                </c:pt>
                <c:pt idx="797">
                  <c:v>45090</c:v>
                </c:pt>
                <c:pt idx="798">
                  <c:v>45091</c:v>
                </c:pt>
                <c:pt idx="799">
                  <c:v>45092</c:v>
                </c:pt>
                <c:pt idx="800">
                  <c:v>45093</c:v>
                </c:pt>
                <c:pt idx="801">
                  <c:v>45097</c:v>
                </c:pt>
                <c:pt idx="802">
                  <c:v>45098</c:v>
                </c:pt>
                <c:pt idx="803">
                  <c:v>45099</c:v>
                </c:pt>
                <c:pt idx="804">
                  <c:v>45100</c:v>
                </c:pt>
                <c:pt idx="805">
                  <c:v>45103</c:v>
                </c:pt>
                <c:pt idx="806">
                  <c:v>45104</c:v>
                </c:pt>
                <c:pt idx="807">
                  <c:v>45105</c:v>
                </c:pt>
                <c:pt idx="808">
                  <c:v>45106</c:v>
                </c:pt>
                <c:pt idx="809">
                  <c:v>45107</c:v>
                </c:pt>
                <c:pt idx="810">
                  <c:v>45110</c:v>
                </c:pt>
                <c:pt idx="811">
                  <c:v>45112</c:v>
                </c:pt>
                <c:pt idx="812">
                  <c:v>45113</c:v>
                </c:pt>
                <c:pt idx="813">
                  <c:v>45114</c:v>
                </c:pt>
                <c:pt idx="814">
                  <c:v>45117</c:v>
                </c:pt>
                <c:pt idx="815">
                  <c:v>45118</c:v>
                </c:pt>
                <c:pt idx="816">
                  <c:v>45119</c:v>
                </c:pt>
                <c:pt idx="817">
                  <c:v>45120</c:v>
                </c:pt>
                <c:pt idx="818">
                  <c:v>45121</c:v>
                </c:pt>
                <c:pt idx="819">
                  <c:v>45124</c:v>
                </c:pt>
                <c:pt idx="820">
                  <c:v>45125</c:v>
                </c:pt>
                <c:pt idx="821">
                  <c:v>45126</c:v>
                </c:pt>
                <c:pt idx="822">
                  <c:v>45127</c:v>
                </c:pt>
                <c:pt idx="823">
                  <c:v>45128</c:v>
                </c:pt>
                <c:pt idx="824">
                  <c:v>45131</c:v>
                </c:pt>
                <c:pt idx="825">
                  <c:v>45132</c:v>
                </c:pt>
                <c:pt idx="826">
                  <c:v>45133</c:v>
                </c:pt>
                <c:pt idx="827">
                  <c:v>45134</c:v>
                </c:pt>
                <c:pt idx="828">
                  <c:v>45135</c:v>
                </c:pt>
                <c:pt idx="829">
                  <c:v>45138</c:v>
                </c:pt>
                <c:pt idx="830">
                  <c:v>45139</c:v>
                </c:pt>
                <c:pt idx="831">
                  <c:v>45140</c:v>
                </c:pt>
                <c:pt idx="832">
                  <c:v>45141</c:v>
                </c:pt>
                <c:pt idx="833">
                  <c:v>45142</c:v>
                </c:pt>
                <c:pt idx="834">
                  <c:v>45145</c:v>
                </c:pt>
                <c:pt idx="835">
                  <c:v>45146</c:v>
                </c:pt>
                <c:pt idx="836">
                  <c:v>45147</c:v>
                </c:pt>
                <c:pt idx="837">
                  <c:v>45148</c:v>
                </c:pt>
                <c:pt idx="838">
                  <c:v>45149</c:v>
                </c:pt>
                <c:pt idx="839">
                  <c:v>45152</c:v>
                </c:pt>
                <c:pt idx="840">
                  <c:v>45153</c:v>
                </c:pt>
                <c:pt idx="841">
                  <c:v>45154</c:v>
                </c:pt>
                <c:pt idx="842">
                  <c:v>45155</c:v>
                </c:pt>
                <c:pt idx="843">
                  <c:v>45156</c:v>
                </c:pt>
                <c:pt idx="844">
                  <c:v>45159</c:v>
                </c:pt>
                <c:pt idx="845">
                  <c:v>45160</c:v>
                </c:pt>
                <c:pt idx="846">
                  <c:v>45161</c:v>
                </c:pt>
                <c:pt idx="847">
                  <c:v>45162</c:v>
                </c:pt>
                <c:pt idx="848">
                  <c:v>45163</c:v>
                </c:pt>
                <c:pt idx="849">
                  <c:v>45166</c:v>
                </c:pt>
                <c:pt idx="850">
                  <c:v>45167</c:v>
                </c:pt>
                <c:pt idx="851">
                  <c:v>45168</c:v>
                </c:pt>
                <c:pt idx="852">
                  <c:v>45169</c:v>
                </c:pt>
                <c:pt idx="853">
                  <c:v>45170</c:v>
                </c:pt>
                <c:pt idx="854">
                  <c:v>45174</c:v>
                </c:pt>
                <c:pt idx="855">
                  <c:v>45175</c:v>
                </c:pt>
                <c:pt idx="856">
                  <c:v>45176</c:v>
                </c:pt>
                <c:pt idx="857">
                  <c:v>45177</c:v>
                </c:pt>
                <c:pt idx="858">
                  <c:v>45180</c:v>
                </c:pt>
                <c:pt idx="859">
                  <c:v>45181</c:v>
                </c:pt>
                <c:pt idx="860">
                  <c:v>45182</c:v>
                </c:pt>
                <c:pt idx="861">
                  <c:v>45183</c:v>
                </c:pt>
                <c:pt idx="862">
                  <c:v>45184</c:v>
                </c:pt>
                <c:pt idx="863">
                  <c:v>45187</c:v>
                </c:pt>
                <c:pt idx="864">
                  <c:v>45188</c:v>
                </c:pt>
                <c:pt idx="865">
                  <c:v>45189</c:v>
                </c:pt>
                <c:pt idx="866">
                  <c:v>45190</c:v>
                </c:pt>
                <c:pt idx="867">
                  <c:v>45191</c:v>
                </c:pt>
                <c:pt idx="868">
                  <c:v>45194</c:v>
                </c:pt>
                <c:pt idx="869">
                  <c:v>45195</c:v>
                </c:pt>
                <c:pt idx="870">
                  <c:v>45196</c:v>
                </c:pt>
                <c:pt idx="871">
                  <c:v>45197</c:v>
                </c:pt>
                <c:pt idx="872">
                  <c:v>45198</c:v>
                </c:pt>
                <c:pt idx="873">
                  <c:v>45201</c:v>
                </c:pt>
                <c:pt idx="874">
                  <c:v>45202</c:v>
                </c:pt>
                <c:pt idx="875">
                  <c:v>45203</c:v>
                </c:pt>
                <c:pt idx="876">
                  <c:v>45204</c:v>
                </c:pt>
                <c:pt idx="877">
                  <c:v>45205</c:v>
                </c:pt>
                <c:pt idx="878">
                  <c:v>45208</c:v>
                </c:pt>
                <c:pt idx="879">
                  <c:v>45209</c:v>
                </c:pt>
                <c:pt idx="880">
                  <c:v>45210</c:v>
                </c:pt>
                <c:pt idx="881">
                  <c:v>45211</c:v>
                </c:pt>
                <c:pt idx="882">
                  <c:v>45212</c:v>
                </c:pt>
                <c:pt idx="883">
                  <c:v>45215</c:v>
                </c:pt>
                <c:pt idx="884">
                  <c:v>45216</c:v>
                </c:pt>
                <c:pt idx="885">
                  <c:v>45217</c:v>
                </c:pt>
                <c:pt idx="886">
                  <c:v>45218</c:v>
                </c:pt>
                <c:pt idx="887">
                  <c:v>45219</c:v>
                </c:pt>
                <c:pt idx="888">
                  <c:v>45222</c:v>
                </c:pt>
                <c:pt idx="889">
                  <c:v>45223</c:v>
                </c:pt>
                <c:pt idx="890">
                  <c:v>45224</c:v>
                </c:pt>
                <c:pt idx="891">
                  <c:v>45225</c:v>
                </c:pt>
                <c:pt idx="892">
                  <c:v>45226</c:v>
                </c:pt>
                <c:pt idx="893">
                  <c:v>45229</c:v>
                </c:pt>
                <c:pt idx="894">
                  <c:v>45230</c:v>
                </c:pt>
                <c:pt idx="895">
                  <c:v>45231</c:v>
                </c:pt>
                <c:pt idx="896">
                  <c:v>45232</c:v>
                </c:pt>
                <c:pt idx="897">
                  <c:v>45233</c:v>
                </c:pt>
                <c:pt idx="898">
                  <c:v>45236</c:v>
                </c:pt>
                <c:pt idx="899">
                  <c:v>45237</c:v>
                </c:pt>
                <c:pt idx="900">
                  <c:v>45238</c:v>
                </c:pt>
                <c:pt idx="901">
                  <c:v>45239</c:v>
                </c:pt>
                <c:pt idx="902">
                  <c:v>45240</c:v>
                </c:pt>
                <c:pt idx="903">
                  <c:v>45243</c:v>
                </c:pt>
                <c:pt idx="904">
                  <c:v>45244</c:v>
                </c:pt>
                <c:pt idx="905">
                  <c:v>45245</c:v>
                </c:pt>
                <c:pt idx="906">
                  <c:v>45246</c:v>
                </c:pt>
                <c:pt idx="907">
                  <c:v>45247</c:v>
                </c:pt>
                <c:pt idx="908">
                  <c:v>45250</c:v>
                </c:pt>
                <c:pt idx="909">
                  <c:v>45251</c:v>
                </c:pt>
                <c:pt idx="910">
                  <c:v>45252</c:v>
                </c:pt>
                <c:pt idx="911">
                  <c:v>45254</c:v>
                </c:pt>
                <c:pt idx="912">
                  <c:v>45257</c:v>
                </c:pt>
                <c:pt idx="913">
                  <c:v>45258</c:v>
                </c:pt>
                <c:pt idx="914">
                  <c:v>45259</c:v>
                </c:pt>
                <c:pt idx="915">
                  <c:v>45260</c:v>
                </c:pt>
                <c:pt idx="916">
                  <c:v>45261</c:v>
                </c:pt>
                <c:pt idx="917">
                  <c:v>45264</c:v>
                </c:pt>
                <c:pt idx="918">
                  <c:v>45265</c:v>
                </c:pt>
                <c:pt idx="919">
                  <c:v>45266</c:v>
                </c:pt>
                <c:pt idx="920">
                  <c:v>45267</c:v>
                </c:pt>
                <c:pt idx="921">
                  <c:v>45268</c:v>
                </c:pt>
                <c:pt idx="922">
                  <c:v>45271</c:v>
                </c:pt>
                <c:pt idx="923">
                  <c:v>45272</c:v>
                </c:pt>
                <c:pt idx="924">
                  <c:v>45273</c:v>
                </c:pt>
                <c:pt idx="925">
                  <c:v>45274</c:v>
                </c:pt>
                <c:pt idx="926">
                  <c:v>45275</c:v>
                </c:pt>
                <c:pt idx="927">
                  <c:v>45278</c:v>
                </c:pt>
                <c:pt idx="928">
                  <c:v>45279</c:v>
                </c:pt>
                <c:pt idx="929">
                  <c:v>45280</c:v>
                </c:pt>
                <c:pt idx="930">
                  <c:v>45281</c:v>
                </c:pt>
                <c:pt idx="931">
                  <c:v>45282</c:v>
                </c:pt>
                <c:pt idx="932">
                  <c:v>45286</c:v>
                </c:pt>
                <c:pt idx="933">
                  <c:v>45287</c:v>
                </c:pt>
                <c:pt idx="934">
                  <c:v>45288</c:v>
                </c:pt>
                <c:pt idx="935">
                  <c:v>45289</c:v>
                </c:pt>
                <c:pt idx="936">
                  <c:v>45293</c:v>
                </c:pt>
                <c:pt idx="937">
                  <c:v>45294</c:v>
                </c:pt>
                <c:pt idx="938">
                  <c:v>45295</c:v>
                </c:pt>
                <c:pt idx="939">
                  <c:v>45296</c:v>
                </c:pt>
                <c:pt idx="940">
                  <c:v>45299</c:v>
                </c:pt>
                <c:pt idx="941">
                  <c:v>45300</c:v>
                </c:pt>
                <c:pt idx="942">
                  <c:v>45301</c:v>
                </c:pt>
                <c:pt idx="943">
                  <c:v>45302</c:v>
                </c:pt>
                <c:pt idx="944">
                  <c:v>45303</c:v>
                </c:pt>
                <c:pt idx="945">
                  <c:v>45307</c:v>
                </c:pt>
                <c:pt idx="946">
                  <c:v>45308</c:v>
                </c:pt>
                <c:pt idx="947">
                  <c:v>45309</c:v>
                </c:pt>
                <c:pt idx="948">
                  <c:v>45310</c:v>
                </c:pt>
                <c:pt idx="949">
                  <c:v>45313</c:v>
                </c:pt>
                <c:pt idx="950">
                  <c:v>45314</c:v>
                </c:pt>
                <c:pt idx="951">
                  <c:v>45315</c:v>
                </c:pt>
                <c:pt idx="952">
                  <c:v>45316</c:v>
                </c:pt>
                <c:pt idx="953">
                  <c:v>45317</c:v>
                </c:pt>
                <c:pt idx="954">
                  <c:v>45320</c:v>
                </c:pt>
                <c:pt idx="955">
                  <c:v>45321</c:v>
                </c:pt>
                <c:pt idx="956">
                  <c:v>45322</c:v>
                </c:pt>
                <c:pt idx="957">
                  <c:v>45323</c:v>
                </c:pt>
                <c:pt idx="958">
                  <c:v>45324</c:v>
                </c:pt>
                <c:pt idx="959">
                  <c:v>45327</c:v>
                </c:pt>
                <c:pt idx="960">
                  <c:v>45328</c:v>
                </c:pt>
                <c:pt idx="961">
                  <c:v>45329</c:v>
                </c:pt>
                <c:pt idx="962">
                  <c:v>45330</c:v>
                </c:pt>
                <c:pt idx="963">
                  <c:v>45331</c:v>
                </c:pt>
                <c:pt idx="964">
                  <c:v>45334</c:v>
                </c:pt>
                <c:pt idx="965">
                  <c:v>45335</c:v>
                </c:pt>
                <c:pt idx="966">
                  <c:v>45336</c:v>
                </c:pt>
                <c:pt idx="967">
                  <c:v>45337</c:v>
                </c:pt>
                <c:pt idx="968">
                  <c:v>45338</c:v>
                </c:pt>
                <c:pt idx="969">
                  <c:v>45342</c:v>
                </c:pt>
                <c:pt idx="970">
                  <c:v>45343</c:v>
                </c:pt>
                <c:pt idx="971">
                  <c:v>45344</c:v>
                </c:pt>
                <c:pt idx="972">
                  <c:v>45345</c:v>
                </c:pt>
                <c:pt idx="973">
                  <c:v>45348</c:v>
                </c:pt>
                <c:pt idx="974">
                  <c:v>45349</c:v>
                </c:pt>
                <c:pt idx="975">
                  <c:v>45350</c:v>
                </c:pt>
                <c:pt idx="976">
                  <c:v>45351</c:v>
                </c:pt>
                <c:pt idx="977">
                  <c:v>45352</c:v>
                </c:pt>
                <c:pt idx="978">
                  <c:v>45355</c:v>
                </c:pt>
                <c:pt idx="979">
                  <c:v>45356</c:v>
                </c:pt>
                <c:pt idx="980">
                  <c:v>45357</c:v>
                </c:pt>
                <c:pt idx="981">
                  <c:v>45358</c:v>
                </c:pt>
                <c:pt idx="982">
                  <c:v>45359</c:v>
                </c:pt>
                <c:pt idx="983">
                  <c:v>45362</c:v>
                </c:pt>
                <c:pt idx="984">
                  <c:v>45363</c:v>
                </c:pt>
                <c:pt idx="985">
                  <c:v>45364</c:v>
                </c:pt>
                <c:pt idx="986">
                  <c:v>45365</c:v>
                </c:pt>
                <c:pt idx="987">
                  <c:v>45366</c:v>
                </c:pt>
                <c:pt idx="988">
                  <c:v>45369</c:v>
                </c:pt>
                <c:pt idx="989">
                  <c:v>45370</c:v>
                </c:pt>
                <c:pt idx="990">
                  <c:v>45371</c:v>
                </c:pt>
                <c:pt idx="991">
                  <c:v>45372</c:v>
                </c:pt>
                <c:pt idx="992">
                  <c:v>45373</c:v>
                </c:pt>
                <c:pt idx="993">
                  <c:v>45376</c:v>
                </c:pt>
                <c:pt idx="994">
                  <c:v>45377</c:v>
                </c:pt>
                <c:pt idx="995">
                  <c:v>45378</c:v>
                </c:pt>
                <c:pt idx="996">
                  <c:v>45379</c:v>
                </c:pt>
                <c:pt idx="997">
                  <c:v>45383</c:v>
                </c:pt>
                <c:pt idx="998">
                  <c:v>45384</c:v>
                </c:pt>
                <c:pt idx="999">
                  <c:v>45385</c:v>
                </c:pt>
                <c:pt idx="1000">
                  <c:v>45386</c:v>
                </c:pt>
                <c:pt idx="1001">
                  <c:v>45387</c:v>
                </c:pt>
                <c:pt idx="1002">
                  <c:v>45390</c:v>
                </c:pt>
                <c:pt idx="1003">
                  <c:v>45391</c:v>
                </c:pt>
                <c:pt idx="1004">
                  <c:v>45392</c:v>
                </c:pt>
                <c:pt idx="1005">
                  <c:v>45393</c:v>
                </c:pt>
                <c:pt idx="1006">
                  <c:v>45394</c:v>
                </c:pt>
                <c:pt idx="1007">
                  <c:v>45397</c:v>
                </c:pt>
                <c:pt idx="1008">
                  <c:v>45398</c:v>
                </c:pt>
                <c:pt idx="1009">
                  <c:v>45399</c:v>
                </c:pt>
                <c:pt idx="1010">
                  <c:v>45400</c:v>
                </c:pt>
                <c:pt idx="1011">
                  <c:v>45401</c:v>
                </c:pt>
                <c:pt idx="1012">
                  <c:v>45404</c:v>
                </c:pt>
                <c:pt idx="1013">
                  <c:v>45405</c:v>
                </c:pt>
                <c:pt idx="1014">
                  <c:v>45406</c:v>
                </c:pt>
                <c:pt idx="1015">
                  <c:v>45407</c:v>
                </c:pt>
                <c:pt idx="1016">
                  <c:v>45408</c:v>
                </c:pt>
                <c:pt idx="1017">
                  <c:v>45411</c:v>
                </c:pt>
                <c:pt idx="1018">
                  <c:v>45412</c:v>
                </c:pt>
                <c:pt idx="1019">
                  <c:v>45413</c:v>
                </c:pt>
                <c:pt idx="1020">
                  <c:v>45414</c:v>
                </c:pt>
                <c:pt idx="1021">
                  <c:v>45415</c:v>
                </c:pt>
                <c:pt idx="1022">
                  <c:v>45418</c:v>
                </c:pt>
                <c:pt idx="1023">
                  <c:v>45419</c:v>
                </c:pt>
                <c:pt idx="1024">
                  <c:v>45420</c:v>
                </c:pt>
                <c:pt idx="1025">
                  <c:v>45421</c:v>
                </c:pt>
                <c:pt idx="1026">
                  <c:v>45422</c:v>
                </c:pt>
                <c:pt idx="1027">
                  <c:v>45425</c:v>
                </c:pt>
                <c:pt idx="1028">
                  <c:v>45426</c:v>
                </c:pt>
                <c:pt idx="1029">
                  <c:v>45427</c:v>
                </c:pt>
                <c:pt idx="1030">
                  <c:v>45428</c:v>
                </c:pt>
                <c:pt idx="1031">
                  <c:v>45429</c:v>
                </c:pt>
                <c:pt idx="1032">
                  <c:v>45432</c:v>
                </c:pt>
                <c:pt idx="1033">
                  <c:v>45433</c:v>
                </c:pt>
                <c:pt idx="1034">
                  <c:v>45434</c:v>
                </c:pt>
                <c:pt idx="1035">
                  <c:v>45435</c:v>
                </c:pt>
                <c:pt idx="1036">
                  <c:v>45436</c:v>
                </c:pt>
                <c:pt idx="1037">
                  <c:v>45440</c:v>
                </c:pt>
                <c:pt idx="1038">
                  <c:v>45441</c:v>
                </c:pt>
                <c:pt idx="1039">
                  <c:v>45442</c:v>
                </c:pt>
                <c:pt idx="1040">
                  <c:v>45443</c:v>
                </c:pt>
                <c:pt idx="1041">
                  <c:v>45446</c:v>
                </c:pt>
                <c:pt idx="1042">
                  <c:v>45447</c:v>
                </c:pt>
                <c:pt idx="1043">
                  <c:v>45448</c:v>
                </c:pt>
                <c:pt idx="1044">
                  <c:v>45449</c:v>
                </c:pt>
                <c:pt idx="1045">
                  <c:v>45450</c:v>
                </c:pt>
                <c:pt idx="1046">
                  <c:v>45453</c:v>
                </c:pt>
                <c:pt idx="1047">
                  <c:v>45454</c:v>
                </c:pt>
                <c:pt idx="1048">
                  <c:v>45455</c:v>
                </c:pt>
                <c:pt idx="1049">
                  <c:v>45456</c:v>
                </c:pt>
                <c:pt idx="1050">
                  <c:v>45457</c:v>
                </c:pt>
                <c:pt idx="1051">
                  <c:v>45460</c:v>
                </c:pt>
                <c:pt idx="1052">
                  <c:v>45461</c:v>
                </c:pt>
                <c:pt idx="1053">
                  <c:v>45463</c:v>
                </c:pt>
                <c:pt idx="1054">
                  <c:v>45464</c:v>
                </c:pt>
                <c:pt idx="1055">
                  <c:v>45467</c:v>
                </c:pt>
                <c:pt idx="1056">
                  <c:v>45468</c:v>
                </c:pt>
                <c:pt idx="1057">
                  <c:v>45469</c:v>
                </c:pt>
                <c:pt idx="1058">
                  <c:v>45470</c:v>
                </c:pt>
                <c:pt idx="1059">
                  <c:v>45471</c:v>
                </c:pt>
                <c:pt idx="1060">
                  <c:v>45474</c:v>
                </c:pt>
                <c:pt idx="1061">
                  <c:v>45475</c:v>
                </c:pt>
                <c:pt idx="1062">
                  <c:v>45476</c:v>
                </c:pt>
                <c:pt idx="1063">
                  <c:v>45478</c:v>
                </c:pt>
                <c:pt idx="1064">
                  <c:v>45481</c:v>
                </c:pt>
                <c:pt idx="1065">
                  <c:v>45482</c:v>
                </c:pt>
                <c:pt idx="1066">
                  <c:v>45483</c:v>
                </c:pt>
                <c:pt idx="1067">
                  <c:v>45484</c:v>
                </c:pt>
                <c:pt idx="1068">
                  <c:v>45485</c:v>
                </c:pt>
                <c:pt idx="1069">
                  <c:v>45488</c:v>
                </c:pt>
                <c:pt idx="1070">
                  <c:v>45489</c:v>
                </c:pt>
                <c:pt idx="1071">
                  <c:v>45490</c:v>
                </c:pt>
                <c:pt idx="1072">
                  <c:v>45491</c:v>
                </c:pt>
                <c:pt idx="1073">
                  <c:v>45492</c:v>
                </c:pt>
                <c:pt idx="1074">
                  <c:v>45495</c:v>
                </c:pt>
                <c:pt idx="1075">
                  <c:v>45496</c:v>
                </c:pt>
                <c:pt idx="1076">
                  <c:v>45497</c:v>
                </c:pt>
                <c:pt idx="1077">
                  <c:v>45498</c:v>
                </c:pt>
                <c:pt idx="1078">
                  <c:v>45499</c:v>
                </c:pt>
                <c:pt idx="1079">
                  <c:v>45502</c:v>
                </c:pt>
                <c:pt idx="1080">
                  <c:v>45503</c:v>
                </c:pt>
                <c:pt idx="1081">
                  <c:v>45504</c:v>
                </c:pt>
                <c:pt idx="1082">
                  <c:v>45505</c:v>
                </c:pt>
                <c:pt idx="1083">
                  <c:v>45506</c:v>
                </c:pt>
                <c:pt idx="1084">
                  <c:v>45509</c:v>
                </c:pt>
                <c:pt idx="1085">
                  <c:v>45510</c:v>
                </c:pt>
                <c:pt idx="1086">
                  <c:v>45511</c:v>
                </c:pt>
                <c:pt idx="1087">
                  <c:v>45512</c:v>
                </c:pt>
                <c:pt idx="1088">
                  <c:v>45513</c:v>
                </c:pt>
                <c:pt idx="1089">
                  <c:v>45516</c:v>
                </c:pt>
                <c:pt idx="1090">
                  <c:v>45517</c:v>
                </c:pt>
                <c:pt idx="1091">
                  <c:v>45518</c:v>
                </c:pt>
                <c:pt idx="1092">
                  <c:v>45519</c:v>
                </c:pt>
                <c:pt idx="1093">
                  <c:v>45520</c:v>
                </c:pt>
                <c:pt idx="1094">
                  <c:v>45523</c:v>
                </c:pt>
                <c:pt idx="1095">
                  <c:v>45524</c:v>
                </c:pt>
                <c:pt idx="1096">
                  <c:v>45525</c:v>
                </c:pt>
                <c:pt idx="1097">
                  <c:v>45526</c:v>
                </c:pt>
                <c:pt idx="1098">
                  <c:v>45527</c:v>
                </c:pt>
                <c:pt idx="1099">
                  <c:v>45530</c:v>
                </c:pt>
                <c:pt idx="1100">
                  <c:v>45531</c:v>
                </c:pt>
                <c:pt idx="1101">
                  <c:v>45532</c:v>
                </c:pt>
                <c:pt idx="1102">
                  <c:v>45533</c:v>
                </c:pt>
                <c:pt idx="1103">
                  <c:v>45534</c:v>
                </c:pt>
                <c:pt idx="1104">
                  <c:v>45538</c:v>
                </c:pt>
                <c:pt idx="1105">
                  <c:v>45539</c:v>
                </c:pt>
                <c:pt idx="1106">
                  <c:v>45540</c:v>
                </c:pt>
                <c:pt idx="1107">
                  <c:v>45541</c:v>
                </c:pt>
                <c:pt idx="1108">
                  <c:v>45544</c:v>
                </c:pt>
                <c:pt idx="1109">
                  <c:v>45545</c:v>
                </c:pt>
                <c:pt idx="1110">
                  <c:v>45546</c:v>
                </c:pt>
                <c:pt idx="1111">
                  <c:v>45547</c:v>
                </c:pt>
                <c:pt idx="1112">
                  <c:v>45548</c:v>
                </c:pt>
                <c:pt idx="1113">
                  <c:v>45551</c:v>
                </c:pt>
                <c:pt idx="1114">
                  <c:v>45552</c:v>
                </c:pt>
                <c:pt idx="1115">
                  <c:v>45553</c:v>
                </c:pt>
                <c:pt idx="1116">
                  <c:v>45554</c:v>
                </c:pt>
                <c:pt idx="1117">
                  <c:v>45555</c:v>
                </c:pt>
                <c:pt idx="1118">
                  <c:v>45558</c:v>
                </c:pt>
                <c:pt idx="1119">
                  <c:v>45559</c:v>
                </c:pt>
                <c:pt idx="1120">
                  <c:v>45560</c:v>
                </c:pt>
                <c:pt idx="1121">
                  <c:v>45561</c:v>
                </c:pt>
                <c:pt idx="1122">
                  <c:v>45562</c:v>
                </c:pt>
                <c:pt idx="1123">
                  <c:v>45565</c:v>
                </c:pt>
                <c:pt idx="1124">
                  <c:v>45566</c:v>
                </c:pt>
                <c:pt idx="1125">
                  <c:v>45567</c:v>
                </c:pt>
                <c:pt idx="1126">
                  <c:v>45568</c:v>
                </c:pt>
                <c:pt idx="1127">
                  <c:v>45569</c:v>
                </c:pt>
                <c:pt idx="1128">
                  <c:v>45572</c:v>
                </c:pt>
                <c:pt idx="1129">
                  <c:v>45573</c:v>
                </c:pt>
                <c:pt idx="1130">
                  <c:v>45574</c:v>
                </c:pt>
                <c:pt idx="1131">
                  <c:v>45575</c:v>
                </c:pt>
                <c:pt idx="1132">
                  <c:v>45576</c:v>
                </c:pt>
                <c:pt idx="1133">
                  <c:v>45579</c:v>
                </c:pt>
                <c:pt idx="1134">
                  <c:v>45580</c:v>
                </c:pt>
                <c:pt idx="1135">
                  <c:v>45581</c:v>
                </c:pt>
                <c:pt idx="1136">
                  <c:v>45582</c:v>
                </c:pt>
                <c:pt idx="1137">
                  <c:v>45583</c:v>
                </c:pt>
                <c:pt idx="1138">
                  <c:v>45586</c:v>
                </c:pt>
                <c:pt idx="1139">
                  <c:v>45587</c:v>
                </c:pt>
                <c:pt idx="1140">
                  <c:v>45588</c:v>
                </c:pt>
                <c:pt idx="1141">
                  <c:v>45589</c:v>
                </c:pt>
                <c:pt idx="1142">
                  <c:v>45590</c:v>
                </c:pt>
                <c:pt idx="1143">
                  <c:v>45593</c:v>
                </c:pt>
                <c:pt idx="1144">
                  <c:v>45594</c:v>
                </c:pt>
                <c:pt idx="1145">
                  <c:v>45595</c:v>
                </c:pt>
                <c:pt idx="1146">
                  <c:v>45596</c:v>
                </c:pt>
                <c:pt idx="1147">
                  <c:v>45597</c:v>
                </c:pt>
                <c:pt idx="1148">
                  <c:v>45600</c:v>
                </c:pt>
                <c:pt idx="1149">
                  <c:v>45601</c:v>
                </c:pt>
                <c:pt idx="1150">
                  <c:v>45602</c:v>
                </c:pt>
                <c:pt idx="1151">
                  <c:v>45603</c:v>
                </c:pt>
                <c:pt idx="1152">
                  <c:v>45604</c:v>
                </c:pt>
                <c:pt idx="1153">
                  <c:v>45607</c:v>
                </c:pt>
                <c:pt idx="1154">
                  <c:v>45608</c:v>
                </c:pt>
                <c:pt idx="1155">
                  <c:v>45609</c:v>
                </c:pt>
                <c:pt idx="1156">
                  <c:v>45610</c:v>
                </c:pt>
                <c:pt idx="1157">
                  <c:v>45611</c:v>
                </c:pt>
                <c:pt idx="1158">
                  <c:v>45614</c:v>
                </c:pt>
                <c:pt idx="1159">
                  <c:v>45615</c:v>
                </c:pt>
                <c:pt idx="1160">
                  <c:v>45616</c:v>
                </c:pt>
                <c:pt idx="1161">
                  <c:v>45617</c:v>
                </c:pt>
                <c:pt idx="1162">
                  <c:v>45618</c:v>
                </c:pt>
                <c:pt idx="1163">
                  <c:v>45621</c:v>
                </c:pt>
                <c:pt idx="1164">
                  <c:v>45622</c:v>
                </c:pt>
                <c:pt idx="1165">
                  <c:v>45623</c:v>
                </c:pt>
                <c:pt idx="1166">
                  <c:v>45625</c:v>
                </c:pt>
                <c:pt idx="1167">
                  <c:v>45628</c:v>
                </c:pt>
                <c:pt idx="1168">
                  <c:v>45629</c:v>
                </c:pt>
                <c:pt idx="1169">
                  <c:v>45630</c:v>
                </c:pt>
                <c:pt idx="1170">
                  <c:v>45631</c:v>
                </c:pt>
                <c:pt idx="1171">
                  <c:v>45632</c:v>
                </c:pt>
                <c:pt idx="1172">
                  <c:v>45635</c:v>
                </c:pt>
                <c:pt idx="1173">
                  <c:v>45636</c:v>
                </c:pt>
                <c:pt idx="1174">
                  <c:v>45637</c:v>
                </c:pt>
                <c:pt idx="1175">
                  <c:v>45638</c:v>
                </c:pt>
                <c:pt idx="1176">
                  <c:v>45639</c:v>
                </c:pt>
                <c:pt idx="1177">
                  <c:v>45642</c:v>
                </c:pt>
                <c:pt idx="1178">
                  <c:v>45643</c:v>
                </c:pt>
                <c:pt idx="1179">
                  <c:v>45644</c:v>
                </c:pt>
                <c:pt idx="1180">
                  <c:v>45645</c:v>
                </c:pt>
                <c:pt idx="1181">
                  <c:v>45646</c:v>
                </c:pt>
                <c:pt idx="1182">
                  <c:v>45649</c:v>
                </c:pt>
                <c:pt idx="1183">
                  <c:v>45650</c:v>
                </c:pt>
                <c:pt idx="1184">
                  <c:v>45652</c:v>
                </c:pt>
                <c:pt idx="1185">
                  <c:v>45653</c:v>
                </c:pt>
                <c:pt idx="1186">
                  <c:v>45656</c:v>
                </c:pt>
                <c:pt idx="1187">
                  <c:v>45657</c:v>
                </c:pt>
                <c:pt idx="1188">
                  <c:v>45659</c:v>
                </c:pt>
                <c:pt idx="1189">
                  <c:v>45660</c:v>
                </c:pt>
                <c:pt idx="1190">
                  <c:v>45663</c:v>
                </c:pt>
                <c:pt idx="1191">
                  <c:v>45664</c:v>
                </c:pt>
                <c:pt idx="1192">
                  <c:v>45665</c:v>
                </c:pt>
                <c:pt idx="1193">
                  <c:v>45667</c:v>
                </c:pt>
                <c:pt idx="1194">
                  <c:v>45670</c:v>
                </c:pt>
                <c:pt idx="1195">
                  <c:v>45671</c:v>
                </c:pt>
                <c:pt idx="1196">
                  <c:v>45672</c:v>
                </c:pt>
                <c:pt idx="1197">
                  <c:v>45673</c:v>
                </c:pt>
                <c:pt idx="1198">
                  <c:v>45674</c:v>
                </c:pt>
                <c:pt idx="1199">
                  <c:v>45678</c:v>
                </c:pt>
                <c:pt idx="1200">
                  <c:v>45679</c:v>
                </c:pt>
                <c:pt idx="1201">
                  <c:v>45680</c:v>
                </c:pt>
                <c:pt idx="1202">
                  <c:v>45681</c:v>
                </c:pt>
                <c:pt idx="1203">
                  <c:v>45684</c:v>
                </c:pt>
                <c:pt idx="1204">
                  <c:v>45685</c:v>
                </c:pt>
                <c:pt idx="1205">
                  <c:v>45686</c:v>
                </c:pt>
                <c:pt idx="1206">
                  <c:v>45687</c:v>
                </c:pt>
                <c:pt idx="1207">
                  <c:v>45688</c:v>
                </c:pt>
                <c:pt idx="1208">
                  <c:v>45691</c:v>
                </c:pt>
                <c:pt idx="1209">
                  <c:v>45692</c:v>
                </c:pt>
                <c:pt idx="1210">
                  <c:v>45693</c:v>
                </c:pt>
                <c:pt idx="1211">
                  <c:v>45694</c:v>
                </c:pt>
                <c:pt idx="1212">
                  <c:v>45695</c:v>
                </c:pt>
                <c:pt idx="1213">
                  <c:v>45698</c:v>
                </c:pt>
                <c:pt idx="1214">
                  <c:v>45699</c:v>
                </c:pt>
                <c:pt idx="1215">
                  <c:v>45700</c:v>
                </c:pt>
                <c:pt idx="1216">
                  <c:v>45701</c:v>
                </c:pt>
                <c:pt idx="1217">
                  <c:v>45702</c:v>
                </c:pt>
                <c:pt idx="1218">
                  <c:v>45706</c:v>
                </c:pt>
                <c:pt idx="1219">
                  <c:v>45707</c:v>
                </c:pt>
                <c:pt idx="1220">
                  <c:v>45708</c:v>
                </c:pt>
                <c:pt idx="1221">
                  <c:v>45709</c:v>
                </c:pt>
                <c:pt idx="1222">
                  <c:v>45712</c:v>
                </c:pt>
                <c:pt idx="1223">
                  <c:v>45713</c:v>
                </c:pt>
                <c:pt idx="1224">
                  <c:v>45714</c:v>
                </c:pt>
                <c:pt idx="1225">
                  <c:v>45715</c:v>
                </c:pt>
                <c:pt idx="1226">
                  <c:v>45716</c:v>
                </c:pt>
                <c:pt idx="1227">
                  <c:v>45719</c:v>
                </c:pt>
                <c:pt idx="1228">
                  <c:v>45720</c:v>
                </c:pt>
                <c:pt idx="1229">
                  <c:v>45721</c:v>
                </c:pt>
                <c:pt idx="1230">
                  <c:v>45722</c:v>
                </c:pt>
                <c:pt idx="1231">
                  <c:v>45723</c:v>
                </c:pt>
                <c:pt idx="1232">
                  <c:v>45726</c:v>
                </c:pt>
                <c:pt idx="1233">
                  <c:v>45727</c:v>
                </c:pt>
                <c:pt idx="1234">
                  <c:v>45728</c:v>
                </c:pt>
                <c:pt idx="1235">
                  <c:v>45729</c:v>
                </c:pt>
                <c:pt idx="1236">
                  <c:v>45730</c:v>
                </c:pt>
                <c:pt idx="1237">
                  <c:v>45733</c:v>
                </c:pt>
                <c:pt idx="1238">
                  <c:v>45734</c:v>
                </c:pt>
                <c:pt idx="1239">
                  <c:v>45735</c:v>
                </c:pt>
                <c:pt idx="1240">
                  <c:v>45736</c:v>
                </c:pt>
                <c:pt idx="1241">
                  <c:v>45737</c:v>
                </c:pt>
                <c:pt idx="1242">
                  <c:v>45740</c:v>
                </c:pt>
                <c:pt idx="1243">
                  <c:v>45741</c:v>
                </c:pt>
                <c:pt idx="1244">
                  <c:v>45742</c:v>
                </c:pt>
                <c:pt idx="1245">
                  <c:v>45743</c:v>
                </c:pt>
                <c:pt idx="1246">
                  <c:v>45744</c:v>
                </c:pt>
                <c:pt idx="1247">
                  <c:v>45747</c:v>
                </c:pt>
                <c:pt idx="1248">
                  <c:v>45748</c:v>
                </c:pt>
                <c:pt idx="1249">
                  <c:v>45749</c:v>
                </c:pt>
                <c:pt idx="1250">
                  <c:v>45750</c:v>
                </c:pt>
                <c:pt idx="1251">
                  <c:v>45751</c:v>
                </c:pt>
                <c:pt idx="1252">
                  <c:v>45754</c:v>
                </c:pt>
                <c:pt idx="1253">
                  <c:v>45755</c:v>
                </c:pt>
                <c:pt idx="1254">
                  <c:v>45756</c:v>
                </c:pt>
                <c:pt idx="1255">
                  <c:v>45757</c:v>
                </c:pt>
                <c:pt idx="1256">
                  <c:v>45758</c:v>
                </c:pt>
              </c:numCache>
            </c:numRef>
          </c:cat>
          <c:val>
            <c:numRef>
              <c:f>CovarianceStationaryWeaklyDepen!$H$2:$H$1259</c:f>
              <c:numCache>
                <c:formatCode>_(* #,##0.00_);_(* \(#,##0.00\);_(* "-"??_);_(@_)</c:formatCode>
                <c:ptCount val="1258"/>
                <c:pt idx="0">
                  <c:v>1.8014106895606705</c:v>
                </c:pt>
                <c:pt idx="1">
                  <c:v>1.8246831886401589</c:v>
                </c:pt>
                <c:pt idx="2">
                  <c:v>1.8554131662284667</c:v>
                </c:pt>
                <c:pt idx="3">
                  <c:v>1.8731590850222495</c:v>
                </c:pt>
                <c:pt idx="4">
                  <c:v>1.8925158224757745</c:v>
                </c:pt>
                <c:pt idx="5">
                  <c:v>1.9250518308651332</c:v>
                </c:pt>
                <c:pt idx="6">
                  <c:v>1.9586138700242781</c:v>
                </c:pt>
                <c:pt idx="7">
                  <c:v>1.9597288366264638</c:v>
                </c:pt>
                <c:pt idx="8">
                  <c:v>1.9972213088730169</c:v>
                </c:pt>
                <c:pt idx="9">
                  <c:v>2.0348346613406996</c:v>
                </c:pt>
                <c:pt idx="10">
                  <c:v>2.0600458390381888</c:v>
                </c:pt>
                <c:pt idx="11">
                  <c:v>2.07960972719389</c:v>
                </c:pt>
                <c:pt idx="12">
                  <c:v>2.0731847949338649</c:v>
                </c:pt>
                <c:pt idx="13">
                  <c:v>2.0738740210946438</c:v>
                </c:pt>
                <c:pt idx="14">
                  <c:v>2.0741431096762692</c:v>
                </c:pt>
                <c:pt idx="15">
                  <c:v>2.0690295770761331</c:v>
                </c:pt>
                <c:pt idx="16">
                  <c:v>2.0617372769039206</c:v>
                </c:pt>
                <c:pt idx="17">
                  <c:v>2.0563197241702569</c:v>
                </c:pt>
                <c:pt idx="18">
                  <c:v>2.0431637080939367</c:v>
                </c:pt>
                <c:pt idx="19">
                  <c:v>2.0352020486841154</c:v>
                </c:pt>
                <c:pt idx="20">
                  <c:v>2.0340444846720787</c:v>
                </c:pt>
                <c:pt idx="21">
                  <c:v>2.0266862522326132</c:v>
                </c:pt>
                <c:pt idx="22">
                  <c:v>2.0076129390463087</c:v>
                </c:pt>
                <c:pt idx="23">
                  <c:v>1.9691328109150903</c:v>
                </c:pt>
                <c:pt idx="24">
                  <c:v>1.9317869727730455</c:v>
                </c:pt>
                <c:pt idx="25">
                  <c:v>1.8900009194307872</c:v>
                </c:pt>
                <c:pt idx="26">
                  <c:v>1.8754796877680318</c:v>
                </c:pt>
                <c:pt idx="27">
                  <c:v>1.8471103232053079</c:v>
                </c:pt>
                <c:pt idx="28">
                  <c:v>1.8416342876450007</c:v>
                </c:pt>
                <c:pt idx="29">
                  <c:v>1.8146033337174179</c:v>
                </c:pt>
                <c:pt idx="30">
                  <c:v>1.7881372131244246</c:v>
                </c:pt>
                <c:pt idx="31">
                  <c:v>1.7680959224848976</c:v>
                </c:pt>
                <c:pt idx="32">
                  <c:v>1.7690350565455506</c:v>
                </c:pt>
                <c:pt idx="33">
                  <c:v>1.7580756445206094</c:v>
                </c:pt>
                <c:pt idx="34">
                  <c:v>1.7600026121868675</c:v>
                </c:pt>
                <c:pt idx="35">
                  <c:v>1.7726120411214386</c:v>
                </c:pt>
                <c:pt idx="36">
                  <c:v>1.7831559610355068</c:v>
                </c:pt>
                <c:pt idx="37">
                  <c:v>1.7987987468462852</c:v>
                </c:pt>
                <c:pt idx="38">
                  <c:v>1.8205167631343899</c:v>
                </c:pt>
                <c:pt idx="39">
                  <c:v>1.8373984585621423</c:v>
                </c:pt>
                <c:pt idx="40">
                  <c:v>1.8515798375781252</c:v>
                </c:pt>
                <c:pt idx="41">
                  <c:v>1.8577690654240462</c:v>
                </c:pt>
                <c:pt idx="42">
                  <c:v>1.8618575102713175</c:v>
                </c:pt>
                <c:pt idx="43">
                  <c:v>1.8446530994269741</c:v>
                </c:pt>
                <c:pt idx="44">
                  <c:v>1.83217326205912</c:v>
                </c:pt>
                <c:pt idx="45">
                  <c:v>1.8337912411326742</c:v>
                </c:pt>
                <c:pt idx="46">
                  <c:v>1.8412363185500864</c:v>
                </c:pt>
                <c:pt idx="47">
                  <c:v>1.8515501175264282</c:v>
                </c:pt>
                <c:pt idx="48">
                  <c:v>1.8661069020418874</c:v>
                </c:pt>
                <c:pt idx="49">
                  <c:v>1.8772756321016477</c:v>
                </c:pt>
                <c:pt idx="50">
                  <c:v>1.8947144236972742</c:v>
                </c:pt>
                <c:pt idx="51">
                  <c:v>1.9162158843636015</c:v>
                </c:pt>
                <c:pt idx="52">
                  <c:v>1.9148541311795384</c:v>
                </c:pt>
                <c:pt idx="53">
                  <c:v>1.920407690319504</c:v>
                </c:pt>
                <c:pt idx="54">
                  <c:v>1.8843439774023756</c:v>
                </c:pt>
                <c:pt idx="55">
                  <c:v>1.8717064476146132</c:v>
                </c:pt>
                <c:pt idx="56">
                  <c:v>1.8679827935832616</c:v>
                </c:pt>
                <c:pt idx="57">
                  <c:v>1.8637093707984789</c:v>
                </c:pt>
                <c:pt idx="58">
                  <c:v>1.8617408090381926</c:v>
                </c:pt>
                <c:pt idx="59">
                  <c:v>1.8717072839645053</c:v>
                </c:pt>
                <c:pt idx="60">
                  <c:v>1.863772372458915</c:v>
                </c:pt>
                <c:pt idx="61">
                  <c:v>1.8620918771018837</c:v>
                </c:pt>
                <c:pt idx="62">
                  <c:v>1.853155292975768</c:v>
                </c:pt>
                <c:pt idx="63">
                  <c:v>1.8612251683490366</c:v>
                </c:pt>
                <c:pt idx="64">
                  <c:v>1.8571734595400267</c:v>
                </c:pt>
                <c:pt idx="65">
                  <c:v>1.8748913852764872</c:v>
                </c:pt>
                <c:pt idx="66">
                  <c:v>1.8951423605760334</c:v>
                </c:pt>
                <c:pt idx="67">
                  <c:v>1.914422843325307</c:v>
                </c:pt>
                <c:pt idx="68">
                  <c:v>1.9266311449779938</c:v>
                </c:pt>
                <c:pt idx="69">
                  <c:v>1.9471063654150265</c:v>
                </c:pt>
                <c:pt idx="70">
                  <c:v>1.9792725071946558</c:v>
                </c:pt>
                <c:pt idx="71">
                  <c:v>1.9788080617066266</c:v>
                </c:pt>
                <c:pt idx="72">
                  <c:v>1.9660655461761789</c:v>
                </c:pt>
                <c:pt idx="73">
                  <c:v>1.9452209293227081</c:v>
                </c:pt>
                <c:pt idx="74">
                  <c:v>1.9261663586766127</c:v>
                </c:pt>
                <c:pt idx="75">
                  <c:v>1.8987664127998234</c:v>
                </c:pt>
                <c:pt idx="76">
                  <c:v>1.8813735840856769</c:v>
                </c:pt>
                <c:pt idx="77">
                  <c:v>1.8533770438495241</c:v>
                </c:pt>
                <c:pt idx="78">
                  <c:v>1.8299229774156858</c:v>
                </c:pt>
                <c:pt idx="79">
                  <c:v>1.8119895049372499</c:v>
                </c:pt>
                <c:pt idx="80">
                  <c:v>1.7994695626251613</c:v>
                </c:pt>
                <c:pt idx="81">
                  <c:v>1.8018331260419995</c:v>
                </c:pt>
                <c:pt idx="82">
                  <c:v>1.8218941278586724</c:v>
                </c:pt>
                <c:pt idx="83">
                  <c:v>1.8295352768550912</c:v>
                </c:pt>
                <c:pt idx="84">
                  <c:v>1.8647083638081956</c:v>
                </c:pt>
                <c:pt idx="85">
                  <c:v>1.8875314403686883</c:v>
                </c:pt>
                <c:pt idx="86">
                  <c:v>1.8976488729778798</c:v>
                </c:pt>
                <c:pt idx="87">
                  <c:v>1.8990651397816343</c:v>
                </c:pt>
                <c:pt idx="88">
                  <c:v>1.9020781801326301</c:v>
                </c:pt>
                <c:pt idx="89">
                  <c:v>1.9027934376110422</c:v>
                </c:pt>
                <c:pt idx="90">
                  <c:v>1.9028703627989005</c:v>
                </c:pt>
                <c:pt idx="91">
                  <c:v>1.9044279949373206</c:v>
                </c:pt>
                <c:pt idx="92">
                  <c:v>1.9048536196108026</c:v>
                </c:pt>
                <c:pt idx="93">
                  <c:v>1.9055829710190009</c:v>
                </c:pt>
                <c:pt idx="94">
                  <c:v>1.9046130175101685</c:v>
                </c:pt>
                <c:pt idx="95">
                  <c:v>1.9050157805920005</c:v>
                </c:pt>
                <c:pt idx="96">
                  <c:v>1.9047034902411313</c:v>
                </c:pt>
                <c:pt idx="97">
                  <c:v>1.9173981867297683</c:v>
                </c:pt>
                <c:pt idx="98">
                  <c:v>1.9183669319376067</c:v>
                </c:pt>
                <c:pt idx="99">
                  <c:v>1.9158468664783801</c:v>
                </c:pt>
                <c:pt idx="100">
                  <c:v>1.9051374799387033</c:v>
                </c:pt>
                <c:pt idx="101">
                  <c:v>1.8718973630149405</c:v>
                </c:pt>
                <c:pt idx="102">
                  <c:v>1.8677933576832983</c:v>
                </c:pt>
                <c:pt idx="103">
                  <c:v>1.8699225275093283</c:v>
                </c:pt>
                <c:pt idx="104">
                  <c:v>1.8694295554218345</c:v>
                </c:pt>
                <c:pt idx="105">
                  <c:v>1.8746775146545744</c:v>
                </c:pt>
                <c:pt idx="106">
                  <c:v>1.8781945832749585</c:v>
                </c:pt>
                <c:pt idx="107">
                  <c:v>1.874770803596032</c:v>
                </c:pt>
                <c:pt idx="108">
                  <c:v>1.8746282126692333</c:v>
                </c:pt>
                <c:pt idx="109">
                  <c:v>1.8924018968319958</c:v>
                </c:pt>
                <c:pt idx="110">
                  <c:v>1.8995650052926145</c:v>
                </c:pt>
                <c:pt idx="111">
                  <c:v>1.9133908722047068</c:v>
                </c:pt>
                <c:pt idx="112">
                  <c:v>1.9147505632348205</c:v>
                </c:pt>
                <c:pt idx="113">
                  <c:v>1.9031502820231532</c:v>
                </c:pt>
                <c:pt idx="114">
                  <c:v>1.9000804583418864</c:v>
                </c:pt>
                <c:pt idx="115">
                  <c:v>1.8855261316049876</c:v>
                </c:pt>
                <c:pt idx="116">
                  <c:v>1.8676487765107681</c:v>
                </c:pt>
                <c:pt idx="117">
                  <c:v>1.8744593168553878</c:v>
                </c:pt>
                <c:pt idx="118">
                  <c:v>1.8874059810266768</c:v>
                </c:pt>
                <c:pt idx="119">
                  <c:v>1.901499246209496</c:v>
                </c:pt>
                <c:pt idx="120">
                  <c:v>1.907328501467606</c:v>
                </c:pt>
                <c:pt idx="121">
                  <c:v>1.9251198934323279</c:v>
                </c:pt>
                <c:pt idx="122">
                  <c:v>1.9456876672135472</c:v>
                </c:pt>
                <c:pt idx="123">
                  <c:v>1.9639930366114424</c:v>
                </c:pt>
                <c:pt idx="124">
                  <c:v>1.9645304180326222</c:v>
                </c:pt>
                <c:pt idx="125">
                  <c:v>1.9729116810112126</c:v>
                </c:pt>
                <c:pt idx="126">
                  <c:v>1.977951219649652</c:v>
                </c:pt>
                <c:pt idx="127">
                  <c:v>1.985722013677655</c:v>
                </c:pt>
                <c:pt idx="128">
                  <c:v>2.0010621656774257</c:v>
                </c:pt>
                <c:pt idx="129">
                  <c:v>2.0149570850660807</c:v>
                </c:pt>
                <c:pt idx="130">
                  <c:v>2.029316407432781</c:v>
                </c:pt>
                <c:pt idx="131">
                  <c:v>2.0392698605436119</c:v>
                </c:pt>
                <c:pt idx="132">
                  <c:v>2.0545324326420422</c:v>
                </c:pt>
                <c:pt idx="133">
                  <c:v>2.0657796658492154</c:v>
                </c:pt>
                <c:pt idx="134">
                  <c:v>2.0755515403744003</c:v>
                </c:pt>
                <c:pt idx="135">
                  <c:v>2.0876601048203587</c:v>
                </c:pt>
                <c:pt idx="136">
                  <c:v>2.0974852897928411</c:v>
                </c:pt>
                <c:pt idx="137">
                  <c:v>2.1075174652039466</c:v>
                </c:pt>
                <c:pt idx="138">
                  <c:v>2.1059672829300449</c:v>
                </c:pt>
                <c:pt idx="139">
                  <c:v>2.1004049464427301</c:v>
                </c:pt>
                <c:pt idx="140">
                  <c:v>2.0643417329589715</c:v>
                </c:pt>
                <c:pt idx="141">
                  <c:v>2.0275977053212593</c:v>
                </c:pt>
                <c:pt idx="142">
                  <c:v>1.964169823992348</c:v>
                </c:pt>
                <c:pt idx="143">
                  <c:v>1.8923025172167933</c:v>
                </c:pt>
                <c:pt idx="144">
                  <c:v>1.8300238052858866</c:v>
                </c:pt>
                <c:pt idx="145">
                  <c:v>1.7888666480237956</c:v>
                </c:pt>
                <c:pt idx="146">
                  <c:v>1.7695845365098843</c:v>
                </c:pt>
                <c:pt idx="147">
                  <c:v>1.7410217329745792</c:v>
                </c:pt>
                <c:pt idx="148">
                  <c:v>1.7274709472738423</c:v>
                </c:pt>
                <c:pt idx="149">
                  <c:v>1.7104510429265161</c:v>
                </c:pt>
                <c:pt idx="150">
                  <c:v>1.7133759868556797</c:v>
                </c:pt>
                <c:pt idx="151">
                  <c:v>1.6877350475348218</c:v>
                </c:pt>
                <c:pt idx="152">
                  <c:v>1.6850018768623407</c:v>
                </c:pt>
                <c:pt idx="153">
                  <c:v>1.7037081561918168</c:v>
                </c:pt>
                <c:pt idx="154">
                  <c:v>1.6962662011139786</c:v>
                </c:pt>
                <c:pt idx="155">
                  <c:v>1.6709824209989943</c:v>
                </c:pt>
                <c:pt idx="156">
                  <c:v>1.6555993859328317</c:v>
                </c:pt>
                <c:pt idx="157">
                  <c:v>1.6469981064587778</c:v>
                </c:pt>
                <c:pt idx="158">
                  <c:v>1.6598192093444046</c:v>
                </c:pt>
                <c:pt idx="159">
                  <c:v>1.678040595505714</c:v>
                </c:pt>
                <c:pt idx="160">
                  <c:v>1.6881177203527447</c:v>
                </c:pt>
                <c:pt idx="161">
                  <c:v>1.7007608573804638</c:v>
                </c:pt>
                <c:pt idx="162">
                  <c:v>1.692692367112941</c:v>
                </c:pt>
                <c:pt idx="163">
                  <c:v>1.6890361512296768</c:v>
                </c:pt>
                <c:pt idx="164">
                  <c:v>1.6956901953757597</c:v>
                </c:pt>
                <c:pt idx="165">
                  <c:v>1.7243705492248773</c:v>
                </c:pt>
                <c:pt idx="166">
                  <c:v>1.7533882619388099</c:v>
                </c:pt>
                <c:pt idx="167">
                  <c:v>1.7698210809610142</c:v>
                </c:pt>
                <c:pt idx="168">
                  <c:v>1.7895663733491154</c:v>
                </c:pt>
                <c:pt idx="169">
                  <c:v>1.7963024444840099</c:v>
                </c:pt>
                <c:pt idx="170">
                  <c:v>1.7824061954646977</c:v>
                </c:pt>
                <c:pt idx="171">
                  <c:v>1.7662953207386347</c:v>
                </c:pt>
                <c:pt idx="172">
                  <c:v>1.7430159489644641</c:v>
                </c:pt>
                <c:pt idx="173">
                  <c:v>1.7320696198516341</c:v>
                </c:pt>
                <c:pt idx="174">
                  <c:v>1.7301081868701587</c:v>
                </c:pt>
                <c:pt idx="175">
                  <c:v>1.7330097892957868</c:v>
                </c:pt>
                <c:pt idx="176">
                  <c:v>1.7447276276049353</c:v>
                </c:pt>
                <c:pt idx="177">
                  <c:v>1.7533253781239067</c:v>
                </c:pt>
                <c:pt idx="178">
                  <c:v>1.7666924202847822</c:v>
                </c:pt>
                <c:pt idx="179">
                  <c:v>1.7718793188889319</c:v>
                </c:pt>
                <c:pt idx="180">
                  <c:v>1.7757631262060405</c:v>
                </c:pt>
                <c:pt idx="181">
                  <c:v>1.788134971307451</c:v>
                </c:pt>
                <c:pt idx="182">
                  <c:v>1.8006408273927512</c:v>
                </c:pt>
                <c:pt idx="183">
                  <c:v>1.8085604115764695</c:v>
                </c:pt>
                <c:pt idx="184">
                  <c:v>1.8182916383078387</c:v>
                </c:pt>
                <c:pt idx="185">
                  <c:v>1.7996628492832565</c:v>
                </c:pt>
                <c:pt idx="186">
                  <c:v>1.7847492332236186</c:v>
                </c:pt>
                <c:pt idx="187">
                  <c:v>1.7685708500734887</c:v>
                </c:pt>
                <c:pt idx="188">
                  <c:v>1.76691262035951</c:v>
                </c:pt>
                <c:pt idx="189">
                  <c:v>1.7767460869622778</c:v>
                </c:pt>
                <c:pt idx="190">
                  <c:v>1.7722372292272832</c:v>
                </c:pt>
                <c:pt idx="191">
                  <c:v>1.7703464102846116</c:v>
                </c:pt>
                <c:pt idx="192">
                  <c:v>1.7706242746306204</c:v>
                </c:pt>
                <c:pt idx="193">
                  <c:v>1.7630071497943025</c:v>
                </c:pt>
                <c:pt idx="194">
                  <c:v>1.7483901016329781</c:v>
                </c:pt>
                <c:pt idx="195">
                  <c:v>1.758536368143746</c:v>
                </c:pt>
                <c:pt idx="196">
                  <c:v>1.7590675331436167</c:v>
                </c:pt>
                <c:pt idx="197">
                  <c:v>1.7619610805110155</c:v>
                </c:pt>
                <c:pt idx="198">
                  <c:v>1.761903550273461</c:v>
                </c:pt>
                <c:pt idx="199">
                  <c:v>1.7649754107912821</c:v>
                </c:pt>
                <c:pt idx="200">
                  <c:v>1.7766128664159178</c:v>
                </c:pt>
                <c:pt idx="201">
                  <c:v>1.7611680071927538</c:v>
                </c:pt>
                <c:pt idx="202">
                  <c:v>1.765192862478874</c:v>
                </c:pt>
                <c:pt idx="203">
                  <c:v>1.7180286622256868</c:v>
                </c:pt>
                <c:pt idx="204">
                  <c:v>1.7042078638344453</c:v>
                </c:pt>
                <c:pt idx="205">
                  <c:v>1.6938200414863598</c:v>
                </c:pt>
                <c:pt idx="206">
                  <c:v>1.6826771695140796</c:v>
                </c:pt>
                <c:pt idx="207">
                  <c:v>1.6864933182176289</c:v>
                </c:pt>
                <c:pt idx="208">
                  <c:v>1.6865319131525089</c:v>
                </c:pt>
                <c:pt idx="209">
                  <c:v>1.6859017485121095</c:v>
                </c:pt>
                <c:pt idx="210">
                  <c:v>1.6857747727041321</c:v>
                </c:pt>
                <c:pt idx="211">
                  <c:v>1.7018355200095594</c:v>
                </c:pt>
                <c:pt idx="212">
                  <c:v>1.7144402844376119</c:v>
                </c:pt>
                <c:pt idx="213">
                  <c:v>1.7198898387585266</c:v>
                </c:pt>
                <c:pt idx="214">
                  <c:v>1.7298313011162878</c:v>
                </c:pt>
                <c:pt idx="215">
                  <c:v>1.7581904378695703</c:v>
                </c:pt>
                <c:pt idx="216">
                  <c:v>1.811640447619044</c:v>
                </c:pt>
                <c:pt idx="217">
                  <c:v>1.850220419283422</c:v>
                </c:pt>
                <c:pt idx="218">
                  <c:v>1.880708275126439</c:v>
                </c:pt>
                <c:pt idx="219">
                  <c:v>1.910919518170658</c:v>
                </c:pt>
                <c:pt idx="220">
                  <c:v>1.9475717086345996</c:v>
                </c:pt>
                <c:pt idx="221">
                  <c:v>1.9661597690974901</c:v>
                </c:pt>
                <c:pt idx="222">
                  <c:v>1.9787667338402413</c:v>
                </c:pt>
                <c:pt idx="223">
                  <c:v>1.9959490057766731</c:v>
                </c:pt>
                <c:pt idx="224">
                  <c:v>2.0166177993242766</c:v>
                </c:pt>
                <c:pt idx="225">
                  <c:v>2.0268706419694706</c:v>
                </c:pt>
                <c:pt idx="226">
                  <c:v>2.0133212696155685</c:v>
                </c:pt>
                <c:pt idx="227">
                  <c:v>2.0072946761539603</c:v>
                </c:pt>
                <c:pt idx="228">
                  <c:v>1.9991030642114991</c:v>
                </c:pt>
                <c:pt idx="229">
                  <c:v>1.992092333898329</c:v>
                </c:pt>
                <c:pt idx="230">
                  <c:v>1.9947982100605453</c:v>
                </c:pt>
                <c:pt idx="231">
                  <c:v>2.0025349665866083</c:v>
                </c:pt>
                <c:pt idx="232">
                  <c:v>2.0077717611148653</c:v>
                </c:pt>
                <c:pt idx="233">
                  <c:v>2.0133118470151197</c:v>
                </c:pt>
                <c:pt idx="234">
                  <c:v>2.0207036084453942</c:v>
                </c:pt>
                <c:pt idx="235">
                  <c:v>2.0223173232681551</c:v>
                </c:pt>
                <c:pt idx="236">
                  <c:v>2.0132830024204025</c:v>
                </c:pt>
                <c:pt idx="237">
                  <c:v>1.9964131333692832</c:v>
                </c:pt>
                <c:pt idx="238">
                  <c:v>1.982573572735719</c:v>
                </c:pt>
                <c:pt idx="239">
                  <c:v>1.9603291057702352</c:v>
                </c:pt>
                <c:pt idx="240">
                  <c:v>1.9271411378463077</c:v>
                </c:pt>
                <c:pt idx="241">
                  <c:v>1.8815710884806702</c:v>
                </c:pt>
                <c:pt idx="242">
                  <c:v>1.8501161709642349</c:v>
                </c:pt>
                <c:pt idx="243">
                  <c:v>1.817218539268892</c:v>
                </c:pt>
                <c:pt idx="244">
                  <c:v>1.7574908715935811</c:v>
                </c:pt>
                <c:pt idx="245">
                  <c:v>1.6843232013620189</c:v>
                </c:pt>
                <c:pt idx="246">
                  <c:v>1.6259158046202022</c:v>
                </c:pt>
                <c:pt idx="247">
                  <c:v>1.6047948748001468</c:v>
                </c:pt>
                <c:pt idx="248">
                  <c:v>1.5816102850394065</c:v>
                </c:pt>
                <c:pt idx="249">
                  <c:v>1.5504106536911006</c:v>
                </c:pt>
                <c:pt idx="250">
                  <c:v>1.5274679710248398</c:v>
                </c:pt>
                <c:pt idx="251">
                  <c:v>1.5282780122980306</c:v>
                </c:pt>
                <c:pt idx="252">
                  <c:v>1.5238147993587423</c:v>
                </c:pt>
                <c:pt idx="253">
                  <c:v>1.5257931581020678</c:v>
                </c:pt>
                <c:pt idx="254">
                  <c:v>1.5207893402331412</c:v>
                </c:pt>
                <c:pt idx="255">
                  <c:v>1.5281703729067204</c:v>
                </c:pt>
                <c:pt idx="256">
                  <c:v>1.532846900898547</c:v>
                </c:pt>
                <c:pt idx="257">
                  <c:v>1.5403488982453457</c:v>
                </c:pt>
                <c:pt idx="258">
                  <c:v>1.5339748094095063</c:v>
                </c:pt>
                <c:pt idx="259">
                  <c:v>1.551258525192772</c:v>
                </c:pt>
                <c:pt idx="260">
                  <c:v>1.554574606718726</c:v>
                </c:pt>
                <c:pt idx="261">
                  <c:v>1.5665662818690349</c:v>
                </c:pt>
                <c:pt idx="262">
                  <c:v>1.5738896677718481</c:v>
                </c:pt>
                <c:pt idx="263">
                  <c:v>1.5893436674409989</c:v>
                </c:pt>
                <c:pt idx="264">
                  <c:v>1.6071502352887488</c:v>
                </c:pt>
                <c:pt idx="265">
                  <c:v>1.6241613495706433</c:v>
                </c:pt>
                <c:pt idx="266">
                  <c:v>1.6372980470057854</c:v>
                </c:pt>
                <c:pt idx="267">
                  <c:v>1.6416262177871508</c:v>
                </c:pt>
                <c:pt idx="268">
                  <c:v>1.6426986064527103</c:v>
                </c:pt>
                <c:pt idx="269">
                  <c:v>1.6429018933098249</c:v>
                </c:pt>
                <c:pt idx="270">
                  <c:v>1.6464465842910729</c:v>
                </c:pt>
                <c:pt idx="271">
                  <c:v>1.6510382456726804</c:v>
                </c:pt>
                <c:pt idx="272">
                  <c:v>1.6589212049265336</c:v>
                </c:pt>
                <c:pt idx="273">
                  <c:v>1.6686905307628601</c:v>
                </c:pt>
                <c:pt idx="274">
                  <c:v>1.6222486967007421</c:v>
                </c:pt>
                <c:pt idx="275">
                  <c:v>1.6127856299246046</c:v>
                </c:pt>
                <c:pt idx="276">
                  <c:v>1.6315865945006964</c:v>
                </c:pt>
                <c:pt idx="277">
                  <c:v>1.6449926536117683</c:v>
                </c:pt>
                <c:pt idx="278">
                  <c:v>1.6473381026693736</c:v>
                </c:pt>
                <c:pt idx="279">
                  <c:v>1.6554569222779183</c:v>
                </c:pt>
                <c:pt idx="280">
                  <c:v>1.6741346833995685</c:v>
                </c:pt>
                <c:pt idx="281">
                  <c:v>1.6922592458892951</c:v>
                </c:pt>
                <c:pt idx="282">
                  <c:v>1.7003720243360658</c:v>
                </c:pt>
                <c:pt idx="283">
                  <c:v>1.7256482155382864</c:v>
                </c:pt>
                <c:pt idx="284">
                  <c:v>1.7537078488401476</c:v>
                </c:pt>
                <c:pt idx="285">
                  <c:v>1.7685933668572105</c:v>
                </c:pt>
                <c:pt idx="286">
                  <c:v>1.7818277643160352</c:v>
                </c:pt>
                <c:pt idx="287">
                  <c:v>1.7855755096059309</c:v>
                </c:pt>
                <c:pt idx="288">
                  <c:v>1.7803149173493253</c:v>
                </c:pt>
                <c:pt idx="289">
                  <c:v>1.7655179993284951</c:v>
                </c:pt>
                <c:pt idx="290">
                  <c:v>1.7622989202472059</c:v>
                </c:pt>
                <c:pt idx="291">
                  <c:v>1.764599821822292</c:v>
                </c:pt>
                <c:pt idx="292">
                  <c:v>1.7672278446737928</c:v>
                </c:pt>
                <c:pt idx="293">
                  <c:v>1.7805689284001036</c:v>
                </c:pt>
                <c:pt idx="294">
                  <c:v>1.7984881492772344</c:v>
                </c:pt>
                <c:pt idx="295">
                  <c:v>1.806407643264077</c:v>
                </c:pt>
                <c:pt idx="296">
                  <c:v>1.8129648752930703</c:v>
                </c:pt>
                <c:pt idx="297">
                  <c:v>1.8204082804525366</c:v>
                </c:pt>
                <c:pt idx="298">
                  <c:v>1.8116022885561998</c:v>
                </c:pt>
                <c:pt idx="299">
                  <c:v>1.7967071917234105</c:v>
                </c:pt>
                <c:pt idx="300">
                  <c:v>1.7536089565018582</c:v>
                </c:pt>
                <c:pt idx="301">
                  <c:v>1.7284029639690472</c:v>
                </c:pt>
                <c:pt idx="302">
                  <c:v>1.7169541372077171</c:v>
                </c:pt>
                <c:pt idx="303">
                  <c:v>1.6990069281039804</c:v>
                </c:pt>
                <c:pt idx="304">
                  <c:v>1.6868445528359941</c:v>
                </c:pt>
                <c:pt idx="305">
                  <c:v>1.6787283742070478</c:v>
                </c:pt>
                <c:pt idx="306">
                  <c:v>1.6732481792114877</c:v>
                </c:pt>
                <c:pt idx="307">
                  <c:v>1.6720021692555411</c:v>
                </c:pt>
                <c:pt idx="308">
                  <c:v>1.671778717189073</c:v>
                </c:pt>
                <c:pt idx="309">
                  <c:v>1.6831856800087048</c:v>
                </c:pt>
                <c:pt idx="310">
                  <c:v>1.6876430584490216</c:v>
                </c:pt>
                <c:pt idx="311">
                  <c:v>1.6798141328739393</c:v>
                </c:pt>
                <c:pt idx="312">
                  <c:v>1.6755171483532472</c:v>
                </c:pt>
                <c:pt idx="313">
                  <c:v>1.6614770629474702</c:v>
                </c:pt>
                <c:pt idx="314">
                  <c:v>1.6767150768402881</c:v>
                </c:pt>
                <c:pt idx="315">
                  <c:v>1.6942949382039068</c:v>
                </c:pt>
                <c:pt idx="316">
                  <c:v>1.7101424792188049</c:v>
                </c:pt>
                <c:pt idx="317">
                  <c:v>1.7144148620309716</c:v>
                </c:pt>
                <c:pt idx="318">
                  <c:v>1.727326395003993</c:v>
                </c:pt>
                <c:pt idx="319">
                  <c:v>1.7319202613825786</c:v>
                </c:pt>
                <c:pt idx="320">
                  <c:v>1.6735773050872207</c:v>
                </c:pt>
                <c:pt idx="321">
                  <c:v>1.6540686482617102</c:v>
                </c:pt>
                <c:pt idx="322">
                  <c:v>1.6581969916298533</c:v>
                </c:pt>
                <c:pt idx="323">
                  <c:v>1.6598304292917272</c:v>
                </c:pt>
                <c:pt idx="324">
                  <c:v>1.6679878300561803</c:v>
                </c:pt>
                <c:pt idx="325">
                  <c:v>1.6741241213299136</c:v>
                </c:pt>
                <c:pt idx="326">
                  <c:v>1.6663225353285889</c:v>
                </c:pt>
                <c:pt idx="327">
                  <c:v>1.6533147335941427</c:v>
                </c:pt>
                <c:pt idx="328">
                  <c:v>1.6460416175485162</c:v>
                </c:pt>
                <c:pt idx="329">
                  <c:v>1.6292750852734976</c:v>
                </c:pt>
                <c:pt idx="330">
                  <c:v>1.6026145017233038</c:v>
                </c:pt>
                <c:pt idx="331">
                  <c:v>1.5924237439583511</c:v>
                </c:pt>
                <c:pt idx="332">
                  <c:v>1.5767532222244345</c:v>
                </c:pt>
                <c:pt idx="333">
                  <c:v>1.6257081694150957</c:v>
                </c:pt>
                <c:pt idx="334">
                  <c:v>1.6688309479735188</c:v>
                </c:pt>
                <c:pt idx="335">
                  <c:v>1.6810598909622236</c:v>
                </c:pt>
                <c:pt idx="336">
                  <c:v>1.6792691171687499</c:v>
                </c:pt>
                <c:pt idx="337">
                  <c:v>1.677797331293196</c:v>
                </c:pt>
                <c:pt idx="338">
                  <c:v>1.6794538330145854</c:v>
                </c:pt>
                <c:pt idx="339">
                  <c:v>1.7150573191782508</c:v>
                </c:pt>
                <c:pt idx="340">
                  <c:v>1.739657959792495</c:v>
                </c:pt>
                <c:pt idx="341">
                  <c:v>1.7860454792362292</c:v>
                </c:pt>
                <c:pt idx="342">
                  <c:v>1.7979432483688222</c:v>
                </c:pt>
                <c:pt idx="343">
                  <c:v>1.8319951520478395</c:v>
                </c:pt>
                <c:pt idx="344">
                  <c:v>1.847377748051624</c:v>
                </c:pt>
                <c:pt idx="345">
                  <c:v>1.8549366187845666</c:v>
                </c:pt>
                <c:pt idx="346">
                  <c:v>1.8546342833217813</c:v>
                </c:pt>
                <c:pt idx="347">
                  <c:v>1.8531561988512355</c:v>
                </c:pt>
                <c:pt idx="348">
                  <c:v>1.8589503803855465</c:v>
                </c:pt>
                <c:pt idx="349">
                  <c:v>1.8593159418642653</c:v>
                </c:pt>
                <c:pt idx="350">
                  <c:v>1.8499965707646593</c:v>
                </c:pt>
                <c:pt idx="351">
                  <c:v>1.8356465743194161</c:v>
                </c:pt>
                <c:pt idx="352">
                  <c:v>1.8229528289218284</c:v>
                </c:pt>
                <c:pt idx="353">
                  <c:v>1.8073889305157254</c:v>
                </c:pt>
                <c:pt idx="354">
                  <c:v>1.8013485375157905</c:v>
                </c:pt>
                <c:pt idx="355">
                  <c:v>1.807556159261771</c:v>
                </c:pt>
                <c:pt idx="356">
                  <c:v>1.8210150356733676</c:v>
                </c:pt>
                <c:pt idx="357">
                  <c:v>1.8369329766369429</c:v>
                </c:pt>
                <c:pt idx="358">
                  <c:v>1.864291934474255</c:v>
                </c:pt>
                <c:pt idx="359">
                  <c:v>1.8896262807344284</c:v>
                </c:pt>
                <c:pt idx="360">
                  <c:v>1.9064047888970777</c:v>
                </c:pt>
                <c:pt idx="361">
                  <c:v>1.9314750186824881</c:v>
                </c:pt>
                <c:pt idx="362">
                  <c:v>1.9561913238767035</c:v>
                </c:pt>
                <c:pt idx="363">
                  <c:v>1.9802828170803399</c:v>
                </c:pt>
                <c:pt idx="364">
                  <c:v>1.9986632117644525</c:v>
                </c:pt>
                <c:pt idx="365">
                  <c:v>2.0191149995561011</c:v>
                </c:pt>
                <c:pt idx="366">
                  <c:v>2.0434582661176193</c:v>
                </c:pt>
                <c:pt idx="367">
                  <c:v>2.0695871599896067</c:v>
                </c:pt>
                <c:pt idx="368">
                  <c:v>2.0921034183312148</c:v>
                </c:pt>
                <c:pt idx="369">
                  <c:v>2.1076223592795342</c:v>
                </c:pt>
                <c:pt idx="370">
                  <c:v>2.1074508138369596</c:v>
                </c:pt>
                <c:pt idx="371">
                  <c:v>2.1061085545521254</c:v>
                </c:pt>
                <c:pt idx="372">
                  <c:v>2.0977895859970159</c:v>
                </c:pt>
                <c:pt idx="373">
                  <c:v>2.0943041070885964</c:v>
                </c:pt>
                <c:pt idx="374">
                  <c:v>2.0781514473533926</c:v>
                </c:pt>
                <c:pt idx="375">
                  <c:v>2.0649116056962291</c:v>
                </c:pt>
                <c:pt idx="376">
                  <c:v>2.0530828484365546</c:v>
                </c:pt>
                <c:pt idx="377">
                  <c:v>2.0437268560783766</c:v>
                </c:pt>
                <c:pt idx="378">
                  <c:v>2.0266303243398123</c:v>
                </c:pt>
                <c:pt idx="379">
                  <c:v>1.9957762240409493</c:v>
                </c:pt>
                <c:pt idx="380">
                  <c:v>1.9506567201053284</c:v>
                </c:pt>
                <c:pt idx="381">
                  <c:v>1.8861379261992504</c:v>
                </c:pt>
                <c:pt idx="382">
                  <c:v>1.8423609614861189</c:v>
                </c:pt>
                <c:pt idx="383">
                  <c:v>1.809603994043977</c:v>
                </c:pt>
                <c:pt idx="384">
                  <c:v>1.7975316560322245</c:v>
                </c:pt>
                <c:pt idx="385">
                  <c:v>1.7796398759882355</c:v>
                </c:pt>
                <c:pt idx="386">
                  <c:v>1.7788073354996734</c:v>
                </c:pt>
                <c:pt idx="387">
                  <c:v>1.7682717707553446</c:v>
                </c:pt>
                <c:pt idx="388">
                  <c:v>1.7557017486972528</c:v>
                </c:pt>
                <c:pt idx="389">
                  <c:v>1.7512483578066045</c:v>
                </c:pt>
                <c:pt idx="390">
                  <c:v>1.7412360063549241</c:v>
                </c:pt>
                <c:pt idx="391">
                  <c:v>1.7280290825340858</c:v>
                </c:pt>
                <c:pt idx="392">
                  <c:v>1.7207104937969375</c:v>
                </c:pt>
                <c:pt idx="393">
                  <c:v>1.7155806995295693</c:v>
                </c:pt>
                <c:pt idx="394">
                  <c:v>1.7181523369904053</c:v>
                </c:pt>
                <c:pt idx="395">
                  <c:v>1.7163734521371163</c:v>
                </c:pt>
                <c:pt idx="396">
                  <c:v>1.7200812708198483</c:v>
                </c:pt>
                <c:pt idx="397">
                  <c:v>1.7377024812939679</c:v>
                </c:pt>
                <c:pt idx="398">
                  <c:v>1.7331939152563107</c:v>
                </c:pt>
                <c:pt idx="399">
                  <c:v>1.7320513572244354</c:v>
                </c:pt>
                <c:pt idx="400">
                  <c:v>1.7419908078355175</c:v>
                </c:pt>
                <c:pt idx="401">
                  <c:v>1.7800195444787232</c:v>
                </c:pt>
                <c:pt idx="402">
                  <c:v>1.8082023836975378</c:v>
                </c:pt>
                <c:pt idx="403">
                  <c:v>1.8339030968546881</c:v>
                </c:pt>
                <c:pt idx="404">
                  <c:v>1.8512522211048699</c:v>
                </c:pt>
                <c:pt idx="405">
                  <c:v>1.8623425519578436</c:v>
                </c:pt>
                <c:pt idx="406">
                  <c:v>1.8811618935777172</c:v>
                </c:pt>
                <c:pt idx="407">
                  <c:v>1.896199900002133</c:v>
                </c:pt>
                <c:pt idx="408">
                  <c:v>1.8963241870240035</c:v>
                </c:pt>
                <c:pt idx="409">
                  <c:v>1.8966487677972046</c:v>
                </c:pt>
                <c:pt idx="410">
                  <c:v>1.8964837750972166</c:v>
                </c:pt>
                <c:pt idx="411">
                  <c:v>1.8959144235968206</c:v>
                </c:pt>
                <c:pt idx="412">
                  <c:v>1.8890111013795079</c:v>
                </c:pt>
                <c:pt idx="413">
                  <c:v>1.890426603860401</c:v>
                </c:pt>
                <c:pt idx="414">
                  <c:v>1.8745090416595751</c:v>
                </c:pt>
                <c:pt idx="415">
                  <c:v>1.8330743688311095</c:v>
                </c:pt>
                <c:pt idx="416">
                  <c:v>1.8330709209041216</c:v>
                </c:pt>
                <c:pt idx="417">
                  <c:v>1.8357193706337533</c:v>
                </c:pt>
                <c:pt idx="418">
                  <c:v>1.8802729125441298</c:v>
                </c:pt>
                <c:pt idx="419">
                  <c:v>1.9616122949784738</c:v>
                </c:pt>
                <c:pt idx="420">
                  <c:v>2.0124953759276627</c:v>
                </c:pt>
                <c:pt idx="421">
                  <c:v>2.0673880452346665</c:v>
                </c:pt>
                <c:pt idx="422">
                  <c:v>2.1085800886820318</c:v>
                </c:pt>
                <c:pt idx="423">
                  <c:v>2.1468512875597674</c:v>
                </c:pt>
                <c:pt idx="424">
                  <c:v>2.1607751176363656</c:v>
                </c:pt>
                <c:pt idx="425">
                  <c:v>2.1625442622356683</c:v>
                </c:pt>
                <c:pt idx="426">
                  <c:v>2.1636482492453104</c:v>
                </c:pt>
                <c:pt idx="427">
                  <c:v>2.163932412446278</c:v>
                </c:pt>
                <c:pt idx="428">
                  <c:v>2.1694745014337196</c:v>
                </c:pt>
                <c:pt idx="429">
                  <c:v>2.1730811921912223</c:v>
                </c:pt>
                <c:pt idx="430">
                  <c:v>2.1753436570589129</c:v>
                </c:pt>
                <c:pt idx="431">
                  <c:v>2.1723577673553991</c:v>
                </c:pt>
                <c:pt idx="432">
                  <c:v>2.1596734224295857</c:v>
                </c:pt>
                <c:pt idx="433">
                  <c:v>2.1481481161561828</c:v>
                </c:pt>
                <c:pt idx="434">
                  <c:v>2.1399225366679828</c:v>
                </c:pt>
                <c:pt idx="435">
                  <c:v>2.1323275571796554</c:v>
                </c:pt>
                <c:pt idx="436">
                  <c:v>2.1169178400098398</c:v>
                </c:pt>
                <c:pt idx="437">
                  <c:v>2.0908912234793782</c:v>
                </c:pt>
                <c:pt idx="438">
                  <c:v>2.0683282067917474</c:v>
                </c:pt>
                <c:pt idx="439">
                  <c:v>2.0660077996962274</c:v>
                </c:pt>
                <c:pt idx="440">
                  <c:v>2.0683891336170608</c:v>
                </c:pt>
                <c:pt idx="441">
                  <c:v>2.0867353171077148</c:v>
                </c:pt>
                <c:pt idx="442">
                  <c:v>2.0866630168925138</c:v>
                </c:pt>
                <c:pt idx="443">
                  <c:v>2.0600918891048248</c:v>
                </c:pt>
                <c:pt idx="444">
                  <c:v>2.0220192357019329</c:v>
                </c:pt>
                <c:pt idx="445">
                  <c:v>2.0047576830353582</c:v>
                </c:pt>
                <c:pt idx="446">
                  <c:v>1.9679711131997117</c:v>
                </c:pt>
                <c:pt idx="447">
                  <c:v>1.9525717617961487</c:v>
                </c:pt>
                <c:pt idx="448">
                  <c:v>1.9489486156455194</c:v>
                </c:pt>
                <c:pt idx="449">
                  <c:v>1.9817601459421714</c:v>
                </c:pt>
                <c:pt idx="450">
                  <c:v>2.0198789649755109</c:v>
                </c:pt>
                <c:pt idx="451">
                  <c:v>2.028961709324502</c:v>
                </c:pt>
                <c:pt idx="452">
                  <c:v>2.0390831159731895</c:v>
                </c:pt>
                <c:pt idx="453">
                  <c:v>2.0577103660500007</c:v>
                </c:pt>
                <c:pt idx="454">
                  <c:v>2.0791277092234295</c:v>
                </c:pt>
                <c:pt idx="455">
                  <c:v>2.0846740898799228</c:v>
                </c:pt>
                <c:pt idx="456">
                  <c:v>2.0753911339284339</c:v>
                </c:pt>
                <c:pt idx="457">
                  <c:v>2.060488071672494</c:v>
                </c:pt>
                <c:pt idx="458">
                  <c:v>2.0380506215185914</c:v>
                </c:pt>
                <c:pt idx="459">
                  <c:v>2.0360418902126809</c:v>
                </c:pt>
                <c:pt idx="460">
                  <c:v>2.0378935669270049</c:v>
                </c:pt>
                <c:pt idx="461">
                  <c:v>2.0344304030977316</c:v>
                </c:pt>
                <c:pt idx="462">
                  <c:v>2.0341713163428294</c:v>
                </c:pt>
                <c:pt idx="463">
                  <c:v>2.0232356575889194</c:v>
                </c:pt>
                <c:pt idx="464">
                  <c:v>2.0385283925317061</c:v>
                </c:pt>
                <c:pt idx="465">
                  <c:v>2.0745699165411362</c:v>
                </c:pt>
                <c:pt idx="466">
                  <c:v>2.0985706500941874</c:v>
                </c:pt>
                <c:pt idx="467">
                  <c:v>2.1049016418928752</c:v>
                </c:pt>
                <c:pt idx="468">
                  <c:v>2.1126757187457819</c:v>
                </c:pt>
                <c:pt idx="469">
                  <c:v>2.1282800668094706</c:v>
                </c:pt>
                <c:pt idx="470">
                  <c:v>2.1343907321972631</c:v>
                </c:pt>
                <c:pt idx="471">
                  <c:v>2.1338024060526215</c:v>
                </c:pt>
                <c:pt idx="472">
                  <c:v>2.1249389174615412</c:v>
                </c:pt>
                <c:pt idx="473">
                  <c:v>2.1211622389345206</c:v>
                </c:pt>
                <c:pt idx="474">
                  <c:v>2.1207734765218764</c:v>
                </c:pt>
                <c:pt idx="475">
                  <c:v>2.1201853786350013</c:v>
                </c:pt>
                <c:pt idx="476">
                  <c:v>2.115268540595149</c:v>
                </c:pt>
                <c:pt idx="477">
                  <c:v>2.1151078155099312</c:v>
                </c:pt>
                <c:pt idx="478">
                  <c:v>2.114064586647403</c:v>
                </c:pt>
                <c:pt idx="479">
                  <c:v>2.1107905348824882</c:v>
                </c:pt>
                <c:pt idx="480">
                  <c:v>2.0876522731914631</c:v>
                </c:pt>
                <c:pt idx="481">
                  <c:v>2.0521848610388487</c:v>
                </c:pt>
                <c:pt idx="482">
                  <c:v>2.053308947134417</c:v>
                </c:pt>
                <c:pt idx="483">
                  <c:v>2.0465788373693261</c:v>
                </c:pt>
                <c:pt idx="484">
                  <c:v>2.0547614126322147</c:v>
                </c:pt>
                <c:pt idx="485">
                  <c:v>2.0516166002354077</c:v>
                </c:pt>
                <c:pt idx="486">
                  <c:v>2.0469048141325707</c:v>
                </c:pt>
                <c:pt idx="487">
                  <c:v>2.0917450152581742</c:v>
                </c:pt>
                <c:pt idx="488">
                  <c:v>2.1242265708646992</c:v>
                </c:pt>
                <c:pt idx="489">
                  <c:v>2.1467458443815177</c:v>
                </c:pt>
                <c:pt idx="490">
                  <c:v>2.1508077418869638</c:v>
                </c:pt>
                <c:pt idx="491">
                  <c:v>2.1700090863452628</c:v>
                </c:pt>
                <c:pt idx="492">
                  <c:v>2.1916748517662059</c:v>
                </c:pt>
                <c:pt idx="493">
                  <c:v>2.2275002790268172</c:v>
                </c:pt>
                <c:pt idx="494">
                  <c:v>2.2510616876580212</c:v>
                </c:pt>
                <c:pt idx="495">
                  <c:v>2.2753611196477137</c:v>
                </c:pt>
                <c:pt idx="496">
                  <c:v>2.2871852849269669</c:v>
                </c:pt>
                <c:pt idx="497">
                  <c:v>2.2852258822513969</c:v>
                </c:pt>
                <c:pt idx="498">
                  <c:v>2.2885787131380644</c:v>
                </c:pt>
                <c:pt idx="499">
                  <c:v>2.280502298013706</c:v>
                </c:pt>
                <c:pt idx="500">
                  <c:v>2.2803562632483456</c:v>
                </c:pt>
                <c:pt idx="501">
                  <c:v>2.2848622584353553</c:v>
                </c:pt>
                <c:pt idx="502">
                  <c:v>2.289453290947935</c:v>
                </c:pt>
                <c:pt idx="503">
                  <c:v>2.2810551079898116</c:v>
                </c:pt>
                <c:pt idx="504">
                  <c:v>2.2730203379221825</c:v>
                </c:pt>
                <c:pt idx="505">
                  <c:v>2.2670385180906329</c:v>
                </c:pt>
                <c:pt idx="506">
                  <c:v>2.2558169455366643</c:v>
                </c:pt>
                <c:pt idx="507">
                  <c:v>2.2344637030010226</c:v>
                </c:pt>
                <c:pt idx="508">
                  <c:v>2.2174108014831795</c:v>
                </c:pt>
                <c:pt idx="509">
                  <c:v>2.1978179099194906</c:v>
                </c:pt>
                <c:pt idx="510">
                  <c:v>2.1615688883888815</c:v>
                </c:pt>
                <c:pt idx="511">
                  <c:v>2.114139436519471</c:v>
                </c:pt>
                <c:pt idx="512">
                  <c:v>2.0730630318231329</c:v>
                </c:pt>
                <c:pt idx="513">
                  <c:v>2.0580044620158366</c:v>
                </c:pt>
                <c:pt idx="514">
                  <c:v>2.0323104361748725</c:v>
                </c:pt>
                <c:pt idx="515">
                  <c:v>2.0282278937723048</c:v>
                </c:pt>
                <c:pt idx="516">
                  <c:v>2.0370017206307667</c:v>
                </c:pt>
                <c:pt idx="517">
                  <c:v>2.0589317415064952</c:v>
                </c:pt>
                <c:pt idx="518">
                  <c:v>2.099763958183122</c:v>
                </c:pt>
                <c:pt idx="519">
                  <c:v>2.1168073346994958</c:v>
                </c:pt>
                <c:pt idx="520">
                  <c:v>2.1521758082186837</c:v>
                </c:pt>
                <c:pt idx="521">
                  <c:v>2.1554656277207775</c:v>
                </c:pt>
                <c:pt idx="522">
                  <c:v>2.1614139871361484</c:v>
                </c:pt>
                <c:pt idx="523">
                  <c:v>2.1674414105853015</c:v>
                </c:pt>
                <c:pt idx="524">
                  <c:v>2.1754448596517433</c:v>
                </c:pt>
                <c:pt idx="525">
                  <c:v>2.1752692800194273</c:v>
                </c:pt>
                <c:pt idx="526">
                  <c:v>2.1760044473488112</c:v>
                </c:pt>
                <c:pt idx="527">
                  <c:v>2.1808915314029615</c:v>
                </c:pt>
                <c:pt idx="528">
                  <c:v>2.1836844785563825</c:v>
                </c:pt>
                <c:pt idx="529">
                  <c:v>2.1890096682673366</c:v>
                </c:pt>
                <c:pt idx="530">
                  <c:v>2.1846431703987834</c:v>
                </c:pt>
                <c:pt idx="531">
                  <c:v>2.1871617465255198</c:v>
                </c:pt>
                <c:pt idx="532">
                  <c:v>2.1887404709313447</c:v>
                </c:pt>
                <c:pt idx="533">
                  <c:v>2.1887270484868977</c:v>
                </c:pt>
                <c:pt idx="534">
                  <c:v>2.187955905043617</c:v>
                </c:pt>
                <c:pt idx="535">
                  <c:v>2.1888974547136759</c:v>
                </c:pt>
                <c:pt idx="536">
                  <c:v>2.1901698064990676</c:v>
                </c:pt>
                <c:pt idx="537">
                  <c:v>2.1865291437878263</c:v>
                </c:pt>
                <c:pt idx="538">
                  <c:v>2.1686256673026727</c:v>
                </c:pt>
                <c:pt idx="539">
                  <c:v>2.1482228616986609</c:v>
                </c:pt>
                <c:pt idx="540">
                  <c:v>2.1303941031492495</c:v>
                </c:pt>
                <c:pt idx="541">
                  <c:v>2.0925118890968832</c:v>
                </c:pt>
                <c:pt idx="542">
                  <c:v>2.0677449088333666</c:v>
                </c:pt>
                <c:pt idx="543">
                  <c:v>2.0406999067374869</c:v>
                </c:pt>
                <c:pt idx="544">
                  <c:v>1.9861610577845861</c:v>
                </c:pt>
                <c:pt idx="545">
                  <c:v>1.9379652242869172</c:v>
                </c:pt>
                <c:pt idx="546">
                  <c:v>1.9138625792722344</c:v>
                </c:pt>
                <c:pt idx="547">
                  <c:v>1.9423028254918242</c:v>
                </c:pt>
                <c:pt idx="548">
                  <c:v>1.9753176592251027</c:v>
                </c:pt>
                <c:pt idx="549">
                  <c:v>2.0152424599107737</c:v>
                </c:pt>
                <c:pt idx="550">
                  <c:v>2.0472999210251159</c:v>
                </c:pt>
                <c:pt idx="551">
                  <c:v>2.0439313948909303</c:v>
                </c:pt>
                <c:pt idx="552">
                  <c:v>2.0517283327631266</c:v>
                </c:pt>
                <c:pt idx="553">
                  <c:v>2.0696898390400009</c:v>
                </c:pt>
                <c:pt idx="554">
                  <c:v>2.0794629671310654</c:v>
                </c:pt>
                <c:pt idx="555">
                  <c:v>2.0889911154867047</c:v>
                </c:pt>
                <c:pt idx="556">
                  <c:v>2.102176547880108</c:v>
                </c:pt>
                <c:pt idx="557">
                  <c:v>2.1275183291516249</c:v>
                </c:pt>
                <c:pt idx="558">
                  <c:v>2.1412104751199443</c:v>
                </c:pt>
                <c:pt idx="559">
                  <c:v>2.1631573445053753</c:v>
                </c:pt>
                <c:pt idx="560">
                  <c:v>2.1777229252905159</c:v>
                </c:pt>
                <c:pt idx="561">
                  <c:v>2.1927746100131458</c:v>
                </c:pt>
                <c:pt idx="562">
                  <c:v>2.1990948710003417</c:v>
                </c:pt>
                <c:pt idx="563">
                  <c:v>2.2045790295576366</c:v>
                </c:pt>
                <c:pt idx="564">
                  <c:v>2.2066010747883942</c:v>
                </c:pt>
                <c:pt idx="565">
                  <c:v>2.2007719364652258</c:v>
                </c:pt>
                <c:pt idx="566">
                  <c:v>2.1882318847180824</c:v>
                </c:pt>
                <c:pt idx="567">
                  <c:v>2.1681164635868009</c:v>
                </c:pt>
                <c:pt idx="568">
                  <c:v>2.1430382590970996</c:v>
                </c:pt>
                <c:pt idx="569">
                  <c:v>2.105146217215708</c:v>
                </c:pt>
                <c:pt idx="570">
                  <c:v>2.0801122544114925</c:v>
                </c:pt>
                <c:pt idx="571">
                  <c:v>2.0464673966052302</c:v>
                </c:pt>
                <c:pt idx="572">
                  <c:v>2.0428626601117883</c:v>
                </c:pt>
                <c:pt idx="573">
                  <c:v>2.0416162576403245</c:v>
                </c:pt>
                <c:pt idx="574">
                  <c:v>2.0547055381639314</c:v>
                </c:pt>
                <c:pt idx="575">
                  <c:v>2.0649803768270845</c:v>
                </c:pt>
                <c:pt idx="576">
                  <c:v>2.0630540556064103</c:v>
                </c:pt>
                <c:pt idx="577">
                  <c:v>2.0489545681434755</c:v>
                </c:pt>
                <c:pt idx="578">
                  <c:v>2.0453416885928233</c:v>
                </c:pt>
                <c:pt idx="579">
                  <c:v>2.0441021318057873</c:v>
                </c:pt>
                <c:pt idx="580">
                  <c:v>2.0627085113589159</c:v>
                </c:pt>
                <c:pt idx="581">
                  <c:v>2.0765996600146091</c:v>
                </c:pt>
                <c:pt idx="582">
                  <c:v>2.0961373724594479</c:v>
                </c:pt>
                <c:pt idx="583">
                  <c:v>2.116411146446096</c:v>
                </c:pt>
                <c:pt idx="584">
                  <c:v>2.1291515673769634</c:v>
                </c:pt>
                <c:pt idx="585">
                  <c:v>2.1463679178198332</c:v>
                </c:pt>
                <c:pt idx="586">
                  <c:v>2.1712353383743088</c:v>
                </c:pt>
                <c:pt idx="587">
                  <c:v>2.1971565506263113</c:v>
                </c:pt>
                <c:pt idx="588">
                  <c:v>2.2227335130993064</c:v>
                </c:pt>
                <c:pt idx="589">
                  <c:v>2.2479122501987359</c:v>
                </c:pt>
                <c:pt idx="590">
                  <c:v>2.2601750646019476</c:v>
                </c:pt>
                <c:pt idx="591">
                  <c:v>2.2553975807574358</c:v>
                </c:pt>
                <c:pt idx="592">
                  <c:v>2.2542090689238417</c:v>
                </c:pt>
                <c:pt idx="593">
                  <c:v>2.259251371139452</c:v>
                </c:pt>
                <c:pt idx="594">
                  <c:v>2.2446179372049806</c:v>
                </c:pt>
                <c:pt idx="595">
                  <c:v>2.2236672843170724</c:v>
                </c:pt>
                <c:pt idx="596">
                  <c:v>2.2119653634542713</c:v>
                </c:pt>
                <c:pt idx="597">
                  <c:v>2.201128735744776</c:v>
                </c:pt>
                <c:pt idx="598">
                  <c:v>2.1954973626235899</c:v>
                </c:pt>
                <c:pt idx="599">
                  <c:v>2.1769977451094826</c:v>
                </c:pt>
                <c:pt idx="600">
                  <c:v>2.1805728291208957</c:v>
                </c:pt>
                <c:pt idx="601">
                  <c:v>2.1852129210440028</c:v>
                </c:pt>
                <c:pt idx="602">
                  <c:v>2.1814652086895152</c:v>
                </c:pt>
                <c:pt idx="603">
                  <c:v>2.1877492074094671</c:v>
                </c:pt>
                <c:pt idx="604">
                  <c:v>2.1815582979732691</c:v>
                </c:pt>
                <c:pt idx="605">
                  <c:v>2.1760977647668924</c:v>
                </c:pt>
                <c:pt idx="606">
                  <c:v>2.1721138359389971</c:v>
                </c:pt>
                <c:pt idx="607">
                  <c:v>2.1599449355807385</c:v>
                </c:pt>
                <c:pt idx="608">
                  <c:v>2.1375459464361399</c:v>
                </c:pt>
                <c:pt idx="609">
                  <c:v>2.0964357110599154</c:v>
                </c:pt>
                <c:pt idx="610">
                  <c:v>2.0318652325002251</c:v>
                </c:pt>
                <c:pt idx="611">
                  <c:v>2.0125098971132696</c:v>
                </c:pt>
                <c:pt idx="612">
                  <c:v>1.9833315795302204</c:v>
                </c:pt>
                <c:pt idx="613">
                  <c:v>1.9832545211895249</c:v>
                </c:pt>
                <c:pt idx="614">
                  <c:v>1.9829538003261349</c:v>
                </c:pt>
                <c:pt idx="615">
                  <c:v>1.9725443254209123</c:v>
                </c:pt>
                <c:pt idx="616">
                  <c:v>1.959094182797614</c:v>
                </c:pt>
                <c:pt idx="617">
                  <c:v>1.9549049447764102</c:v>
                </c:pt>
                <c:pt idx="618">
                  <c:v>1.9558840568565239</c:v>
                </c:pt>
                <c:pt idx="619">
                  <c:v>1.961469427352351</c:v>
                </c:pt>
                <c:pt idx="620">
                  <c:v>1.9660416968097942</c:v>
                </c:pt>
                <c:pt idx="621">
                  <c:v>1.9606478451627209</c:v>
                </c:pt>
                <c:pt idx="622">
                  <c:v>1.9979793285870069</c:v>
                </c:pt>
                <c:pt idx="623">
                  <c:v>2.0310547889531927</c:v>
                </c:pt>
                <c:pt idx="624">
                  <c:v>2.0376068994858776</c:v>
                </c:pt>
                <c:pt idx="625">
                  <c:v>2.0611404746693611</c:v>
                </c:pt>
                <c:pt idx="626">
                  <c:v>2.0780928046984917</c:v>
                </c:pt>
                <c:pt idx="627">
                  <c:v>2.0911172187616729</c:v>
                </c:pt>
                <c:pt idx="628">
                  <c:v>2.1045014012343191</c:v>
                </c:pt>
                <c:pt idx="629">
                  <c:v>2.1042852536868959</c:v>
                </c:pt>
                <c:pt idx="630">
                  <c:v>2.1046466227222425</c:v>
                </c:pt>
                <c:pt idx="631">
                  <c:v>2.0999497377209129</c:v>
                </c:pt>
                <c:pt idx="632">
                  <c:v>2.0864184017773364</c:v>
                </c:pt>
                <c:pt idx="633">
                  <c:v>2.0780488190906881</c:v>
                </c:pt>
                <c:pt idx="634">
                  <c:v>2.0435698473843762</c:v>
                </c:pt>
                <c:pt idx="635">
                  <c:v>2.0477333647184093</c:v>
                </c:pt>
                <c:pt idx="636">
                  <c:v>2.0541052465851499</c:v>
                </c:pt>
                <c:pt idx="637">
                  <c:v>2.0497261779968858</c:v>
                </c:pt>
                <c:pt idx="638">
                  <c:v>2.0207446628351899</c:v>
                </c:pt>
                <c:pt idx="639">
                  <c:v>2.0040809750447095</c:v>
                </c:pt>
                <c:pt idx="640">
                  <c:v>1.9938058883266045</c:v>
                </c:pt>
                <c:pt idx="641">
                  <c:v>1.9920453531410507</c:v>
                </c:pt>
                <c:pt idx="642">
                  <c:v>1.9853325647874349</c:v>
                </c:pt>
                <c:pt idx="643">
                  <c:v>1.9763546394455846</c:v>
                </c:pt>
                <c:pt idx="644">
                  <c:v>1.9808533651044089</c:v>
                </c:pt>
                <c:pt idx="645">
                  <c:v>1.9797049198453329</c:v>
                </c:pt>
                <c:pt idx="646">
                  <c:v>1.9756155262892869</c:v>
                </c:pt>
                <c:pt idx="647">
                  <c:v>1.9545107467142877</c:v>
                </c:pt>
                <c:pt idx="648">
                  <c:v>1.9219998723984917</c:v>
                </c:pt>
                <c:pt idx="649">
                  <c:v>1.905631428187458</c:v>
                </c:pt>
                <c:pt idx="650">
                  <c:v>1.8879908941094306</c:v>
                </c:pt>
                <c:pt idx="651">
                  <c:v>1.889698858505183</c:v>
                </c:pt>
                <c:pt idx="652">
                  <c:v>1.8511115201897437</c:v>
                </c:pt>
                <c:pt idx="653">
                  <c:v>1.8717194534847756</c:v>
                </c:pt>
                <c:pt idx="654">
                  <c:v>1.9016256620418832</c:v>
                </c:pt>
                <c:pt idx="655">
                  <c:v>1.9109721261648434</c:v>
                </c:pt>
                <c:pt idx="656">
                  <c:v>1.9184237586577293</c:v>
                </c:pt>
                <c:pt idx="657">
                  <c:v>1.9299534523027666</c:v>
                </c:pt>
                <c:pt idx="658">
                  <c:v>1.9355174178984353</c:v>
                </c:pt>
                <c:pt idx="659">
                  <c:v>1.947100038168925</c:v>
                </c:pt>
                <c:pt idx="660">
                  <c:v>1.9471903266758976</c:v>
                </c:pt>
                <c:pt idx="661">
                  <c:v>1.9417265535757453</c:v>
                </c:pt>
                <c:pt idx="662">
                  <c:v>1.9303417871761084</c:v>
                </c:pt>
                <c:pt idx="663">
                  <c:v>1.9210559890498664</c:v>
                </c:pt>
                <c:pt idx="664">
                  <c:v>1.9233534763750464</c:v>
                </c:pt>
                <c:pt idx="665">
                  <c:v>1.9285347562052995</c:v>
                </c:pt>
                <c:pt idx="666">
                  <c:v>1.9063766126084107</c:v>
                </c:pt>
                <c:pt idx="667">
                  <c:v>1.8747646941754759</c:v>
                </c:pt>
                <c:pt idx="668">
                  <c:v>1.8371570736948972</c:v>
                </c:pt>
                <c:pt idx="669">
                  <c:v>1.8305415809525925</c:v>
                </c:pt>
                <c:pt idx="670">
                  <c:v>1.8484494290479947</c:v>
                </c:pt>
                <c:pt idx="671">
                  <c:v>1.8642302126006658</c:v>
                </c:pt>
                <c:pt idx="672">
                  <c:v>1.8752953207275704</c:v>
                </c:pt>
                <c:pt idx="673">
                  <c:v>1.9009738107296119</c:v>
                </c:pt>
                <c:pt idx="674">
                  <c:v>1.9206962647917538</c:v>
                </c:pt>
                <c:pt idx="675">
                  <c:v>1.9203026049556089</c:v>
                </c:pt>
                <c:pt idx="676">
                  <c:v>1.9391226570386486</c:v>
                </c:pt>
                <c:pt idx="677">
                  <c:v>1.9721959545954932</c:v>
                </c:pt>
                <c:pt idx="678">
                  <c:v>2.0129160065633318</c:v>
                </c:pt>
                <c:pt idx="679">
                  <c:v>2.0277580854565489</c:v>
                </c:pt>
                <c:pt idx="680">
                  <c:v>2.0333830392627714</c:v>
                </c:pt>
                <c:pt idx="681">
                  <c:v>2.0535374252613767</c:v>
                </c:pt>
                <c:pt idx="682">
                  <c:v>2.0538921398183949</c:v>
                </c:pt>
                <c:pt idx="683">
                  <c:v>2.0501211735774532</c:v>
                </c:pt>
                <c:pt idx="684">
                  <c:v>2.0424976197467943</c:v>
                </c:pt>
                <c:pt idx="685">
                  <c:v>2.0275961010620964</c:v>
                </c:pt>
                <c:pt idx="686">
                  <c:v>2.0228745215179917</c:v>
                </c:pt>
                <c:pt idx="687">
                  <c:v>2.0141761649882035</c:v>
                </c:pt>
                <c:pt idx="688">
                  <c:v>1.9892105788362384</c:v>
                </c:pt>
                <c:pt idx="689">
                  <c:v>1.965795085660498</c:v>
                </c:pt>
                <c:pt idx="690">
                  <c:v>1.9185993340356997</c:v>
                </c:pt>
                <c:pt idx="691">
                  <c:v>1.8979002131376981</c:v>
                </c:pt>
                <c:pt idx="692">
                  <c:v>1.8705657187087228</c:v>
                </c:pt>
                <c:pt idx="693">
                  <c:v>1.8564806324379535</c:v>
                </c:pt>
                <c:pt idx="694">
                  <c:v>1.8538833094444098</c:v>
                </c:pt>
                <c:pt idx="695">
                  <c:v>1.8565341649756371</c:v>
                </c:pt>
                <c:pt idx="696">
                  <c:v>1.8660329791016275</c:v>
                </c:pt>
                <c:pt idx="697">
                  <c:v>1.867605832722725</c:v>
                </c:pt>
                <c:pt idx="698">
                  <c:v>1.8474852901494785</c:v>
                </c:pt>
                <c:pt idx="699">
                  <c:v>1.8098227633527504</c:v>
                </c:pt>
                <c:pt idx="700">
                  <c:v>1.8061575884025611</c:v>
                </c:pt>
                <c:pt idx="701">
                  <c:v>1.8110362368570887</c:v>
                </c:pt>
                <c:pt idx="702">
                  <c:v>1.838317638253661</c:v>
                </c:pt>
                <c:pt idx="703">
                  <c:v>1.8844788682710314</c:v>
                </c:pt>
                <c:pt idx="704">
                  <c:v>1.9235830988809619</c:v>
                </c:pt>
                <c:pt idx="705">
                  <c:v>1.9367947118180247</c:v>
                </c:pt>
                <c:pt idx="706">
                  <c:v>1.9550648991448183</c:v>
                </c:pt>
                <c:pt idx="707">
                  <c:v>1.9577179988048985</c:v>
                </c:pt>
                <c:pt idx="708">
                  <c:v>1.960693898896791</c:v>
                </c:pt>
                <c:pt idx="709">
                  <c:v>1.9423152347941253</c:v>
                </c:pt>
                <c:pt idx="710">
                  <c:v>1.928235222445561</c:v>
                </c:pt>
                <c:pt idx="711">
                  <c:v>1.92302854764471</c:v>
                </c:pt>
                <c:pt idx="712">
                  <c:v>1.8985866495193513</c:v>
                </c:pt>
                <c:pt idx="713">
                  <c:v>1.8823446746636934</c:v>
                </c:pt>
                <c:pt idx="714">
                  <c:v>1.8729250285360008</c:v>
                </c:pt>
                <c:pt idx="715">
                  <c:v>1.8600296337601154</c:v>
                </c:pt>
                <c:pt idx="716">
                  <c:v>1.829610787640134</c:v>
                </c:pt>
                <c:pt idx="717">
                  <c:v>1.7983367579494085</c:v>
                </c:pt>
                <c:pt idx="718">
                  <c:v>1.7772235173459601</c:v>
                </c:pt>
                <c:pt idx="719">
                  <c:v>1.7935522435005029</c:v>
                </c:pt>
                <c:pt idx="720">
                  <c:v>1.8018697083172841</c:v>
                </c:pt>
                <c:pt idx="721">
                  <c:v>1.8207906095700863</c:v>
                </c:pt>
                <c:pt idx="722">
                  <c:v>1.8422005285824765</c:v>
                </c:pt>
                <c:pt idx="723">
                  <c:v>1.8612570135275719</c:v>
                </c:pt>
                <c:pt idx="724">
                  <c:v>1.8775833327650211</c:v>
                </c:pt>
                <c:pt idx="725">
                  <c:v>1.8880210283361132</c:v>
                </c:pt>
                <c:pt idx="726">
                  <c:v>1.9100302110557332</c:v>
                </c:pt>
                <c:pt idx="727">
                  <c:v>1.9240058576607724</c:v>
                </c:pt>
                <c:pt idx="728">
                  <c:v>1.9410989000775669</c:v>
                </c:pt>
                <c:pt idx="729">
                  <c:v>1.9569720650957814</c:v>
                </c:pt>
                <c:pt idx="730">
                  <c:v>1.970970108721019</c:v>
                </c:pt>
                <c:pt idx="731">
                  <c:v>1.9782810385775769</c:v>
                </c:pt>
                <c:pt idx="732">
                  <c:v>1.9852800831905451</c:v>
                </c:pt>
                <c:pt idx="733">
                  <c:v>1.9824978661559345</c:v>
                </c:pt>
                <c:pt idx="734">
                  <c:v>1.956644896905271</c:v>
                </c:pt>
                <c:pt idx="735">
                  <c:v>1.9218905330178835</c:v>
                </c:pt>
                <c:pt idx="736">
                  <c:v>1.9089160935410803</c:v>
                </c:pt>
                <c:pt idx="737">
                  <c:v>1.8880645071705779</c:v>
                </c:pt>
                <c:pt idx="738">
                  <c:v>1.8840991638672677</c:v>
                </c:pt>
                <c:pt idx="739">
                  <c:v>1.8524998068244831</c:v>
                </c:pt>
                <c:pt idx="740">
                  <c:v>1.8267554983180732</c:v>
                </c:pt>
                <c:pt idx="741">
                  <c:v>1.8164536412233658</c:v>
                </c:pt>
                <c:pt idx="742">
                  <c:v>1.7773737995401289</c:v>
                </c:pt>
                <c:pt idx="743">
                  <c:v>1.7328028286733186</c:v>
                </c:pt>
                <c:pt idx="744">
                  <c:v>1.6868738070274185</c:v>
                </c:pt>
                <c:pt idx="745">
                  <c:v>1.6324750624676614</c:v>
                </c:pt>
                <c:pt idx="746">
                  <c:v>1.5391972206559756</c:v>
                </c:pt>
                <c:pt idx="747">
                  <c:v>1.4863774771176896</c:v>
                </c:pt>
                <c:pt idx="748">
                  <c:v>1.4489649829959572</c:v>
                </c:pt>
                <c:pt idx="749">
                  <c:v>1.448836338916988</c:v>
                </c:pt>
                <c:pt idx="750">
                  <c:v>1.4601818219696971</c:v>
                </c:pt>
                <c:pt idx="751">
                  <c:v>1.4973698346536217</c:v>
                </c:pt>
                <c:pt idx="752">
                  <c:v>1.5158354183052201</c:v>
                </c:pt>
                <c:pt idx="753">
                  <c:v>1.5354299573829269</c:v>
                </c:pt>
                <c:pt idx="754">
                  <c:v>1.5330251623544082</c:v>
                </c:pt>
                <c:pt idx="755">
                  <c:v>1.5313925758974105</c:v>
                </c:pt>
                <c:pt idx="756">
                  <c:v>1.5218428130102419</c:v>
                </c:pt>
                <c:pt idx="757">
                  <c:v>1.5495073461762667</c:v>
                </c:pt>
                <c:pt idx="758">
                  <c:v>1.5731651092220682</c:v>
                </c:pt>
                <c:pt idx="759">
                  <c:v>1.5803049666196596</c:v>
                </c:pt>
                <c:pt idx="760">
                  <c:v>1.6080904282875328</c:v>
                </c:pt>
                <c:pt idx="761">
                  <c:v>1.6763518740173156</c:v>
                </c:pt>
                <c:pt idx="762">
                  <c:v>1.7190051907110995</c:v>
                </c:pt>
                <c:pt idx="763">
                  <c:v>1.7574664084529024</c:v>
                </c:pt>
                <c:pt idx="764">
                  <c:v>1.7806680368981922</c:v>
                </c:pt>
                <c:pt idx="765">
                  <c:v>1.7960593338762556</c:v>
                </c:pt>
                <c:pt idx="766">
                  <c:v>1.8010447344564293</c:v>
                </c:pt>
                <c:pt idx="767">
                  <c:v>1.8390820027762884</c:v>
                </c:pt>
                <c:pt idx="768">
                  <c:v>1.8834405341604927</c:v>
                </c:pt>
                <c:pt idx="769">
                  <c:v>1.9188409202741317</c:v>
                </c:pt>
                <c:pt idx="770">
                  <c:v>1.9599640739533595</c:v>
                </c:pt>
                <c:pt idx="771">
                  <c:v>1.980447642844112</c:v>
                </c:pt>
                <c:pt idx="772">
                  <c:v>1.9826271172179286</c:v>
                </c:pt>
                <c:pt idx="773">
                  <c:v>1.9899488569330741</c:v>
                </c:pt>
                <c:pt idx="774">
                  <c:v>1.9979506304739769</c:v>
                </c:pt>
                <c:pt idx="775">
                  <c:v>1.994324846693261</c:v>
                </c:pt>
                <c:pt idx="776">
                  <c:v>1.989207902916029</c:v>
                </c:pt>
                <c:pt idx="777">
                  <c:v>1.9876739776686125</c:v>
                </c:pt>
                <c:pt idx="778">
                  <c:v>1.9814736599055409</c:v>
                </c:pt>
                <c:pt idx="779">
                  <c:v>1.9779959829851981</c:v>
                </c:pt>
                <c:pt idx="780">
                  <c:v>1.9755544736110733</c:v>
                </c:pt>
                <c:pt idx="781">
                  <c:v>1.9811417321554845</c:v>
                </c:pt>
                <c:pt idx="782">
                  <c:v>1.9881057355743612</c:v>
                </c:pt>
                <c:pt idx="783">
                  <c:v>1.9849672924883945</c:v>
                </c:pt>
                <c:pt idx="784">
                  <c:v>1.9778984998232092</c:v>
                </c:pt>
                <c:pt idx="785">
                  <c:v>1.9571778337488206</c:v>
                </c:pt>
                <c:pt idx="786">
                  <c:v>1.9224404212753097</c:v>
                </c:pt>
                <c:pt idx="787">
                  <c:v>1.8994215454183252</c:v>
                </c:pt>
                <c:pt idx="788">
                  <c:v>1.9007359214356234</c:v>
                </c:pt>
                <c:pt idx="789">
                  <c:v>1.893940867586736</c:v>
                </c:pt>
                <c:pt idx="790">
                  <c:v>1.8737614933263551</c:v>
                </c:pt>
                <c:pt idx="791">
                  <c:v>1.8747321065345057</c:v>
                </c:pt>
                <c:pt idx="792">
                  <c:v>1.8931856320289968</c:v>
                </c:pt>
                <c:pt idx="793">
                  <c:v>1.8924395330363293</c:v>
                </c:pt>
                <c:pt idx="794">
                  <c:v>1.8902438021119403</c:v>
                </c:pt>
                <c:pt idx="795">
                  <c:v>1.8824493663538706</c:v>
                </c:pt>
                <c:pt idx="796">
                  <c:v>1.8818495532633113</c:v>
                </c:pt>
                <c:pt idx="797">
                  <c:v>1.8769232379456511</c:v>
                </c:pt>
                <c:pt idx="798">
                  <c:v>1.8721216991215601</c:v>
                </c:pt>
                <c:pt idx="799">
                  <c:v>1.8832027147834951</c:v>
                </c:pt>
                <c:pt idx="800">
                  <c:v>1.8930193341961259</c:v>
                </c:pt>
                <c:pt idx="801">
                  <c:v>1.9044528999426908</c:v>
                </c:pt>
                <c:pt idx="802">
                  <c:v>1.9021899742679498</c:v>
                </c:pt>
                <c:pt idx="803">
                  <c:v>1.8946830140314743</c:v>
                </c:pt>
                <c:pt idx="804">
                  <c:v>1.87967297941721</c:v>
                </c:pt>
                <c:pt idx="805">
                  <c:v>1.8685922281992517</c:v>
                </c:pt>
                <c:pt idx="806">
                  <c:v>1.8425169224602853</c:v>
                </c:pt>
                <c:pt idx="807">
                  <c:v>1.8011837103468351</c:v>
                </c:pt>
                <c:pt idx="808">
                  <c:v>1.7771104911667306</c:v>
                </c:pt>
                <c:pt idx="809">
                  <c:v>1.7487294153956836</c:v>
                </c:pt>
                <c:pt idx="810">
                  <c:v>1.7230238816758463</c:v>
                </c:pt>
                <c:pt idx="811">
                  <c:v>1.7266722525987162</c:v>
                </c:pt>
                <c:pt idx="812">
                  <c:v>1.7440875965229232</c:v>
                </c:pt>
                <c:pt idx="813">
                  <c:v>1.7736628973135695</c:v>
                </c:pt>
                <c:pt idx="814">
                  <c:v>1.7907820440456286</c:v>
                </c:pt>
                <c:pt idx="815">
                  <c:v>1.7904877455282895</c:v>
                </c:pt>
                <c:pt idx="816">
                  <c:v>1.7982789544527242</c:v>
                </c:pt>
                <c:pt idx="817">
                  <c:v>1.798954130715289</c:v>
                </c:pt>
                <c:pt idx="818">
                  <c:v>1.8216113612528222</c:v>
                </c:pt>
                <c:pt idx="819">
                  <c:v>1.8324988527917967</c:v>
                </c:pt>
                <c:pt idx="820">
                  <c:v>1.8366660555154446</c:v>
                </c:pt>
                <c:pt idx="821">
                  <c:v>1.834927411628525</c:v>
                </c:pt>
                <c:pt idx="822">
                  <c:v>1.8289667960610312</c:v>
                </c:pt>
                <c:pt idx="823">
                  <c:v>1.8194133868060567</c:v>
                </c:pt>
                <c:pt idx="824">
                  <c:v>1.8168072307052636</c:v>
                </c:pt>
                <c:pt idx="825">
                  <c:v>1.8123404477778178</c:v>
                </c:pt>
                <c:pt idx="826">
                  <c:v>1.8032890561179058</c:v>
                </c:pt>
                <c:pt idx="827">
                  <c:v>1.7897900309989752</c:v>
                </c:pt>
                <c:pt idx="828">
                  <c:v>1.7735098723797877</c:v>
                </c:pt>
                <c:pt idx="829">
                  <c:v>1.7650456932274643</c:v>
                </c:pt>
                <c:pt idx="830">
                  <c:v>1.7362718607760252</c:v>
                </c:pt>
                <c:pt idx="831">
                  <c:v>1.695916934881361</c:v>
                </c:pt>
                <c:pt idx="832">
                  <c:v>1.6606108020695944</c:v>
                </c:pt>
                <c:pt idx="833">
                  <c:v>1.6506180153161458</c:v>
                </c:pt>
                <c:pt idx="834">
                  <c:v>1.643454901593943</c:v>
                </c:pt>
                <c:pt idx="835">
                  <c:v>1.6421140593436849</c:v>
                </c:pt>
                <c:pt idx="836">
                  <c:v>1.6359551099599026</c:v>
                </c:pt>
                <c:pt idx="837">
                  <c:v>1.6751416420006662</c:v>
                </c:pt>
                <c:pt idx="838">
                  <c:v>1.7166520768690583</c:v>
                </c:pt>
                <c:pt idx="839">
                  <c:v>1.7396774075293977</c:v>
                </c:pt>
                <c:pt idx="840">
                  <c:v>1.790674045095888</c:v>
                </c:pt>
                <c:pt idx="841">
                  <c:v>1.8236686765186056</c:v>
                </c:pt>
                <c:pt idx="842">
                  <c:v>1.8455122317149095</c:v>
                </c:pt>
                <c:pt idx="843">
                  <c:v>1.867937293797324</c:v>
                </c:pt>
                <c:pt idx="844">
                  <c:v>1.8851304267639399</c:v>
                </c:pt>
                <c:pt idx="845">
                  <c:v>1.9193182828891275</c:v>
                </c:pt>
                <c:pt idx="846">
                  <c:v>1.9389563392371039</c:v>
                </c:pt>
                <c:pt idx="847">
                  <c:v>1.9571370146640807</c:v>
                </c:pt>
                <c:pt idx="848">
                  <c:v>1.9626098196956321</c:v>
                </c:pt>
                <c:pt idx="849">
                  <c:v>1.9652339910480818</c:v>
                </c:pt>
                <c:pt idx="850">
                  <c:v>1.9661386441636601</c:v>
                </c:pt>
                <c:pt idx="851">
                  <c:v>1.9649157171638465</c:v>
                </c:pt>
                <c:pt idx="852">
                  <c:v>1.9562127051486484</c:v>
                </c:pt>
                <c:pt idx="853">
                  <c:v>1.9436344924780178</c:v>
                </c:pt>
                <c:pt idx="854">
                  <c:v>1.9278325699000507</c:v>
                </c:pt>
                <c:pt idx="855">
                  <c:v>1.9071290592176389</c:v>
                </c:pt>
                <c:pt idx="856">
                  <c:v>1.89197615209585</c:v>
                </c:pt>
                <c:pt idx="857">
                  <c:v>1.8878912320976342</c:v>
                </c:pt>
                <c:pt idx="858">
                  <c:v>1.8972958315721236</c:v>
                </c:pt>
                <c:pt idx="859">
                  <c:v>1.9031002328066324</c:v>
                </c:pt>
                <c:pt idx="860">
                  <c:v>1.8883511656740599</c:v>
                </c:pt>
                <c:pt idx="861">
                  <c:v>1.8932971737088762</c:v>
                </c:pt>
                <c:pt idx="862">
                  <c:v>1.9079157758187195</c:v>
                </c:pt>
                <c:pt idx="863">
                  <c:v>1.90751562964392</c:v>
                </c:pt>
                <c:pt idx="864">
                  <c:v>1.9021956100753985</c:v>
                </c:pt>
                <c:pt idx="865">
                  <c:v>1.8828009169920186</c:v>
                </c:pt>
                <c:pt idx="866">
                  <c:v>1.852412407984056</c:v>
                </c:pt>
                <c:pt idx="867">
                  <c:v>1.8326296428623743</c:v>
                </c:pt>
                <c:pt idx="868">
                  <c:v>1.8382298663752117</c:v>
                </c:pt>
                <c:pt idx="869">
                  <c:v>1.8467024361095992</c:v>
                </c:pt>
                <c:pt idx="870">
                  <c:v>1.8554974344479647</c:v>
                </c:pt>
                <c:pt idx="871">
                  <c:v>1.8685191619688297</c:v>
                </c:pt>
                <c:pt idx="872">
                  <c:v>1.8731271550301887</c:v>
                </c:pt>
                <c:pt idx="873">
                  <c:v>1.8921329521321411</c:v>
                </c:pt>
                <c:pt idx="874">
                  <c:v>1.9077333703382489</c:v>
                </c:pt>
                <c:pt idx="875">
                  <c:v>1.9458475461792113</c:v>
                </c:pt>
                <c:pt idx="876">
                  <c:v>1.973572645282589</c:v>
                </c:pt>
                <c:pt idx="877">
                  <c:v>1.999654551823985</c:v>
                </c:pt>
                <c:pt idx="878">
                  <c:v>2.0213886525095131</c:v>
                </c:pt>
                <c:pt idx="879">
                  <c:v>2.0491190765514355</c:v>
                </c:pt>
                <c:pt idx="880">
                  <c:v>2.0705223284278511</c:v>
                </c:pt>
                <c:pt idx="881">
                  <c:v>2.0921888516958336</c:v>
                </c:pt>
                <c:pt idx="882">
                  <c:v>2.1110668988234051</c:v>
                </c:pt>
                <c:pt idx="883">
                  <c:v>2.1263255376992301</c:v>
                </c:pt>
                <c:pt idx="884">
                  <c:v>2.1397912507903563</c:v>
                </c:pt>
                <c:pt idx="885">
                  <c:v>2.1514989203359827</c:v>
                </c:pt>
                <c:pt idx="886">
                  <c:v>2.1639929847699517</c:v>
                </c:pt>
                <c:pt idx="887">
                  <c:v>2.176743132607954</c:v>
                </c:pt>
                <c:pt idx="888">
                  <c:v>2.1823373263201655</c:v>
                </c:pt>
                <c:pt idx="889">
                  <c:v>2.1808437218810841</c:v>
                </c:pt>
                <c:pt idx="890">
                  <c:v>2.1745709275950094</c:v>
                </c:pt>
                <c:pt idx="891">
                  <c:v>2.1728885562455118</c:v>
                </c:pt>
                <c:pt idx="892">
                  <c:v>2.1617461358387868</c:v>
                </c:pt>
                <c:pt idx="893">
                  <c:v>2.1373648457381438</c:v>
                </c:pt>
                <c:pt idx="894">
                  <c:v>2.1002623070004889</c:v>
                </c:pt>
                <c:pt idx="895">
                  <c:v>2.0761448270630316</c:v>
                </c:pt>
                <c:pt idx="896">
                  <c:v>2.0512599228750146</c:v>
                </c:pt>
                <c:pt idx="897">
                  <c:v>2.0290040067645654</c:v>
                </c:pt>
                <c:pt idx="898">
                  <c:v>2.027099092797366</c:v>
                </c:pt>
                <c:pt idx="899">
                  <c:v>2.0355973510634406</c:v>
                </c:pt>
                <c:pt idx="900">
                  <c:v>2.0250407006066449</c:v>
                </c:pt>
                <c:pt idx="901">
                  <c:v>2.0218099305179078</c:v>
                </c:pt>
                <c:pt idx="902">
                  <c:v>2.01570700844823</c:v>
                </c:pt>
                <c:pt idx="903">
                  <c:v>1.9963077028416596</c:v>
                </c:pt>
                <c:pt idx="904">
                  <c:v>1.9916854070820857</c:v>
                </c:pt>
                <c:pt idx="905">
                  <c:v>1.9796538321626878</c:v>
                </c:pt>
                <c:pt idx="906">
                  <c:v>1.9810287806838844</c:v>
                </c:pt>
                <c:pt idx="907">
                  <c:v>1.9754810021286473</c:v>
                </c:pt>
                <c:pt idx="908">
                  <c:v>1.9633391813658521</c:v>
                </c:pt>
                <c:pt idx="909">
                  <c:v>1.9485149785936418</c:v>
                </c:pt>
                <c:pt idx="910">
                  <c:v>1.9393455123104506</c:v>
                </c:pt>
                <c:pt idx="911">
                  <c:v>1.9346040337976704</c:v>
                </c:pt>
                <c:pt idx="912">
                  <c:v>1.9298604494251625</c:v>
                </c:pt>
                <c:pt idx="913">
                  <c:v>1.9279427232809683</c:v>
                </c:pt>
                <c:pt idx="914">
                  <c:v>1.9198137440765652</c:v>
                </c:pt>
                <c:pt idx="915">
                  <c:v>1.9097675821028393</c:v>
                </c:pt>
                <c:pt idx="916">
                  <c:v>1.890959023599937</c:v>
                </c:pt>
                <c:pt idx="917">
                  <c:v>1.8699720199345771</c:v>
                </c:pt>
                <c:pt idx="918">
                  <c:v>1.8593073813671745</c:v>
                </c:pt>
                <c:pt idx="919">
                  <c:v>1.8502566446468951</c:v>
                </c:pt>
                <c:pt idx="920">
                  <c:v>1.8362329303491796</c:v>
                </c:pt>
                <c:pt idx="921">
                  <c:v>1.8075033451994813</c:v>
                </c:pt>
                <c:pt idx="922">
                  <c:v>1.7892400769205854</c:v>
                </c:pt>
                <c:pt idx="923">
                  <c:v>1.783537266729831</c:v>
                </c:pt>
                <c:pt idx="924">
                  <c:v>1.7764736698912935</c:v>
                </c:pt>
                <c:pt idx="925">
                  <c:v>1.7908946829108279</c:v>
                </c:pt>
                <c:pt idx="926">
                  <c:v>1.8175664248093715</c:v>
                </c:pt>
                <c:pt idx="927">
                  <c:v>1.8161354971499128</c:v>
                </c:pt>
                <c:pt idx="928">
                  <c:v>1.8289203841506467</c:v>
                </c:pt>
                <c:pt idx="929">
                  <c:v>1.8612581030110842</c:v>
                </c:pt>
                <c:pt idx="930">
                  <c:v>1.8839188290582047</c:v>
                </c:pt>
                <c:pt idx="931">
                  <c:v>1.8931133705341987</c:v>
                </c:pt>
                <c:pt idx="932">
                  <c:v>1.9207732500315331</c:v>
                </c:pt>
                <c:pt idx="933">
                  <c:v>1.9437047168558839</c:v>
                </c:pt>
                <c:pt idx="934">
                  <c:v>1.9718404204589761</c:v>
                </c:pt>
                <c:pt idx="935">
                  <c:v>1.9932738084084749</c:v>
                </c:pt>
                <c:pt idx="936">
                  <c:v>1.9978202093311788</c:v>
                </c:pt>
                <c:pt idx="937">
                  <c:v>2.007161163714382</c:v>
                </c:pt>
                <c:pt idx="938">
                  <c:v>2.0155267463796394</c:v>
                </c:pt>
                <c:pt idx="939">
                  <c:v>2.0080898688264646</c:v>
                </c:pt>
                <c:pt idx="940">
                  <c:v>1.9873004141915078</c:v>
                </c:pt>
                <c:pt idx="941">
                  <c:v>1.9636572580108986</c:v>
                </c:pt>
                <c:pt idx="942">
                  <c:v>1.9756210058619386</c:v>
                </c:pt>
                <c:pt idx="943">
                  <c:v>1.9806381753542828</c:v>
                </c:pt>
                <c:pt idx="944">
                  <c:v>1.9822146245152821</c:v>
                </c:pt>
                <c:pt idx="945">
                  <c:v>1.9808108339962438</c:v>
                </c:pt>
                <c:pt idx="946">
                  <c:v>1.974181496378816</c:v>
                </c:pt>
                <c:pt idx="947">
                  <c:v>1.9632099109348675</c:v>
                </c:pt>
                <c:pt idx="948">
                  <c:v>1.9458591603648638</c:v>
                </c:pt>
                <c:pt idx="949">
                  <c:v>1.9332182139609726</c:v>
                </c:pt>
                <c:pt idx="950">
                  <c:v>1.9211814781143426</c:v>
                </c:pt>
                <c:pt idx="951">
                  <c:v>1.9131894669340954</c:v>
                </c:pt>
                <c:pt idx="952">
                  <c:v>1.9187706366731714</c:v>
                </c:pt>
                <c:pt idx="953">
                  <c:v>1.911126928038128</c:v>
                </c:pt>
                <c:pt idx="954">
                  <c:v>1.9052660541726671</c:v>
                </c:pt>
                <c:pt idx="955">
                  <c:v>1.9093102714102268</c:v>
                </c:pt>
                <c:pt idx="956">
                  <c:v>1.9151447679564124</c:v>
                </c:pt>
                <c:pt idx="957">
                  <c:v>1.9129625299218134</c:v>
                </c:pt>
                <c:pt idx="958">
                  <c:v>1.8697463865576387</c:v>
                </c:pt>
                <c:pt idx="959">
                  <c:v>1.8496725844689288</c:v>
                </c:pt>
                <c:pt idx="960">
                  <c:v>1.8511444430209809</c:v>
                </c:pt>
                <c:pt idx="961">
                  <c:v>1.8584349744223652</c:v>
                </c:pt>
                <c:pt idx="962">
                  <c:v>1.8693182479054853</c:v>
                </c:pt>
                <c:pt idx="963">
                  <c:v>1.8827721712086134</c:v>
                </c:pt>
                <c:pt idx="964">
                  <c:v>1.887339538197365</c:v>
                </c:pt>
                <c:pt idx="965">
                  <c:v>1.8912016658094737</c:v>
                </c:pt>
                <c:pt idx="966">
                  <c:v>1.9028901191036147</c:v>
                </c:pt>
                <c:pt idx="967">
                  <c:v>1.8913696716936319</c:v>
                </c:pt>
                <c:pt idx="968">
                  <c:v>1.8872022039661112</c:v>
                </c:pt>
                <c:pt idx="969">
                  <c:v>1.8793767150655052</c:v>
                </c:pt>
                <c:pt idx="970">
                  <c:v>1.8616072570781401</c:v>
                </c:pt>
                <c:pt idx="971">
                  <c:v>1.8177997559837886</c:v>
                </c:pt>
                <c:pt idx="972">
                  <c:v>1.7678504863149167</c:v>
                </c:pt>
                <c:pt idx="973">
                  <c:v>1.7603530936014464</c:v>
                </c:pt>
                <c:pt idx="974">
                  <c:v>1.7526340464771524</c:v>
                </c:pt>
                <c:pt idx="975">
                  <c:v>1.7306120238022513</c:v>
                </c:pt>
                <c:pt idx="976">
                  <c:v>1.7107594576137866</c:v>
                </c:pt>
                <c:pt idx="977">
                  <c:v>1.6875659599643937</c:v>
                </c:pt>
                <c:pt idx="978">
                  <c:v>1.7061011823808059</c:v>
                </c:pt>
                <c:pt idx="979">
                  <c:v>1.7395986960483973</c:v>
                </c:pt>
                <c:pt idx="980">
                  <c:v>1.7819337684083127</c:v>
                </c:pt>
                <c:pt idx="981">
                  <c:v>1.8112070272844782</c:v>
                </c:pt>
                <c:pt idx="982">
                  <c:v>1.8628800881239511</c:v>
                </c:pt>
                <c:pt idx="983">
                  <c:v>1.8898771113033321</c:v>
                </c:pt>
                <c:pt idx="984">
                  <c:v>1.8969304120675796</c:v>
                </c:pt>
                <c:pt idx="985">
                  <c:v>1.9029698677211762</c:v>
                </c:pt>
                <c:pt idx="986">
                  <c:v>1.9135092864786929</c:v>
                </c:pt>
                <c:pt idx="987">
                  <c:v>1.9155423682070647</c:v>
                </c:pt>
                <c:pt idx="988">
                  <c:v>1.91644000660415</c:v>
                </c:pt>
                <c:pt idx="989">
                  <c:v>1.9275056867421714</c:v>
                </c:pt>
                <c:pt idx="990">
                  <c:v>1.9415999908015327</c:v>
                </c:pt>
                <c:pt idx="991">
                  <c:v>1.9448042565442132</c:v>
                </c:pt>
                <c:pt idx="992">
                  <c:v>1.9371765033160662</c:v>
                </c:pt>
                <c:pt idx="993">
                  <c:v>1.9278429611219423</c:v>
                </c:pt>
                <c:pt idx="994">
                  <c:v>1.9202814430107218</c:v>
                </c:pt>
                <c:pt idx="995">
                  <c:v>1.9155964545307258</c:v>
                </c:pt>
                <c:pt idx="996">
                  <c:v>1.917353670908498</c:v>
                </c:pt>
                <c:pt idx="997">
                  <c:v>1.9115461647269958</c:v>
                </c:pt>
                <c:pt idx="998">
                  <c:v>1.9036703573588556</c:v>
                </c:pt>
                <c:pt idx="999">
                  <c:v>1.9044274971947623</c:v>
                </c:pt>
                <c:pt idx="1000">
                  <c:v>1.9314891966890375</c:v>
                </c:pt>
                <c:pt idx="1001">
                  <c:v>1.9509359111759372</c:v>
                </c:pt>
                <c:pt idx="1002">
                  <c:v>1.9744888530090345</c:v>
                </c:pt>
                <c:pt idx="1003">
                  <c:v>1.9929125810213597</c:v>
                </c:pt>
                <c:pt idx="1004">
                  <c:v>2.0126046596984239</c:v>
                </c:pt>
                <c:pt idx="1005">
                  <c:v>2.0266124321853161</c:v>
                </c:pt>
                <c:pt idx="1006">
                  <c:v>2.0351077873251948</c:v>
                </c:pt>
                <c:pt idx="1007">
                  <c:v>2.0472805720436313</c:v>
                </c:pt>
                <c:pt idx="1008">
                  <c:v>2.0588243692906856</c:v>
                </c:pt>
                <c:pt idx="1009">
                  <c:v>2.059047253935852</c:v>
                </c:pt>
                <c:pt idx="1010">
                  <c:v>2.0538375662912323</c:v>
                </c:pt>
                <c:pt idx="1011">
                  <c:v>2.046204433683338</c:v>
                </c:pt>
                <c:pt idx="1012">
                  <c:v>2.0341657619443607</c:v>
                </c:pt>
                <c:pt idx="1013">
                  <c:v>2.007107478724639</c:v>
                </c:pt>
                <c:pt idx="1014">
                  <c:v>1.9959719151964537</c:v>
                </c:pt>
                <c:pt idx="1015">
                  <c:v>1.9943674541774139</c:v>
                </c:pt>
                <c:pt idx="1016">
                  <c:v>1.9881803001379026</c:v>
                </c:pt>
                <c:pt idx="1017">
                  <c:v>1.9740564868352266</c:v>
                </c:pt>
                <c:pt idx="1018">
                  <c:v>1.9714163301466971</c:v>
                </c:pt>
                <c:pt idx="1019">
                  <c:v>1.9788699811835044</c:v>
                </c:pt>
                <c:pt idx="1020">
                  <c:v>1.9598307665452019</c:v>
                </c:pt>
                <c:pt idx="1021">
                  <c:v>1.9198204115510877</c:v>
                </c:pt>
                <c:pt idx="1022">
                  <c:v>1.900768036305315</c:v>
                </c:pt>
                <c:pt idx="1023">
                  <c:v>1.9041589116057298</c:v>
                </c:pt>
                <c:pt idx="1024">
                  <c:v>1.912490442278663</c:v>
                </c:pt>
                <c:pt idx="1025">
                  <c:v>1.9144297743745009</c:v>
                </c:pt>
                <c:pt idx="1026">
                  <c:v>1.9068958500214281</c:v>
                </c:pt>
                <c:pt idx="1027">
                  <c:v>1.9079414996767552</c:v>
                </c:pt>
                <c:pt idx="1028">
                  <c:v>1.9091816433789206</c:v>
                </c:pt>
                <c:pt idx="1029">
                  <c:v>1.9068306781765121</c:v>
                </c:pt>
                <c:pt idx="1030">
                  <c:v>1.9019778933941918</c:v>
                </c:pt>
                <c:pt idx="1031">
                  <c:v>1.9097229737362462</c:v>
                </c:pt>
                <c:pt idx="1032">
                  <c:v>1.9214540501588933</c:v>
                </c:pt>
                <c:pt idx="1033">
                  <c:v>1.9380554558157053</c:v>
                </c:pt>
                <c:pt idx="1034">
                  <c:v>1.9593116305687404</c:v>
                </c:pt>
                <c:pt idx="1035">
                  <c:v>1.9786069002098994</c:v>
                </c:pt>
                <c:pt idx="1036">
                  <c:v>1.9923339472990587</c:v>
                </c:pt>
                <c:pt idx="1037">
                  <c:v>2.0089838036793002</c:v>
                </c:pt>
                <c:pt idx="1038">
                  <c:v>2.0148868838780833</c:v>
                </c:pt>
                <c:pt idx="1039">
                  <c:v>2.0237944236365846</c:v>
                </c:pt>
                <c:pt idx="1040">
                  <c:v>2.0237936859596162</c:v>
                </c:pt>
                <c:pt idx="1041">
                  <c:v>2.0179788596830401</c:v>
                </c:pt>
                <c:pt idx="1042">
                  <c:v>2.000887939704584</c:v>
                </c:pt>
                <c:pt idx="1043">
                  <c:v>1.9741100310102024</c:v>
                </c:pt>
                <c:pt idx="1044">
                  <c:v>1.9403899462866951</c:v>
                </c:pt>
                <c:pt idx="1045">
                  <c:v>1.9249601345604614</c:v>
                </c:pt>
                <c:pt idx="1046">
                  <c:v>1.9039312844317693</c:v>
                </c:pt>
                <c:pt idx="1047">
                  <c:v>1.8815321586560168</c:v>
                </c:pt>
                <c:pt idx="1048">
                  <c:v>1.8690313212227943</c:v>
                </c:pt>
                <c:pt idx="1049">
                  <c:v>1.8475053195631801</c:v>
                </c:pt>
                <c:pt idx="1050">
                  <c:v>1.8386128571086089</c:v>
                </c:pt>
                <c:pt idx="1051">
                  <c:v>1.837972363869447</c:v>
                </c:pt>
                <c:pt idx="1052">
                  <c:v>1.826963903042623</c:v>
                </c:pt>
                <c:pt idx="1053">
                  <c:v>1.8317050867733033</c:v>
                </c:pt>
                <c:pt idx="1054">
                  <c:v>1.870183648841524</c:v>
                </c:pt>
                <c:pt idx="1055">
                  <c:v>1.9724177810272894</c:v>
                </c:pt>
                <c:pt idx="1056">
                  <c:v>2.0197053733033301</c:v>
                </c:pt>
                <c:pt idx="1057">
                  <c:v>2.0676656242731184</c:v>
                </c:pt>
                <c:pt idx="1058">
                  <c:v>2.0813574524297347</c:v>
                </c:pt>
                <c:pt idx="1059">
                  <c:v>2.0902600183151443</c:v>
                </c:pt>
                <c:pt idx="1060">
                  <c:v>2.0982479954679079</c:v>
                </c:pt>
                <c:pt idx="1061">
                  <c:v>2.0988756475816679</c:v>
                </c:pt>
                <c:pt idx="1062">
                  <c:v>2.0990282446240158</c:v>
                </c:pt>
                <c:pt idx="1063">
                  <c:v>2.1006048106969031</c:v>
                </c:pt>
                <c:pt idx="1064">
                  <c:v>2.1016771935532796</c:v>
                </c:pt>
                <c:pt idx="1065">
                  <c:v>2.1056713232439428</c:v>
                </c:pt>
                <c:pt idx="1066">
                  <c:v>2.1079197526960796</c:v>
                </c:pt>
                <c:pt idx="1067">
                  <c:v>2.1123962866878014</c:v>
                </c:pt>
                <c:pt idx="1068">
                  <c:v>2.1057103545505926</c:v>
                </c:pt>
                <c:pt idx="1069">
                  <c:v>2.1113341267365278</c:v>
                </c:pt>
                <c:pt idx="1070">
                  <c:v>2.1115063749860297</c:v>
                </c:pt>
                <c:pt idx="1071">
                  <c:v>2.1108222815445243</c:v>
                </c:pt>
                <c:pt idx="1072">
                  <c:v>2.1009617609934796</c:v>
                </c:pt>
                <c:pt idx="1073">
                  <c:v>2.1013328557421067</c:v>
                </c:pt>
                <c:pt idx="1074">
                  <c:v>2.1119250116153823</c:v>
                </c:pt>
                <c:pt idx="1075">
                  <c:v>2.1126731711779669</c:v>
                </c:pt>
                <c:pt idx="1076">
                  <c:v>2.110330056104214</c:v>
                </c:pt>
                <c:pt idx="1077">
                  <c:v>2.1080274266060037</c:v>
                </c:pt>
                <c:pt idx="1078">
                  <c:v>2.1089613934702638</c:v>
                </c:pt>
                <c:pt idx="1079">
                  <c:v>2.1063736033231892</c:v>
                </c:pt>
                <c:pt idx="1080">
                  <c:v>2.1063175465291235</c:v>
                </c:pt>
                <c:pt idx="1081">
                  <c:v>2.1084601665469003</c:v>
                </c:pt>
                <c:pt idx="1082">
                  <c:v>2.1126080435557819</c:v>
                </c:pt>
                <c:pt idx="1083">
                  <c:v>2.1198175126316707</c:v>
                </c:pt>
                <c:pt idx="1084">
                  <c:v>2.1265961505339197</c:v>
                </c:pt>
                <c:pt idx="1085">
                  <c:v>2.1240617382894507</c:v>
                </c:pt>
                <c:pt idx="1086">
                  <c:v>2.0823384444736002</c:v>
                </c:pt>
                <c:pt idx="1087">
                  <c:v>2.057777290344923</c:v>
                </c:pt>
                <c:pt idx="1088">
                  <c:v>2.0008604447987901</c:v>
                </c:pt>
                <c:pt idx="1089">
                  <c:v>1.9777562271180478</c:v>
                </c:pt>
                <c:pt idx="1090">
                  <c:v>1.9572395018812156</c:v>
                </c:pt>
                <c:pt idx="1091">
                  <c:v>1.922328465361796</c:v>
                </c:pt>
                <c:pt idx="1092">
                  <c:v>1.9194658839706293</c:v>
                </c:pt>
                <c:pt idx="1093">
                  <c:v>1.9151999919310709</c:v>
                </c:pt>
                <c:pt idx="1094">
                  <c:v>1.9329329558361847</c:v>
                </c:pt>
                <c:pt idx="1095">
                  <c:v>1.9368262891909276</c:v>
                </c:pt>
                <c:pt idx="1096">
                  <c:v>1.9436641426898538</c:v>
                </c:pt>
                <c:pt idx="1097">
                  <c:v>1.9479055000897272</c:v>
                </c:pt>
                <c:pt idx="1098">
                  <c:v>1.9606516469931379</c:v>
                </c:pt>
                <c:pt idx="1099">
                  <c:v>1.9606136337660296</c:v>
                </c:pt>
                <c:pt idx="1100">
                  <c:v>1.9712120200455823</c:v>
                </c:pt>
                <c:pt idx="1101">
                  <c:v>1.9880212599755298</c:v>
                </c:pt>
                <c:pt idx="1102">
                  <c:v>2.0003463450995032</c:v>
                </c:pt>
                <c:pt idx="1103">
                  <c:v>2.0154363047800508</c:v>
                </c:pt>
                <c:pt idx="1104">
                  <c:v>2.0368925048695701</c:v>
                </c:pt>
                <c:pt idx="1105">
                  <c:v>2.0490562810468527</c:v>
                </c:pt>
                <c:pt idx="1106">
                  <c:v>2.0523781534681276</c:v>
                </c:pt>
                <c:pt idx="1107">
                  <c:v>2.0503813096924484</c:v>
                </c:pt>
                <c:pt idx="1108">
                  <c:v>2.0449527753928005</c:v>
                </c:pt>
                <c:pt idx="1109">
                  <c:v>2.0004984953874581</c:v>
                </c:pt>
                <c:pt idx="1110">
                  <c:v>1.9643907366752016</c:v>
                </c:pt>
                <c:pt idx="1111">
                  <c:v>1.9152439961091858</c:v>
                </c:pt>
                <c:pt idx="1112">
                  <c:v>1.8798324161356714</c:v>
                </c:pt>
                <c:pt idx="1113">
                  <c:v>1.852676796802428</c:v>
                </c:pt>
                <c:pt idx="1114">
                  <c:v>1.8338234522658241</c:v>
                </c:pt>
                <c:pt idx="1115">
                  <c:v>1.8141273521089309</c:v>
                </c:pt>
                <c:pt idx="1116">
                  <c:v>1.7849178749981167</c:v>
                </c:pt>
                <c:pt idx="1117">
                  <c:v>1.7442169426953098</c:v>
                </c:pt>
                <c:pt idx="1118">
                  <c:v>1.7403805827906995</c:v>
                </c:pt>
                <c:pt idx="1119">
                  <c:v>1.7371094833333987</c:v>
                </c:pt>
                <c:pt idx="1120">
                  <c:v>1.7287129403628378</c:v>
                </c:pt>
                <c:pt idx="1121">
                  <c:v>1.771087265885837</c:v>
                </c:pt>
                <c:pt idx="1122">
                  <c:v>1.8231275925055426</c:v>
                </c:pt>
                <c:pt idx="1123">
                  <c:v>1.8743590985144898</c:v>
                </c:pt>
                <c:pt idx="1124">
                  <c:v>1.9128457339007474</c:v>
                </c:pt>
                <c:pt idx="1125">
                  <c:v>1.9388909290314849</c:v>
                </c:pt>
                <c:pt idx="1126">
                  <c:v>1.9515989924356132</c:v>
                </c:pt>
                <c:pt idx="1127">
                  <c:v>1.9513679912898398</c:v>
                </c:pt>
                <c:pt idx="1128">
                  <c:v>1.9354713491269693</c:v>
                </c:pt>
                <c:pt idx="1129">
                  <c:v>1.9302395019095284</c:v>
                </c:pt>
                <c:pt idx="1130">
                  <c:v>1.9119964120348643</c:v>
                </c:pt>
                <c:pt idx="1131">
                  <c:v>1.905065184322577</c:v>
                </c:pt>
                <c:pt idx="1132">
                  <c:v>1.908934962012206</c:v>
                </c:pt>
                <c:pt idx="1133">
                  <c:v>1.9130221192412675</c:v>
                </c:pt>
                <c:pt idx="1134">
                  <c:v>1.9238822655059404</c:v>
                </c:pt>
                <c:pt idx="1135">
                  <c:v>1.9438673919638372</c:v>
                </c:pt>
                <c:pt idx="1136">
                  <c:v>1.9522719201430117</c:v>
                </c:pt>
                <c:pt idx="1137">
                  <c:v>1.9682877611914797</c:v>
                </c:pt>
                <c:pt idx="1138">
                  <c:v>1.9845528893776121</c:v>
                </c:pt>
                <c:pt idx="1139">
                  <c:v>1.9999599865480757</c:v>
                </c:pt>
                <c:pt idx="1140">
                  <c:v>2.0197308888992107</c:v>
                </c:pt>
                <c:pt idx="1141">
                  <c:v>2.0333562457073251</c:v>
                </c:pt>
                <c:pt idx="1142">
                  <c:v>2.0407742107759024</c:v>
                </c:pt>
                <c:pt idx="1143">
                  <c:v>2.0408629298083336</c:v>
                </c:pt>
                <c:pt idx="1144">
                  <c:v>2.0363138511864993</c:v>
                </c:pt>
                <c:pt idx="1145">
                  <c:v>2.0385805240483323</c:v>
                </c:pt>
                <c:pt idx="1146">
                  <c:v>2.0354542775582081</c:v>
                </c:pt>
                <c:pt idx="1147">
                  <c:v>2.0270511715259416</c:v>
                </c:pt>
                <c:pt idx="1148">
                  <c:v>1.986259054735295</c:v>
                </c:pt>
                <c:pt idx="1149">
                  <c:v>1.9363950583232414</c:v>
                </c:pt>
                <c:pt idx="1150">
                  <c:v>1.8672312899598336</c:v>
                </c:pt>
                <c:pt idx="1151">
                  <c:v>1.8268525603407204</c:v>
                </c:pt>
                <c:pt idx="1152">
                  <c:v>1.8264829772002062</c:v>
                </c:pt>
                <c:pt idx="1153">
                  <c:v>1.826416459011343</c:v>
                </c:pt>
                <c:pt idx="1154">
                  <c:v>1.8293719329233233</c:v>
                </c:pt>
                <c:pt idx="1155">
                  <c:v>1.8317910657052325</c:v>
                </c:pt>
                <c:pt idx="1156">
                  <c:v>1.8326125272862064</c:v>
                </c:pt>
                <c:pt idx="1157">
                  <c:v>1.8442587161106663</c:v>
                </c:pt>
                <c:pt idx="1158">
                  <c:v>1.8590158037890827</c:v>
                </c:pt>
                <c:pt idx="1159">
                  <c:v>1.8597000623041033</c:v>
                </c:pt>
                <c:pt idx="1160">
                  <c:v>1.8495747292399491</c:v>
                </c:pt>
                <c:pt idx="1161">
                  <c:v>1.8413483162516511</c:v>
                </c:pt>
                <c:pt idx="1162">
                  <c:v>1.8432968422725382</c:v>
                </c:pt>
                <c:pt idx="1163">
                  <c:v>1.8486950339550836</c:v>
                </c:pt>
                <c:pt idx="1164">
                  <c:v>1.8836406091930393</c:v>
                </c:pt>
                <c:pt idx="1165">
                  <c:v>1.9096668677809672</c:v>
                </c:pt>
                <c:pt idx="1166">
                  <c:v>1.9280744500594971</c:v>
                </c:pt>
                <c:pt idx="1167">
                  <c:v>1.9285397339084629</c:v>
                </c:pt>
                <c:pt idx="1168">
                  <c:v>1.927060650232219</c:v>
                </c:pt>
                <c:pt idx="1169">
                  <c:v>1.9223221993498303</c:v>
                </c:pt>
                <c:pt idx="1170">
                  <c:v>1.9222249370489017</c:v>
                </c:pt>
                <c:pt idx="1171">
                  <c:v>1.9221978236122435</c:v>
                </c:pt>
                <c:pt idx="1172">
                  <c:v>1.9326487413346907</c:v>
                </c:pt>
                <c:pt idx="1173">
                  <c:v>1.9351587620252468</c:v>
                </c:pt>
                <c:pt idx="1174">
                  <c:v>1.9306884601474237</c:v>
                </c:pt>
                <c:pt idx="1175">
                  <c:v>1.9354782254728373</c:v>
                </c:pt>
                <c:pt idx="1176">
                  <c:v>1.9279652655435267</c:v>
                </c:pt>
                <c:pt idx="1177">
                  <c:v>1.9313267557673446</c:v>
                </c:pt>
                <c:pt idx="1178">
                  <c:v>1.929869241177433</c:v>
                </c:pt>
                <c:pt idx="1179">
                  <c:v>1.9201890811200835</c:v>
                </c:pt>
                <c:pt idx="1180">
                  <c:v>1.9183021800934983</c:v>
                </c:pt>
                <c:pt idx="1181">
                  <c:v>1.9154517612056805</c:v>
                </c:pt>
                <c:pt idx="1182">
                  <c:v>1.9130346652313981</c:v>
                </c:pt>
                <c:pt idx="1183">
                  <c:v>1.9115774150773441</c:v>
                </c:pt>
                <c:pt idx="1184">
                  <c:v>1.917619557821882</c:v>
                </c:pt>
                <c:pt idx="1185">
                  <c:v>1.9212926699760384</c:v>
                </c:pt>
                <c:pt idx="1186">
                  <c:v>1.9228327987232599</c:v>
                </c:pt>
                <c:pt idx="1187">
                  <c:v>1.9365212440749291</c:v>
                </c:pt>
                <c:pt idx="1188">
                  <c:v>1.9408301771889869</c:v>
                </c:pt>
                <c:pt idx="1189">
                  <c:v>1.940207422824187</c:v>
                </c:pt>
                <c:pt idx="1190">
                  <c:v>1.9355495414414758</c:v>
                </c:pt>
                <c:pt idx="1191">
                  <c:v>1.9379496485658088</c:v>
                </c:pt>
                <c:pt idx="1192">
                  <c:v>1.9356958457631908</c:v>
                </c:pt>
                <c:pt idx="1193">
                  <c:v>1.9239498842975111</c:v>
                </c:pt>
                <c:pt idx="1194">
                  <c:v>1.9170001702233377</c:v>
                </c:pt>
                <c:pt idx="1195">
                  <c:v>1.8760645844819219</c:v>
                </c:pt>
                <c:pt idx="1196">
                  <c:v>1.8640499531162982</c:v>
                </c:pt>
                <c:pt idx="1197">
                  <c:v>1.8192742895328391</c:v>
                </c:pt>
                <c:pt idx="1198">
                  <c:v>1.8596286549873211</c:v>
                </c:pt>
                <c:pt idx="1199">
                  <c:v>1.923784958806797</c:v>
                </c:pt>
                <c:pt idx="1200">
                  <c:v>1.9547004827956882</c:v>
                </c:pt>
                <c:pt idx="1201">
                  <c:v>2.0138016634862073</c:v>
                </c:pt>
                <c:pt idx="1202">
                  <c:v>2.0455139250659862</c:v>
                </c:pt>
                <c:pt idx="1203">
                  <c:v>2.1097734785045912</c:v>
                </c:pt>
                <c:pt idx="1204">
                  <c:v>2.1661240069163288</c:v>
                </c:pt>
                <c:pt idx="1205">
                  <c:v>2.2053172185574699</c:v>
                </c:pt>
                <c:pt idx="1206">
                  <c:v>2.2471635416533404</c:v>
                </c:pt>
                <c:pt idx="1207">
                  <c:v>2.2636766823410599</c:v>
                </c:pt>
                <c:pt idx="1208">
                  <c:v>2.271540873907163</c:v>
                </c:pt>
                <c:pt idx="1209">
                  <c:v>2.2849411228345544</c:v>
                </c:pt>
                <c:pt idx="1210">
                  <c:v>2.2922294338222198</c:v>
                </c:pt>
                <c:pt idx="1211">
                  <c:v>2.2969504462016852</c:v>
                </c:pt>
                <c:pt idx="1212">
                  <c:v>2.2981224977069465</c:v>
                </c:pt>
                <c:pt idx="1213">
                  <c:v>2.2908061586169479</c:v>
                </c:pt>
                <c:pt idx="1214">
                  <c:v>2.2862729711063206</c:v>
                </c:pt>
                <c:pt idx="1215">
                  <c:v>2.2799752349546094</c:v>
                </c:pt>
                <c:pt idx="1216">
                  <c:v>2.2725984574267697</c:v>
                </c:pt>
                <c:pt idx="1217">
                  <c:v>2.2727313865655283</c:v>
                </c:pt>
                <c:pt idx="1218">
                  <c:v>2.259909572017273</c:v>
                </c:pt>
                <c:pt idx="1219">
                  <c:v>2.2411254764200916</c:v>
                </c:pt>
                <c:pt idx="1220">
                  <c:v>2.2117356917550501</c:v>
                </c:pt>
                <c:pt idx="1221">
                  <c:v>2.2039376922866598</c:v>
                </c:pt>
                <c:pt idx="1222">
                  <c:v>2.2662369423619872</c:v>
                </c:pt>
                <c:pt idx="1223">
                  <c:v>2.3188201573986955</c:v>
                </c:pt>
                <c:pt idx="1224">
                  <c:v>2.3691407723718676</c:v>
                </c:pt>
                <c:pt idx="1225">
                  <c:v>2.3597797254326847</c:v>
                </c:pt>
                <c:pt idx="1226">
                  <c:v>2.3603402110302776</c:v>
                </c:pt>
                <c:pt idx="1227">
                  <c:v>2.35813944334555</c:v>
                </c:pt>
                <c:pt idx="1228">
                  <c:v>2.3457142587973032</c:v>
                </c:pt>
                <c:pt idx="1229">
                  <c:v>2.3413234971033661</c:v>
                </c:pt>
                <c:pt idx="1230">
                  <c:v>2.3415907040981478</c:v>
                </c:pt>
                <c:pt idx="1231">
                  <c:v>2.3356067841078731</c:v>
                </c:pt>
                <c:pt idx="1232">
                  <c:v>2.3372538933203026</c:v>
                </c:pt>
                <c:pt idx="1233">
                  <c:v>2.3358831873022439</c:v>
                </c:pt>
                <c:pt idx="1234">
                  <c:v>2.343420681456915</c:v>
                </c:pt>
                <c:pt idx="1235">
                  <c:v>2.3522891038710765</c:v>
                </c:pt>
                <c:pt idx="1236">
                  <c:v>2.360901788994425</c:v>
                </c:pt>
                <c:pt idx="1237">
                  <c:v>2.3710030397520812</c:v>
                </c:pt>
                <c:pt idx="1238">
                  <c:v>2.3789422176909039</c:v>
                </c:pt>
                <c:pt idx="1239">
                  <c:v>2.3850517048130611</c:v>
                </c:pt>
                <c:pt idx="1240">
                  <c:v>2.3944932250343687</c:v>
                </c:pt>
                <c:pt idx="1241">
                  <c:v>2.400661302377876</c:v>
                </c:pt>
                <c:pt idx="1242">
                  <c:v>2.4075462026701429</c:v>
                </c:pt>
                <c:pt idx="1243">
                  <c:v>2.4138252140356169</c:v>
                </c:pt>
                <c:pt idx="1244">
                  <c:v>2.4073617603416446</c:v>
                </c:pt>
                <c:pt idx="1245">
                  <c:v>2.3940387427673064</c:v>
                </c:pt>
                <c:pt idx="1246">
                  <c:v>2.3853575052725229</c:v>
                </c:pt>
                <c:pt idx="1247">
                  <c:v>2.3732493232652025</c:v>
                </c:pt>
                <c:pt idx="1248">
                  <c:v>2.3763899143593936</c:v>
                </c:pt>
                <c:pt idx="1249">
                  <c:v>2.3683829737269901</c:v>
                </c:pt>
                <c:pt idx="1250">
                  <c:v>2.3399587164740354</c:v>
                </c:pt>
                <c:pt idx="1251">
                  <c:v>2.2406329741194</c:v>
                </c:pt>
                <c:pt idx="1252">
                  <c:v>2.237745439433469</c:v>
                </c:pt>
                <c:pt idx="1253">
                  <c:v>2.2524710861141717</c:v>
                </c:pt>
                <c:pt idx="1254">
                  <c:v>2.2493838219330802</c:v>
                </c:pt>
                <c:pt idx="1255">
                  <c:v>1.8870477222459812</c:v>
                </c:pt>
                <c:pt idx="1256">
                  <c:v>1.6781084738828265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4-4847-9ABE-C80D88244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86384"/>
        <c:axId val="76886864"/>
      </c:lineChart>
      <c:dateAx>
        <c:axId val="76886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86864"/>
        <c:crosses val="autoZero"/>
        <c:auto val="1"/>
        <c:lblOffset val="100"/>
        <c:baseTimeUnit val="days"/>
      </c:dateAx>
      <c:valAx>
        <c:axId val="7688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8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0</xdr:row>
      <xdr:rowOff>100011</xdr:rowOff>
    </xdr:from>
    <xdr:to>
      <xdr:col>15</xdr:col>
      <xdr:colOff>361950</xdr:colOff>
      <xdr:row>18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6D3BD9-0F67-F35C-B5CC-A7F073C625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16</xdr:col>
      <xdr:colOff>247650</xdr:colOff>
      <xdr:row>18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C26DCA-9F8D-4E50-A049-0AD772B3C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19</xdr:row>
      <xdr:rowOff>28575</xdr:rowOff>
    </xdr:from>
    <xdr:to>
      <xdr:col>16</xdr:col>
      <xdr:colOff>581025</xdr:colOff>
      <xdr:row>36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78637B-3588-4430-B437-029FFF5C0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923924</xdr:colOff>
      <xdr:row>2</xdr:row>
      <xdr:rowOff>109537</xdr:rowOff>
    </xdr:from>
    <xdr:to>
      <xdr:col>14</xdr:col>
      <xdr:colOff>552449</xdr:colOff>
      <xdr:row>16</xdr:row>
      <xdr:rowOff>185737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75E962A-73B3-A6ED-69ED-CF5236581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 _" refreshedDate="45759.822077430559" createdVersion="8" refreshedVersion="8" minRefreshableVersion="3" recordCount="1259" xr:uid="{9C9416F7-87C1-4DCF-B083-38FF2F2C3C6C}">
  <cacheSource type="worksheet">
    <worksheetSource ref="A1:E1048576" sheet="^spx_d (3)"/>
  </cacheSource>
  <cacheFields count="8">
    <cacheField name="Date" numFmtId="0">
      <sharedItems containsNonDate="0" containsDate="1" containsString="0" containsBlank="1" minDate="2020-04-13T00:00:00" maxDate="2025-04-12T00:00:00" count="1259"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8T00:00:00"/>
        <d v="2020-12-29T00:00:00"/>
        <d v="2020-12-30T00:00:00"/>
        <d v="2020-12-31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1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4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22T00:00:00"/>
        <d v="2022-02-23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8T00:00:00"/>
        <d v="2022-04-19T00:00:00"/>
        <d v="2022-04-20T00:00:00"/>
        <d v="2022-04-21T00:00:00"/>
        <d v="2022-04-22T00:00:00"/>
        <d v="2022-04-25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9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6T00:00:00"/>
        <d v="2022-05-27T00:00:00"/>
        <d v="2022-05-31T00:00:00"/>
        <d v="2022-06-01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1T00:00:00"/>
        <d v="2022-06-22T00:00:00"/>
        <d v="2022-06-23T00:00:00"/>
        <d v="2022-06-24T00:00:00"/>
        <d v="2022-06-27T00:00:00"/>
        <d v="2022-06-28T00:00:00"/>
        <d v="2022-06-29T00:00:00"/>
        <d v="2022-06-30T00:00:00"/>
        <d v="2022-07-01T00:00:00"/>
        <d v="2022-07-05T00:00:00"/>
        <d v="2022-07-06T00:00:00"/>
        <d v="2022-07-07T00:00:00"/>
        <d v="2022-07-08T00:00:00"/>
        <d v="2022-07-11T00:00:00"/>
        <d v="2022-07-12T00:00:00"/>
        <d v="2022-07-13T00:00:00"/>
        <d v="2022-07-14T00:00:00"/>
        <d v="2022-07-15T00:00:00"/>
        <d v="2022-07-18T00:00:00"/>
        <d v="2022-07-19T00:00:00"/>
        <d v="2022-07-20T00:00:00"/>
        <d v="2022-07-21T00:00:00"/>
        <d v="2022-07-22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8T00:00:00"/>
        <d v="2022-08-09T00:00:00"/>
        <d v="2022-08-10T00:00:00"/>
        <d v="2022-08-11T00:00:00"/>
        <d v="2022-08-12T00:00:00"/>
        <d v="2022-08-15T00:00:00"/>
        <d v="2022-08-16T00:00:00"/>
        <d v="2022-08-17T00:00:00"/>
        <d v="2022-08-18T00:00:00"/>
        <d v="2022-08-19T00:00:00"/>
        <d v="2022-08-22T00:00:00"/>
        <d v="2022-08-23T00:00:00"/>
        <d v="2022-08-24T00:00:00"/>
        <d v="2022-08-25T00:00:00"/>
        <d v="2022-08-26T00:00:00"/>
        <d v="2022-08-29T00:00:00"/>
        <d v="2022-08-30T00:00:00"/>
        <d v="2022-08-31T00:00:00"/>
        <d v="2022-09-01T00:00:00"/>
        <d v="2022-09-02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5T00:00:00"/>
        <d v="2022-09-16T00:00:00"/>
        <d v="2022-09-19T00:00:00"/>
        <d v="2022-09-20T00:00:00"/>
        <d v="2022-09-21T00:00:00"/>
        <d v="2022-09-22T00:00:00"/>
        <d v="2022-09-23T00:00:00"/>
        <d v="2022-09-26T00:00:00"/>
        <d v="2022-09-27T00:00:00"/>
        <d v="2022-09-28T00:00:00"/>
        <d v="2022-09-29T00:00:00"/>
        <d v="2022-09-30T00:00:00"/>
        <d v="2022-10-03T00:00:00"/>
        <d v="2022-10-04T00:00:00"/>
        <d v="2022-10-05T00:00:00"/>
        <d v="2022-10-06T00:00:00"/>
        <d v="2022-10-07T00:00:00"/>
        <d v="2022-10-10T00:00:00"/>
        <d v="2022-10-11T00:00:00"/>
        <d v="2022-10-12T00:00:00"/>
        <d v="2022-10-13T00:00:00"/>
        <d v="2022-10-14T00:00:00"/>
        <d v="2022-10-17T00:00:00"/>
        <d v="2022-10-18T00:00:00"/>
        <d v="2022-10-19T00:00:00"/>
        <d v="2022-10-20T00:00:00"/>
        <d v="2022-10-21T00:00:00"/>
        <d v="2022-10-24T00:00:00"/>
        <d v="2022-10-25T00:00:00"/>
        <d v="2022-10-26T00:00:00"/>
        <d v="2022-10-27T00:00:00"/>
        <d v="2022-10-28T00:00:00"/>
        <d v="2022-10-31T00:00:00"/>
        <d v="2022-11-0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1T00:00:00"/>
        <d v="2022-11-14T00:00:00"/>
        <d v="2022-11-15T00:00:00"/>
        <d v="2022-11-16T00:00:00"/>
        <d v="2022-11-17T00:00:00"/>
        <d v="2022-11-18T00:00:00"/>
        <d v="2022-11-21T00:00:00"/>
        <d v="2022-11-22T00:00:00"/>
        <d v="2022-11-23T00:00:00"/>
        <d v="2022-11-25T00:00:00"/>
        <d v="2022-11-28T00:00:00"/>
        <d v="2022-11-29T00:00:00"/>
        <d v="2022-11-30T00:00:00"/>
        <d v="2022-12-01T00:00:00"/>
        <d v="2022-12-02T00:00:00"/>
        <d v="2022-12-05T00:00:00"/>
        <d v="2022-12-06T00:00:00"/>
        <d v="2022-12-07T00:00:00"/>
        <d v="2022-12-08T00:00:00"/>
        <d v="2022-12-09T00:00:00"/>
        <d v="2022-12-12T00:00:00"/>
        <d v="2022-12-13T00:00:00"/>
        <d v="2022-12-14T00:00:00"/>
        <d v="2022-12-15T00:00:00"/>
        <d v="2022-12-16T00:00:00"/>
        <d v="2022-12-19T00:00:00"/>
        <d v="2022-12-20T00:00:00"/>
        <d v="2022-12-21T00:00:00"/>
        <d v="2022-12-22T00:00:00"/>
        <d v="2022-12-23T00:00:00"/>
        <d v="2022-12-27T00:00:00"/>
        <d v="2022-12-28T00:00:00"/>
        <d v="2022-12-29T00:00:00"/>
        <d v="2022-12-30T00:00:00"/>
        <d v="2023-01-03T00:00:00"/>
        <d v="2023-01-04T00:00:00"/>
        <d v="2023-01-05T00:00:00"/>
        <d v="2023-01-06T00:00:00"/>
        <d v="2023-01-09T00:00:00"/>
        <d v="2023-01-10T00:00:00"/>
        <d v="2023-01-11T00:00:00"/>
        <d v="2023-01-12T00:00:00"/>
        <d v="2023-01-13T00:00:00"/>
        <d v="2023-01-17T00:00:00"/>
        <d v="2023-01-18T00:00:00"/>
        <d v="2023-01-19T00:00:00"/>
        <d v="2023-01-20T00:00:00"/>
        <d v="2023-01-23T00:00:00"/>
        <d v="2023-01-24T00:00:00"/>
        <d v="2023-01-25T00:00:00"/>
        <d v="2023-01-26T00:00:00"/>
        <d v="2023-01-27T00:00:00"/>
        <d v="2023-01-30T00:00:00"/>
        <d v="2023-01-31T00:00:00"/>
        <d v="2023-02-01T00:00:00"/>
        <d v="2023-02-02T00:00:00"/>
        <d v="2023-02-03T00:00:00"/>
        <d v="2023-02-06T00:00:00"/>
        <d v="2023-02-07T00:00:00"/>
        <d v="2023-02-08T00:00:00"/>
        <d v="2023-02-09T00:00:00"/>
        <d v="2023-02-10T00:00:00"/>
        <d v="2023-02-13T00:00:00"/>
        <d v="2023-02-14T00:00:00"/>
        <d v="2023-02-15T00:00:00"/>
        <d v="2023-02-16T00:00:00"/>
        <d v="2023-02-17T00:00:00"/>
        <d v="2023-02-21T00:00:00"/>
        <d v="2023-02-22T00:00:00"/>
        <d v="2023-02-23T00:00:00"/>
        <d v="2023-02-24T00:00:00"/>
        <d v="2023-02-27T00:00:00"/>
        <d v="2023-02-28T00:00:00"/>
        <d v="2023-03-01T00:00:00"/>
        <d v="2023-03-02T00:00:00"/>
        <d v="2023-03-03T00:00:00"/>
        <d v="2023-03-06T00:00:00"/>
        <d v="2023-03-07T00:00:00"/>
        <d v="2023-03-08T00:00:00"/>
        <d v="2023-03-09T00:00:00"/>
        <d v="2023-03-10T00:00:00"/>
        <d v="2023-03-13T00:00:00"/>
        <d v="2023-03-14T00:00:00"/>
        <d v="2023-03-15T00:00:00"/>
        <d v="2023-03-16T00:00:00"/>
        <d v="2023-03-17T00:00:00"/>
        <d v="2023-03-20T00:00:00"/>
        <d v="2023-03-21T00:00:00"/>
        <d v="2023-03-22T00:00:00"/>
        <d v="2023-03-23T00:00:00"/>
        <d v="2023-03-24T00:00:00"/>
        <d v="2023-03-27T00:00:00"/>
        <d v="2023-03-28T00:00:00"/>
        <d v="2023-03-29T00:00:00"/>
        <d v="2023-03-30T00:00:00"/>
        <d v="2023-03-31T00:00:00"/>
        <d v="2023-04-03T00:00:00"/>
        <d v="2023-04-04T00:00:00"/>
        <d v="2023-04-05T00:00:00"/>
        <d v="2023-04-06T00:00:00"/>
        <d v="2023-04-10T00:00:00"/>
        <d v="2023-04-11T00:00:00"/>
        <d v="2023-04-12T00:00:00"/>
        <d v="2023-04-13T00:00:00"/>
        <d v="2023-04-14T00:00:00"/>
        <d v="2023-04-17T00:00:00"/>
        <d v="2023-04-18T00:00:00"/>
        <d v="2023-04-19T00:00:00"/>
        <d v="2023-04-20T00:00:00"/>
        <d v="2023-04-21T00:00:00"/>
        <d v="2023-04-24T00:00:00"/>
        <d v="2023-04-25T00:00:00"/>
        <d v="2023-04-26T00:00:00"/>
        <d v="2023-04-27T00:00:00"/>
        <d v="2023-04-28T00:00:00"/>
        <d v="2023-05-01T00:00:00"/>
        <d v="2023-05-02T00:00:00"/>
        <d v="2023-05-03T00:00:00"/>
        <d v="2023-05-04T00:00:00"/>
        <d v="2023-05-05T00:00:00"/>
        <d v="2023-05-08T00:00:00"/>
        <d v="2023-05-09T00:00:00"/>
        <d v="2023-05-10T00:00:00"/>
        <d v="2023-05-11T00:00:00"/>
        <d v="2023-05-12T00:00:00"/>
        <d v="2023-05-15T00:00:00"/>
        <d v="2023-05-16T00:00:00"/>
        <d v="2023-05-17T00:00:00"/>
        <d v="2023-05-18T00:00:00"/>
        <d v="2023-05-19T00:00:00"/>
        <d v="2023-05-22T00:00:00"/>
        <d v="2023-05-23T00:00:00"/>
        <d v="2023-05-24T00:00:00"/>
        <d v="2023-05-25T00:00:00"/>
        <d v="2023-05-26T00:00:00"/>
        <d v="2023-05-30T00:00:00"/>
        <d v="2023-05-31T00:00:00"/>
        <d v="2023-06-01T00:00:00"/>
        <d v="2023-06-02T00:00:00"/>
        <d v="2023-06-05T00:00:00"/>
        <d v="2023-06-06T00:00:00"/>
        <d v="2023-06-07T00:00:00"/>
        <d v="2023-06-08T00:00:00"/>
        <d v="2023-06-09T00:00:00"/>
        <d v="2023-06-12T00:00:00"/>
        <d v="2023-06-13T00:00:00"/>
        <d v="2023-06-14T00:00:00"/>
        <d v="2023-06-15T00:00:00"/>
        <d v="2023-06-16T00:00:00"/>
        <d v="2023-06-20T00:00:00"/>
        <d v="2023-06-21T00:00:00"/>
        <d v="2023-06-22T00:00:00"/>
        <d v="2023-06-23T00:00:00"/>
        <d v="2023-06-26T00:00:00"/>
        <d v="2023-06-27T00:00:00"/>
        <d v="2023-06-28T00:00:00"/>
        <d v="2023-06-29T00:00:00"/>
        <d v="2023-06-30T00:00:00"/>
        <d v="2023-07-03T00:00:00"/>
        <d v="2023-07-05T00:00:00"/>
        <d v="2023-07-06T00:00:00"/>
        <d v="2023-07-07T00:00:00"/>
        <d v="2023-07-10T00:00:00"/>
        <d v="2023-07-11T00:00:00"/>
        <d v="2023-07-12T00:00:00"/>
        <d v="2023-07-13T00:00:00"/>
        <d v="2023-07-14T00:00:00"/>
        <d v="2023-07-17T00:00:00"/>
        <d v="2023-07-18T00:00:00"/>
        <d v="2023-07-19T00:00:00"/>
        <d v="2023-07-20T00:00:00"/>
        <d v="2023-07-21T00:00:00"/>
        <d v="2023-07-24T00:00:00"/>
        <d v="2023-07-25T00:00:00"/>
        <d v="2023-07-26T00:00:00"/>
        <d v="2023-07-27T00:00:00"/>
        <d v="2023-07-28T00:00:00"/>
        <d v="2023-07-31T00:00:00"/>
        <d v="2023-08-01T00:00:00"/>
        <d v="2023-08-02T00:00:00"/>
        <d v="2023-08-03T00:00:00"/>
        <d v="2023-08-04T00:00:00"/>
        <d v="2023-08-07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21T00:00:00"/>
        <d v="2023-08-22T00:00:00"/>
        <d v="2023-08-23T00:00:00"/>
        <d v="2023-08-24T00:00:00"/>
        <d v="2023-08-25T00:00:00"/>
        <d v="2023-08-28T00:00:00"/>
        <d v="2023-08-29T00:00:00"/>
        <d v="2023-08-30T00:00:00"/>
        <d v="2023-08-31T00:00:00"/>
        <d v="2023-09-01T00:00:00"/>
        <d v="2023-09-05T00:00:00"/>
        <d v="2023-09-06T00:00:00"/>
        <d v="2023-09-07T00:00:00"/>
        <d v="2023-09-08T00:00:00"/>
        <d v="2023-09-11T00:00:00"/>
        <d v="2023-09-12T00:00:00"/>
        <d v="2023-09-13T00:00:00"/>
        <d v="2023-09-14T00:00:00"/>
        <d v="2023-09-15T00:00:00"/>
        <d v="2023-09-18T00:00:00"/>
        <d v="2023-09-19T00:00:00"/>
        <d v="2023-09-20T00:00:00"/>
        <d v="2023-09-21T00:00:00"/>
        <d v="2023-09-22T00:00:00"/>
        <d v="2023-09-25T00:00:00"/>
        <d v="2023-09-26T00:00:00"/>
        <d v="2023-09-27T00:00:00"/>
        <d v="2023-09-28T00:00:00"/>
        <d v="2023-09-29T00:00:00"/>
        <d v="2023-10-02T00:00:00"/>
        <d v="2023-10-03T00:00:00"/>
        <d v="2023-10-04T00:00:00"/>
        <d v="2023-10-05T00:00:00"/>
        <d v="2023-10-06T00:00:00"/>
        <d v="2023-10-09T00:00:00"/>
        <d v="2023-10-10T00:00:00"/>
        <d v="2023-10-11T00:00:00"/>
        <d v="2023-10-12T00:00:00"/>
        <d v="2023-10-13T00:00:00"/>
        <d v="2023-10-16T00:00:00"/>
        <d v="2023-10-17T00:00:00"/>
        <d v="2023-10-18T00:00:00"/>
        <d v="2023-10-19T00:00:00"/>
        <d v="2023-10-20T00:00:00"/>
        <d v="2023-10-23T00:00:00"/>
        <d v="2023-10-24T00:00:00"/>
        <d v="2023-10-25T00:00:00"/>
        <d v="2023-10-26T00:00:00"/>
        <d v="2023-10-27T00:00:00"/>
        <d v="2023-10-30T00:00:00"/>
        <d v="2023-10-31T00:00:00"/>
        <d v="2023-11-01T00:00:00"/>
        <d v="2023-11-02T00:00:00"/>
        <d v="2023-11-03T00:00:00"/>
        <d v="2023-11-06T00:00:00"/>
        <d v="2023-11-07T00:00:00"/>
        <d v="2023-11-08T00:00:00"/>
        <d v="2023-11-09T00:00:00"/>
        <d v="2023-11-10T00:00:00"/>
        <d v="2023-11-13T00:00:00"/>
        <d v="2023-11-14T00:00:00"/>
        <d v="2023-11-15T00:00:00"/>
        <d v="2023-11-16T00:00:00"/>
        <d v="2023-11-17T00:00:00"/>
        <d v="2023-11-20T00:00:00"/>
        <d v="2023-11-21T00:00:00"/>
        <d v="2023-11-22T00:00:00"/>
        <d v="2023-11-24T00:00:00"/>
        <d v="2023-11-27T00:00:00"/>
        <d v="2023-11-28T00:00:00"/>
        <d v="2023-11-29T00:00:00"/>
        <d v="2023-11-30T00:00:00"/>
        <d v="2023-12-01T00:00:00"/>
        <d v="2023-12-04T00:00:00"/>
        <d v="2023-12-05T00:00:00"/>
        <d v="2023-12-06T00:00:00"/>
        <d v="2023-12-07T00:00:00"/>
        <d v="2023-12-08T00:00:00"/>
        <d v="2023-12-11T00:00:00"/>
        <d v="2023-12-12T00:00:00"/>
        <d v="2023-12-13T00:00:00"/>
        <d v="2023-12-14T00:00:00"/>
        <d v="2023-12-15T00:00:00"/>
        <d v="2023-12-18T00:00:00"/>
        <d v="2023-12-19T00:00:00"/>
        <d v="2023-12-20T00:00:00"/>
        <d v="2023-12-21T00:00:00"/>
        <d v="2023-12-22T00:00:00"/>
        <d v="2023-12-26T00:00:00"/>
        <d v="2023-12-27T00:00:00"/>
        <d v="2023-12-28T00:00:00"/>
        <d v="2023-12-29T00:00:00"/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6T00:00:00"/>
        <d v="2024-01-17T00:00:00"/>
        <d v="2024-01-18T00:00:00"/>
        <d v="2024-01-19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2T00:00:00"/>
        <d v="2024-02-13T00:00:00"/>
        <d v="2024-02-14T00:00:00"/>
        <d v="2024-02-15T00:00:00"/>
        <d v="2024-02-16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4-01T00:00:00"/>
        <d v="2024-04-02T00:00:00"/>
        <d v="2024-04-03T00:00:00"/>
        <d v="2024-04-04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2T00:00:00"/>
        <d v="2024-04-23T00:00:00"/>
        <d v="2024-04-24T00:00:00"/>
        <d v="2024-04-25T00:00:00"/>
        <d v="2024-04-26T00:00:00"/>
        <d v="2024-04-29T00:00:00"/>
        <d v="2024-04-30T00:00:00"/>
        <d v="2024-05-01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8T00:00:00"/>
        <d v="2024-05-29T00:00:00"/>
        <d v="2024-05-30T00:00:00"/>
        <d v="2024-05-31T00:00:00"/>
        <d v="2024-06-03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7T00:00:00"/>
        <d v="2024-06-18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5T00:00:00"/>
        <d v="2024-08-06T00:00:00"/>
        <d v="2024-08-07T00:00:00"/>
        <d v="2024-08-08T00:00:00"/>
        <d v="2024-08-09T00:00:00"/>
        <d v="2024-08-12T00:00:00"/>
        <d v="2024-08-13T00:00:00"/>
        <d v="2024-08-14T00:00:00"/>
        <d v="2024-08-15T00:00:00"/>
        <d v="2024-08-16T00:00:00"/>
        <d v="2024-08-19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9-03T00:00:00"/>
        <d v="2024-09-04T00:00:00"/>
        <d v="2024-09-05T00:00:00"/>
        <d v="2024-09-06T00:00:00"/>
        <d v="2024-09-09T00:00:00"/>
        <d v="2024-09-10T00:00:00"/>
        <d v="2024-09-11T00:00:00"/>
        <d v="2024-09-12T00:00:00"/>
        <d v="2024-09-13T00:00:00"/>
        <d v="2024-09-16T00:00:00"/>
        <d v="2024-09-17T00:00:00"/>
        <d v="2024-09-18T00:00:00"/>
        <d v="2024-09-19T00:00:00"/>
        <d v="2024-09-20T00:00:00"/>
        <d v="2024-09-23T00:00:00"/>
        <d v="2024-09-24T00:00:00"/>
        <d v="2024-09-25T00:00:00"/>
        <d v="2024-09-26T00:00:00"/>
        <d v="2024-09-27T00:00:00"/>
        <d v="2024-09-30T00:00:00"/>
        <d v="2024-10-01T00:00:00"/>
        <d v="2024-10-02T00:00:00"/>
        <d v="2024-10-03T00:00:00"/>
        <d v="2024-10-04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4T00:00:00"/>
        <d v="2024-10-25T00:00:00"/>
        <d v="2024-10-28T00:00:00"/>
        <d v="2024-10-29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8T00:00:00"/>
        <d v="2024-11-19T00:00:00"/>
        <d v="2024-11-20T00:00:00"/>
        <d v="2024-11-21T00:00:00"/>
        <d v="2024-11-22T00:00:00"/>
        <d v="2024-11-25T00:00:00"/>
        <d v="2024-11-26T00:00:00"/>
        <d v="2024-11-27T00:00:00"/>
        <d v="2024-11-29T00:00:00"/>
        <d v="2024-12-02T00:00:00"/>
        <d v="2024-12-03T00:00:00"/>
        <d v="2024-12-04T00:00:00"/>
        <d v="2024-12-05T00:00:00"/>
        <d v="2024-12-06T00:00:00"/>
        <d v="2024-12-09T00:00:00"/>
        <d v="2024-12-10T00:00:00"/>
        <d v="2024-12-11T00:00:00"/>
        <d v="2024-12-12T00:00:00"/>
        <d v="2024-12-13T00:00:00"/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30T00:00:00"/>
        <d v="2024-12-31T00:00:00"/>
        <d v="2025-01-02T00:00:00"/>
        <d v="2025-01-03T00:00:00"/>
        <d v="2025-01-06T00:00:00"/>
        <d v="2025-01-07T00:00:00"/>
        <d v="2025-01-08T00:00:00"/>
        <d v="2025-01-10T00:00:00"/>
        <d v="2025-01-13T00:00:00"/>
        <d v="2025-01-14T00:00:00"/>
        <d v="2025-01-15T00:00:00"/>
        <d v="2025-01-16T00:00:00"/>
        <d v="2025-01-17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3T00:00:00"/>
        <d v="2025-02-04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3T00:00:00"/>
        <d v="2025-03-04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4T00:00:00"/>
        <d v="2025-03-25T00:00:00"/>
        <d v="2025-03-26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m/>
      </sharedItems>
      <fieldGroup par="7"/>
    </cacheField>
    <cacheField name="Close" numFmtId="44">
      <sharedItems containsString="0" containsBlank="1" containsNumber="1" minValue="2736.56" maxValue="6144.15"/>
    </cacheField>
    <cacheField name="Average Daily close" numFmtId="0">
      <sharedItems containsString="0" containsBlank="1" containsNumber="1" minValue="-5.9749616419470415E-2" maxValue="9.5153900340573444E-2"/>
    </cacheField>
    <cacheField name="Rolling 10 day average" numFmtId="0">
      <sharedItems containsString="0" containsBlank="1" containsNumber="1" minValue="2805.8730000000005" maxValue="6091.7420000000002"/>
    </cacheField>
    <cacheField name="Rolling 10 day volatility " numFmtId="44">
      <sharedItems containsString="0" containsBlank="1" containsNumber="1" minValue="10.774488572549508" maxValue="276.72883912595734"/>
    </cacheField>
    <cacheField name="Months (Date)" numFmtId="0" databaseField="0">
      <fieldGroup base="0">
        <rangePr groupBy="months" startDate="2020-04-13T00:00:00" endDate="2025-04-12T00:00:00"/>
        <groupItems count="14">
          <s v="&lt;4/13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12/2025"/>
        </groupItems>
      </fieldGroup>
    </cacheField>
    <cacheField name="Quarters (Date)" numFmtId="0" databaseField="0">
      <fieldGroup base="0">
        <rangePr groupBy="quarters" startDate="2020-04-13T00:00:00" endDate="2025-04-12T00:00:00"/>
        <groupItems count="6">
          <s v="&lt;4/13/2020"/>
          <s v="Qtr1"/>
          <s v="Qtr2"/>
          <s v="Qtr3"/>
          <s v="Qtr4"/>
          <s v="&gt;4/12/2025"/>
        </groupItems>
      </fieldGroup>
    </cacheField>
    <cacheField name="Years (Date)" numFmtId="0" databaseField="0">
      <fieldGroup base="0">
        <rangePr groupBy="years" startDate="2020-04-13T00:00:00" endDate="2025-04-12T00:00:00"/>
        <groupItems count="8">
          <s v="&lt;4/13/2020"/>
          <s v="2020"/>
          <s v="2021"/>
          <s v="2022"/>
          <s v="2023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9">
  <r>
    <x v="0"/>
    <n v="2761.63"/>
    <m/>
    <m/>
    <m/>
  </r>
  <r>
    <x v="1"/>
    <n v="2846.06"/>
    <n v="3.0572524197665811E-2"/>
    <n v="2805.8730000000005"/>
    <n v="38.731521800724479"/>
  </r>
  <r>
    <x v="2"/>
    <n v="2783.36"/>
    <n v="-2.2030456139364531E-2"/>
    <n v="2817.558"/>
    <n v="41.170680052678229"/>
  </r>
  <r>
    <x v="3"/>
    <n v="2799.55"/>
    <n v="5.8167107381007326E-3"/>
    <n v="2819.2910000000002"/>
    <n v="42.671330293301097"/>
  </r>
  <r>
    <x v="4"/>
    <n v="2874.56"/>
    <n v="2.6793591827257865E-2"/>
    <n v="2834.9059999999999"/>
    <n v="53.7882080385655"/>
  </r>
  <r>
    <x v="5"/>
    <n v="2823.16"/>
    <n v="-1.7880997439608182E-2"/>
    <n v="2846.1939999999995"/>
    <n v="56.936322009768091"/>
  </r>
  <r>
    <x v="6"/>
    <n v="2736.56"/>
    <n v="-3.067484662576684E-2"/>
    <n v="2841.8089999999997"/>
    <n v="56.267477009370182"/>
  </r>
  <r>
    <x v="7"/>
    <n v="2799.31"/>
    <n v="2.2930248194813926E-2"/>
    <n v="2843.7669999999998"/>
    <n v="55.924085696594105"/>
  </r>
  <r>
    <x v="8"/>
    <n v="2797.8"/>
    <n v="-5.3941864245109097E-4"/>
    <n v="2856.9549999999999"/>
    <n v="43.187053905076716"/>
  </r>
  <r>
    <x v="9"/>
    <n v="2836.74"/>
    <n v="1.3918078490242189E-2"/>
    <n v="2861.8659999999995"/>
    <n v="38.935764073663705"/>
  </r>
  <r>
    <x v="10"/>
    <n v="2878.48"/>
    <n v="1.4714073196697703E-2"/>
    <n v="2870.2049999999999"/>
    <n v="32.762040000586104"/>
  </r>
  <r>
    <x v="11"/>
    <n v="2863.39"/>
    <n v="-5.2423501292349246E-3"/>
    <n v="2879.511"/>
    <n v="35.070149828593614"/>
  </r>
  <r>
    <x v="12"/>
    <n v="2939.51"/>
    <n v="2.6583874358714791E-2"/>
    <n v="2884.6819999999998"/>
    <n v="38.208715969003784"/>
  </r>
  <r>
    <x v="13"/>
    <n v="2912.43"/>
    <n v="-9.2124197570344641E-3"/>
    <n v="2885.3549999999996"/>
    <n v="37.885660941839262"/>
  </r>
  <r>
    <x v="14"/>
    <n v="2830.71"/>
    <n v="-2.8059043479156512E-2"/>
    <n v="2873.4039999999995"/>
    <n v="37.767024028906519"/>
  </r>
  <r>
    <x v="15"/>
    <n v="2842.74"/>
    <n v="4.2498171836746774E-3"/>
    <n v="2867.4109999999996"/>
    <n v="35.802610365726174"/>
  </r>
  <r>
    <x v="16"/>
    <n v="2868.44"/>
    <n v="9.0405735311707286E-3"/>
    <n v="2870.71"/>
    <n v="33.728686900026275"/>
  </r>
  <r>
    <x v="17"/>
    <n v="2848.42"/>
    <n v="-6.9794034388029665E-3"/>
    <n v="2881.8270000000002"/>
    <n v="40.34883568332549"/>
  </r>
  <r>
    <x v="18"/>
    <n v="2881.19"/>
    <n v="1.1504623615899334E-2"/>
    <n v="2887.277"/>
    <n v="41.826220735323446"/>
  </r>
  <r>
    <x v="19"/>
    <n v="2929.8"/>
    <n v="1.6871501011734777E-2"/>
    <n v="2899.596"/>
    <n v="46.453135782205315"/>
  </r>
  <r>
    <x v="20"/>
    <n v="2930.19"/>
    <n v="1.3311488838824243E-4"/>
    <n v="2906.328"/>
    <n v="48.145133253528392"/>
  </r>
  <r>
    <x v="21"/>
    <n v="2870.12"/>
    <n v="-2.0500377108651713E-2"/>
    <n v="2908.8929999999996"/>
    <n v="49.975776542240972"/>
  </r>
  <r>
    <x v="22"/>
    <n v="2820"/>
    <n v="-1.7462684487059735E-2"/>
    <n v="2915.0510000000004"/>
    <n v="55.688066666028213"/>
  </r>
  <r>
    <x v="23"/>
    <n v="2852.5"/>
    <n v="1.152482269503546E-2"/>
    <n v="2931.652"/>
    <n v="63.950766344118236"/>
  </r>
  <r>
    <x v="24"/>
    <n v="2863.7"/>
    <n v="3.9263803680980956E-3"/>
    <n v="2952.6250000000005"/>
    <n v="58.009880925580298"/>
  </r>
  <r>
    <x v="25"/>
    <n v="2953.91"/>
    <n v="3.1501204735132883E-2"/>
    <n v="2971.806"/>
    <n v="53.247984788158924"/>
  </r>
  <r>
    <x v="26"/>
    <n v="2922.94"/>
    <n v="-1.0484408800538879E-2"/>
    <n v="2991.0090000000005"/>
    <n v="44.746237037319688"/>
  </r>
  <r>
    <x v="27"/>
    <n v="2971.61"/>
    <n v="1.6651043127809694E-2"/>
    <n v="3003.7000000000003"/>
    <n v="50.101219945226887"/>
  </r>
  <r>
    <x v="28"/>
    <n v="2948.51"/>
    <n v="-7.7735638256702282E-3"/>
    <n v="3023.6930000000002"/>
    <n v="53.650194044383454"/>
  </r>
  <r>
    <x v="29"/>
    <n v="2955.45"/>
    <n v="2.3537312066093043E-3"/>
    <n v="3037.7669999999998"/>
    <n v="56.524404649673201"/>
  </r>
  <r>
    <x v="30"/>
    <n v="2991.77"/>
    <n v="1.2289160703107874E-2"/>
    <n v="3062.3089999999997"/>
    <n v="65.074615703821081"/>
  </r>
  <r>
    <x v="31"/>
    <n v="3036.13"/>
    <n v="1.4827343010993534E-2"/>
    <n v="3090.0029999999997"/>
    <n v="72.240003052325463"/>
  </r>
  <r>
    <x v="32"/>
    <n v="3029.73"/>
    <n v="-2.1079466294263061E-3"/>
    <n v="3111.5439999999999"/>
    <n v="71.851764515563488"/>
  </r>
  <r>
    <x v="33"/>
    <n v="3044.31"/>
    <n v="4.8123100078224556E-3"/>
    <n v="3126.9449999999997"/>
    <n v="70.530073337548643"/>
  </r>
  <r>
    <x v="34"/>
    <n v="3055.73"/>
    <n v="3.7512605483673057E-3"/>
    <n v="3124.1819999999998"/>
    <n v="74.702134213153457"/>
  </r>
  <r>
    <x v="35"/>
    <n v="3080.82"/>
    <n v="8.210803965010045E-3"/>
    <n v="3123.8820000000001"/>
    <n v="75.027608625092086"/>
  </r>
  <r>
    <x v="36"/>
    <n v="3122.87"/>
    <n v="1.3648963587616195E-2"/>
    <n v="3124.9679999999998"/>
    <n v="74.106210778854361"/>
  </r>
  <r>
    <x v="37"/>
    <n v="3112.35"/>
    <n v="-3.368696103263979E-3"/>
    <n v="3129.3599999999997"/>
    <n v="72.646688981673449"/>
  </r>
  <r>
    <x v="38"/>
    <n v="3193.93"/>
    <n v="2.6211704981766167E-2"/>
    <n v="3128.422"/>
    <n v="72.784855952320143"/>
  </r>
  <r>
    <x v="39"/>
    <n v="3232.39"/>
    <n v="1.2041591393674889E-2"/>
    <n v="3128.7209999999995"/>
    <n v="72.724334366152803"/>
  </r>
  <r>
    <x v="40"/>
    <n v="3207.18"/>
    <n v="-7.7991826481334358E-3"/>
    <n v="3119.1019999999999"/>
    <n v="69.764349893050635"/>
  </r>
  <r>
    <x v="41"/>
    <n v="3190.14"/>
    <n v="-5.3130787794885117E-3"/>
    <n v="3107.6489999999999"/>
    <n v="58.759088394902768"/>
  </r>
  <r>
    <x v="42"/>
    <n v="3002.1"/>
    <n v="-5.8944121574601729E-2"/>
    <n v="3100.06"/>
    <n v="49.601262483932786"/>
  </r>
  <r>
    <x v="43"/>
    <n v="3041.31"/>
    <n v="1.3060857399820139E-2"/>
    <n v="3086.0790000000002"/>
    <n v="41.239344429803921"/>
  </r>
  <r>
    <x v="44"/>
    <n v="3066.59"/>
    <n v="8.312207568449189E-3"/>
    <n v="3094.2450000000003"/>
    <n v="30.484266515696234"/>
  </r>
  <r>
    <x v="45"/>
    <n v="3124.74"/>
    <n v="1.8962430582503572E-2"/>
    <n v="3091.0189999999998"/>
    <n v="36.939014726979316"/>
  </r>
  <r>
    <x v="46"/>
    <n v="3113.49"/>
    <n v="-3.6002995449221377E-3"/>
    <n v="3089.6840000000002"/>
    <n v="38.023101714615514"/>
  </r>
  <r>
    <x v="47"/>
    <n v="3115.34"/>
    <n v="5.9418851513907674E-4"/>
    <n v="3087.2390000000005"/>
    <n v="36.443581725730503"/>
  </r>
  <r>
    <x v="48"/>
    <n v="3097.74"/>
    <n v="-5.6494636219482823E-3"/>
    <n v="3087.4760000000001"/>
    <n v="36.620802066585057"/>
  </r>
  <r>
    <x v="49"/>
    <n v="3117.86"/>
    <n v="6.4950576872172443E-3"/>
    <n v="3088.9430000000002"/>
    <n v="37.976373194395499"/>
  </r>
  <r>
    <x v="50"/>
    <n v="3131.29"/>
    <n v="4.307441642665109E-3"/>
    <n v="3097.1410000000005"/>
    <n v="46.81138076365616"/>
  </r>
  <r>
    <x v="51"/>
    <n v="3050.33"/>
    <n v="-2.5855158736495194E-2"/>
    <n v="3099.8870000000002"/>
    <n v="48.713024551961446"/>
  </r>
  <r>
    <x v="52"/>
    <n v="3083.76"/>
    <n v="1.095946995898814E-2"/>
    <n v="3103.752"/>
    <n v="52.441853285329259"/>
  </r>
  <r>
    <x v="53"/>
    <n v="3009.05"/>
    <n v="-2.4226917788673578E-2"/>
    <n v="3113.924"/>
    <n v="50.936794795118381"/>
  </r>
  <r>
    <x v="54"/>
    <n v="3053.24"/>
    <n v="1.4685698143932337E-2"/>
    <n v="3124.0520000000001"/>
    <n v="53.914214600604161"/>
  </r>
  <r>
    <x v="55"/>
    <n v="3100.29"/>
    <n v="1.5409859690034253E-2"/>
    <n v="3138.6689999999999"/>
    <n v="38.310367643759328"/>
  </r>
  <r>
    <x v="56"/>
    <n v="3115.86"/>
    <n v="5.0221108347929273E-3"/>
    <n v="3153.0970000000002"/>
    <n v="29.598136782574624"/>
  </r>
  <r>
    <x v="57"/>
    <n v="3130.01"/>
    <n v="4.541282342595653E-3"/>
    <n v="3165.7240000000006"/>
    <n v="31.263907049503505"/>
  </r>
  <r>
    <x v="58"/>
    <n v="3179.72"/>
    <n v="1.5881738397001792E-2"/>
    <n v="3175.6950000000006"/>
    <n v="29.628222440774223"/>
  </r>
  <r>
    <x v="59"/>
    <n v="3145.32"/>
    <n v="-1.0818562640735548E-2"/>
    <n v="3185.1670000000004"/>
    <n v="28.632917787050612"/>
  </r>
  <r>
    <x v="60"/>
    <n v="3169.94"/>
    <n v="7.8275024480815598E-3"/>
    <n v="3192.3789999999999"/>
    <n v="34.776327422544213"/>
  </r>
  <r>
    <x v="61"/>
    <n v="3152.05"/>
    <n v="-5.6436399427118094E-3"/>
    <n v="3203.5769999999998"/>
    <n v="35.83317486631632"/>
  </r>
  <r>
    <x v="62"/>
    <n v="3185.04"/>
    <n v="1.0466204533557457E-2"/>
    <n v="3214.1849999999999"/>
    <n v="39.788701976817521"/>
  </r>
  <r>
    <x v="63"/>
    <n v="3155.22"/>
    <n v="-9.362519779971417E-3"/>
    <n v="3222.5459999999998"/>
    <n v="34.253119916293819"/>
  </r>
  <r>
    <x v="64"/>
    <n v="3197.52"/>
    <n v="1.3406355182839924E-2"/>
    <n v="3225.605"/>
    <n v="32.062935689047627"/>
  </r>
  <r>
    <x v="65"/>
    <n v="3226.56"/>
    <n v="9.0820385798994104E-3"/>
    <n v="3234.0240000000003"/>
    <n v="21.927272151364388"/>
  </r>
  <r>
    <x v="66"/>
    <n v="3215.57"/>
    <n v="-3.4061043340275036E-3"/>
    <n v="3236.116"/>
    <n v="19.169264565966003"/>
  </r>
  <r>
    <x v="67"/>
    <n v="3224.73"/>
    <n v="2.8486395880045695E-3"/>
    <n v="3239.3039999999996"/>
    <n v="19.949981052622572"/>
  </r>
  <r>
    <x v="68"/>
    <n v="3251.84"/>
    <n v="8.4069053843267901E-3"/>
    <n v="3242.3689999999997"/>
    <n v="18.359203386857505"/>
  </r>
  <r>
    <x v="69"/>
    <n v="3257.3"/>
    <n v="1.6790493997244748E-3"/>
    <n v="3247.0079999999998"/>
    <n v="19.159556257909514"/>
  </r>
  <r>
    <x v="70"/>
    <n v="3276.02"/>
    <n v="5.7470911491111654E-3"/>
    <n v="3251.2849999999999"/>
    <n v="23.938589870750548"/>
  </r>
  <r>
    <x v="71"/>
    <n v="3235.66"/>
    <n v="-1.2319827107282657E-2"/>
    <n v="3256.2060000000006"/>
    <n v="29.158221550705093"/>
  </r>
  <r>
    <x v="72"/>
    <n v="3215.63"/>
    <n v="-6.1903908321639936E-3"/>
    <n v="3261.3810000000003"/>
    <n v="36.004199880014035"/>
  </r>
  <r>
    <x v="73"/>
    <n v="3239.41"/>
    <n v="7.3951294147646786E-3"/>
    <n v="3272.7309999999998"/>
    <n v="43.264745567262956"/>
  </r>
  <r>
    <x v="74"/>
    <n v="3218.44"/>
    <n v="-6.4734010205561507E-3"/>
    <n v="3286.2959999999998"/>
    <n v="44.483380087398977"/>
  </r>
  <r>
    <x v="75"/>
    <n v="3258.44"/>
    <n v="1.2428381451883521E-2"/>
    <n v="3298.4020000000005"/>
    <n v="46.503380479272678"/>
  </r>
  <r>
    <x v="76"/>
    <n v="3246.22"/>
    <n v="-3.7502608610255994E-3"/>
    <n v="3309.9269999999997"/>
    <n v="38.921342744052403"/>
  </r>
  <r>
    <x v="77"/>
    <n v="3271.12"/>
    <n v="7.6704597963169752E-3"/>
    <n v="3322.1179999999999"/>
    <n v="39.963723750421465"/>
  </r>
  <r>
    <x v="78"/>
    <n v="3294.61"/>
    <n v="7.1810266819927844E-3"/>
    <n v="3334.838999999999"/>
    <n v="33.50398288263645"/>
  </r>
  <r>
    <x v="79"/>
    <n v="3306.51"/>
    <n v="3.6119601409575308E-3"/>
    <n v="3345.0120000000002"/>
    <n v="27.522708006298988"/>
  </r>
  <r>
    <x v="80"/>
    <n v="3327.77"/>
    <n v="6.4297401187353919E-3"/>
    <n v="3353.75"/>
    <n v="23.745481675468177"/>
  </r>
  <r>
    <x v="81"/>
    <n v="3349.16"/>
    <n v="6.427727877828057E-3"/>
    <n v="3362.0769999999998"/>
    <n v="20.029061410859949"/>
  </r>
  <r>
    <x v="82"/>
    <n v="3351.28"/>
    <n v="6.3299454191509082E-4"/>
    <n v="3366.7849999999999"/>
    <n v="16.661811576176206"/>
  </r>
  <r>
    <x v="83"/>
    <n v="3360.47"/>
    <n v="2.7422358024395454E-3"/>
    <n v="3370.4199999999996"/>
    <n v="16.382955777270467"/>
  </r>
  <r>
    <x v="84"/>
    <n v="3333.69"/>
    <n v="-7.969123366671849E-3"/>
    <n v="3375.0080000000003"/>
    <n v="16.799413561193148"/>
  </r>
  <r>
    <x v="85"/>
    <n v="3380.35"/>
    <n v="1.3996502374245911E-2"/>
    <n v="3382.0889999999999"/>
    <n v="22.969505632468501"/>
  </r>
  <r>
    <x v="86"/>
    <n v="3373.43"/>
    <n v="-2.0471252976762976E-3"/>
    <n v="3393.0819999999994"/>
    <n v="23.475779348085592"/>
  </r>
  <r>
    <x v="87"/>
    <n v="3372.85"/>
    <n v="-1.7193183199293516E-4"/>
    <n v="3402.9200000000005"/>
    <n v="34.22971779024774"/>
  </r>
  <r>
    <x v="88"/>
    <n v="3381.99"/>
    <n v="2.7098744385311746E-3"/>
    <n v="3414.0320000000002"/>
    <n v="40.343236310439991"/>
  </r>
  <r>
    <x v="89"/>
    <n v="3389.78"/>
    <n v="2.3033775972135986E-3"/>
    <n v="3427.5479999999998"/>
    <n v="46.459500599984992"/>
  </r>
  <r>
    <x v="90"/>
    <n v="3374.85"/>
    <n v="-4.4044156257929097E-3"/>
    <n v="3439.3799999999997"/>
    <n v="48.377336636073728"/>
  </r>
  <r>
    <x v="91"/>
    <n v="3385.51"/>
    <n v="3.1586589033587597E-3"/>
    <n v="3453.067"/>
    <n v="51.658707117000169"/>
  </r>
  <r>
    <x v="92"/>
    <n v="3397.16"/>
    <n v="3.4411358997609325E-3"/>
    <n v="3473.6660000000002"/>
    <n v="57.141117104935944"/>
  </r>
  <r>
    <x v="93"/>
    <n v="3431.28"/>
    <n v="1.0043683547433841E-2"/>
    <n v="3480.6210000000001"/>
    <n v="49.741386480475256"/>
  </r>
  <r>
    <x v="94"/>
    <n v="3443.62"/>
    <n v="3.5963255694666974E-3"/>
    <n v="3483.601000000001"/>
    <n v="45.350871755678554"/>
  </r>
  <r>
    <x v="95"/>
    <n v="3478.73"/>
    <n v="1.0195666188487733E-2"/>
    <n v="3473.6570000000006"/>
    <n v="63.14435715881509"/>
  </r>
  <r>
    <x v="96"/>
    <n v="3484.55"/>
    <n v="1.6730243508407275E-3"/>
    <n v="3469.1910000000003"/>
    <n v="66.595846184277903"/>
  </r>
  <r>
    <x v="97"/>
    <n v="3508.01"/>
    <n v="6.7325766598269601E-3"/>
    <n v="3455.2370000000001"/>
    <n v="76.949459783678805"/>
  </r>
  <r>
    <x v="98"/>
    <n v="3500.31"/>
    <n v="-2.1949766391772749E-3"/>
    <n v="3440.8789999999995"/>
    <n v="83.275667088291812"/>
  </r>
  <r>
    <x v="99"/>
    <n v="3526.65"/>
    <n v="7.525047781482253E-3"/>
    <n v="3428.4319999999998"/>
    <n v="81.596739493683231"/>
  </r>
  <r>
    <x v="100"/>
    <n v="3580.84"/>
    <n v="1.5365857116527031E-2"/>
    <n v="3418.5209999999997"/>
    <n v="78.213256350825887"/>
  </r>
  <r>
    <x v="101"/>
    <n v="3455.06"/>
    <n v="-3.5125836395929498E-2"/>
    <n v="3404.4050000000002"/>
    <n v="69.699129442196082"/>
  </r>
  <r>
    <x v="102"/>
    <n v="3426.96"/>
    <n v="-8.132999137496863E-3"/>
    <n v="3382.0219999999999"/>
    <n v="38.32319970983631"/>
  </r>
  <r>
    <x v="103"/>
    <n v="3331.84"/>
    <n v="-2.775637883138405E-2"/>
    <n v="3368.4630000000006"/>
    <n v="33.802980356767357"/>
  </r>
  <r>
    <x v="104"/>
    <n v="3398.96"/>
    <n v="2.0145024971187059E-2"/>
    <n v="3353.8730000000005"/>
    <n v="36.762915023158854"/>
  </r>
  <r>
    <x v="105"/>
    <n v="3339.19"/>
    <n v="-1.7584790641843383E-2"/>
    <n v="3352.2460000000005"/>
    <n v="38.039866771585814"/>
  </r>
  <r>
    <x v="106"/>
    <n v="3340.97"/>
    <n v="5.3306340759278305E-4"/>
    <n v="3336.0420000000004"/>
    <n v="47.919210093656538"/>
  </r>
  <r>
    <x v="107"/>
    <n v="3383.54"/>
    <n v="1.2741808516688317E-2"/>
    <n v="3326.7820000000006"/>
    <n v="54.860533500869202"/>
  </r>
  <r>
    <x v="108"/>
    <n v="3401.2"/>
    <n v="5.219385613883641E-3"/>
    <n v="3322.5310000000004"/>
    <n v="55.242110468373603"/>
  </r>
  <r>
    <x v="109"/>
    <n v="3385.49"/>
    <n v="-4.61895801481831E-3"/>
    <n v="3319.3370000000004"/>
    <n v="52.476470927454642"/>
  </r>
  <r>
    <x v="110"/>
    <n v="3357.01"/>
    <n v="-8.4123716212422921E-3"/>
    <n v="3312.7639999999992"/>
    <n v="45.45820018434511"/>
  </r>
  <r>
    <x v="111"/>
    <n v="3319.47"/>
    <n v="-1.1182570203842234E-2"/>
    <n v="3310.5149999999994"/>
    <n v="42.247466492086801"/>
  </r>
  <r>
    <x v="112"/>
    <n v="3281.06"/>
    <n v="-1.1571124305988563E-2"/>
    <n v="3312.8940000000002"/>
    <n v="45.354254530308374"/>
  </r>
  <r>
    <x v="113"/>
    <n v="3315.57"/>
    <n v="1.0517942372282195E-2"/>
    <n v="3315.7889999999998"/>
    <n v="46.588761187651244"/>
  </r>
  <r>
    <x v="114"/>
    <n v="3236.92"/>
    <n v="-2.3721411401357861E-2"/>
    <n v="3328.5430000000001"/>
    <n v="52.427340014538181"/>
  </r>
  <r>
    <x v="115"/>
    <n v="3246.59"/>
    <n v="2.9874077827070403E-3"/>
    <n v="3333.0830000000001"/>
    <n v="53.069158095828072"/>
  </r>
  <r>
    <x v="116"/>
    <n v="3298.46"/>
    <n v="1.5976763311659276E-2"/>
    <n v="3351.335"/>
    <n v="48.002301246919373"/>
  </r>
  <r>
    <x v="117"/>
    <n v="3351.6"/>
    <n v="1.6110548559024475E-2"/>
    <n v="3371.3589999999995"/>
    <n v="41.449226156829518"/>
  </r>
  <r>
    <x v="118"/>
    <n v="3335.47"/>
    <n v="-4.8126268051080405E-3"/>
    <n v="3389.2269999999999"/>
    <n v="44.568021057704591"/>
  </r>
  <r>
    <x v="119"/>
    <n v="3363"/>
    <n v="8.2537093722924205E-3"/>
    <n v="3407.489"/>
    <n v="60.112608901959959"/>
  </r>
  <r>
    <x v="120"/>
    <n v="3380.8"/>
    <n v="5.2928932500743925E-3"/>
    <n v="3425.1349999999998"/>
    <n v="62.243578343472436"/>
  </r>
  <r>
    <x v="121"/>
    <n v="3348.42"/>
    <n v="-9.577614765735952E-3"/>
    <n v="3437.7019999999998"/>
    <n v="61.105870061721518"/>
  </r>
  <r>
    <x v="122"/>
    <n v="3408.6"/>
    <n v="1.7972655760030053E-2"/>
    <n v="3447.9559999999997"/>
    <n v="59.272943102228332"/>
  </r>
  <r>
    <x v="123"/>
    <n v="3360.97"/>
    <n v="-1.3973478847620756E-2"/>
    <n v="3461.4950000000003"/>
    <n v="49.676822211168066"/>
  </r>
  <r>
    <x v="124"/>
    <n v="3419.44"/>
    <n v="1.7396763434365751E-2"/>
    <n v="3463.3269999999998"/>
    <n v="48.001931221566487"/>
  </r>
  <r>
    <x v="125"/>
    <n v="3446.83"/>
    <n v="8.0100835224480825E-3"/>
    <n v="3471.5419999999999"/>
    <n v="35.069016467531512"/>
  </r>
  <r>
    <x v="126"/>
    <n v="3477.14"/>
    <n v="8.7935871510924375E-3"/>
    <n v="3473.154"/>
    <n v="32.943071562924992"/>
  </r>
  <r>
    <x v="127"/>
    <n v="3534.22"/>
    <n v="1.6415789988323718E-2"/>
    <n v="3473.8199999999997"/>
    <n v="32.468051989609698"/>
  </r>
  <r>
    <x v="128"/>
    <n v="3511.93"/>
    <n v="-6.3069078891523347E-3"/>
    <n v="3472.6449999999995"/>
    <n v="32.539176772008197"/>
  </r>
  <r>
    <x v="129"/>
    <n v="3488.67"/>
    <n v="-6.6231388438834958E-3"/>
    <n v="3459.3199999999997"/>
    <n v="31.872008094878517"/>
  </r>
  <r>
    <x v="130"/>
    <n v="3483.34"/>
    <n v="-1.5278028589691564E-3"/>
    <n v="3447.1950000000006"/>
    <n v="32.606334123909178"/>
  </r>
  <r>
    <x v="131"/>
    <n v="3483.81"/>
    <n v="1.3492797142966231E-4"/>
    <n v="3425.4309999999996"/>
    <n v="59.337125722434465"/>
  </r>
  <r>
    <x v="132"/>
    <n v="3426.92"/>
    <n v="-1.6329822808936158E-2"/>
    <n v="3408.1079999999993"/>
    <n v="64.925774820174368"/>
  </r>
  <r>
    <x v="133"/>
    <n v="3443.12"/>
    <n v="4.7272769717413357E-3"/>
    <n v="3386.7230000000004"/>
    <n v="71.36838040056665"/>
  </r>
  <r>
    <x v="134"/>
    <n v="3435.56"/>
    <n v="-2.1956829851994546E-3"/>
    <n v="3375.0549999999994"/>
    <n v="73.353176788738921"/>
  </r>
  <r>
    <x v="135"/>
    <n v="3453.49"/>
    <n v="5.2189453829942821E-3"/>
    <n v="3367.6589999999997"/>
    <n v="69.757998889016221"/>
  </r>
  <r>
    <x v="136"/>
    <n v="3465.39"/>
    <n v="3.4457896215133363E-3"/>
    <n v="3368.4469999999992"/>
    <n v="70.560462590603748"/>
  </r>
  <r>
    <x v="137"/>
    <n v="3400.97"/>
    <n v="-1.8589538262648669E-2"/>
    <n v="3374.1429999999991"/>
    <n v="78.991065830256957"/>
  </r>
  <r>
    <x v="138"/>
    <n v="3390.68"/>
    <n v="-3.0256074002416853E-3"/>
    <n v="3378.5479999999998"/>
    <n v="84.959465487960742"/>
  </r>
  <r>
    <x v="139"/>
    <n v="3271.03"/>
    <n v="-3.5287906850543151E-2"/>
    <n v="3393.5009999999993"/>
    <n v="99.503733543018342"/>
  </r>
  <r>
    <x v="140"/>
    <n v="3310.11"/>
    <n v="1.1947307117329992E-2"/>
    <n v="3408.9859999999999"/>
    <n v="109.41523497210066"/>
  </r>
  <r>
    <x v="141"/>
    <n v="3269.96"/>
    <n v="-1.2129506270184401E-2"/>
    <n v="3439.1489999999999"/>
    <n v="108.80082310809971"/>
  </r>
  <r>
    <x v="142"/>
    <n v="3310.24"/>
    <n v="1.2318193494721569E-2"/>
    <n v="3461.8389999999999"/>
    <n v="103.03084096036493"/>
  </r>
  <r>
    <x v="143"/>
    <n v="3369.16"/>
    <n v="1.7799313644932112E-2"/>
    <n v="3493.3580000000002"/>
    <n v="86.375413376724367"/>
  </r>
  <r>
    <x v="144"/>
    <n v="3443.44"/>
    <n v="2.2047038430944271E-2"/>
    <n v="3525.0250000000001"/>
    <n v="69.916426002764197"/>
  </r>
  <r>
    <x v="145"/>
    <n v="3510.45"/>
    <n v="1.9460190971818808E-2"/>
    <n v="3549.0620000000004"/>
    <n v="50.943585818039928"/>
  </r>
  <r>
    <x v="146"/>
    <n v="3509.44"/>
    <n v="-2.8771240154389424E-4"/>
    <n v="3561.4970000000003"/>
    <n v="36.879436289075784"/>
  </r>
  <r>
    <x v="147"/>
    <n v="3550.5"/>
    <n v="1.1699872344305629E-2"/>
    <n v="3568.6390000000001"/>
    <n v="33.015313855845697"/>
  </r>
  <r>
    <x v="148"/>
    <n v="3545.53"/>
    <n v="-1.3998028446697084E-3"/>
    <n v="3573.4489999999996"/>
    <n v="26.99521196434652"/>
  </r>
  <r>
    <x v="149"/>
    <n v="3572.66"/>
    <n v="7.6518884341691233E-3"/>
    <n v="3576.1580000000004"/>
    <n v="25.893086258690701"/>
  </r>
  <r>
    <x v="150"/>
    <n v="3537.01"/>
    <n v="-9.9785593927212875E-3"/>
    <n v="3585.1459999999997"/>
    <n v="29.102238470605606"/>
  </r>
  <r>
    <x v="151"/>
    <n v="3585.15"/>
    <n v="1.3610365817455949E-2"/>
    <n v="3590.8449999999998"/>
    <n v="31.574234194988751"/>
  </r>
  <r>
    <x v="152"/>
    <n v="3626.91"/>
    <n v="1.1648048198820067E-2"/>
    <n v="3600.9790000000003"/>
    <n v="28.811214639442021"/>
  </r>
  <r>
    <x v="153"/>
    <n v="3609.53"/>
    <n v="-4.791957892531013E-3"/>
    <n v="3604.6269999999995"/>
    <n v="28.885443410133057"/>
  </r>
  <r>
    <x v="154"/>
    <n v="3567.79"/>
    <n v="-1.1563832410313873E-2"/>
    <n v="3608.1809999999996"/>
    <n v="33.263112437052513"/>
  </r>
  <r>
    <x v="155"/>
    <n v="3581.87"/>
    <n v="3.9464206133208307E-3"/>
    <n v="3614.1289999999999"/>
    <n v="37.959065965853277"/>
  </r>
  <r>
    <x v="156"/>
    <n v="3557.54"/>
    <n v="-6.7925413261787637E-3"/>
    <n v="3624.0219999999999"/>
    <n v="37.481599165457148"/>
  </r>
  <r>
    <x v="157"/>
    <n v="3577.59"/>
    <n v="5.6359169538501832E-3"/>
    <n v="3635.7470000000008"/>
    <n v="40.66554439571658"/>
  </r>
  <r>
    <x v="158"/>
    <n v="3635.41"/>
    <n v="1.6161717804443691E-2"/>
    <n v="3649.1890000000008"/>
    <n v="34.312618509813504"/>
  </r>
  <r>
    <x v="159"/>
    <n v="3629.65"/>
    <n v="-1.5844155129682109E-3"/>
    <n v="3661.6550000000002"/>
    <n v="28.122231863776374"/>
  </r>
  <r>
    <x v="160"/>
    <n v="3638.35"/>
    <n v="2.3969253233782368E-3"/>
    <n v="3665.3959999999997"/>
    <n v="26.841210181361024"/>
  </r>
  <r>
    <x v="161"/>
    <n v="3621.63"/>
    <n v="-4.5954897137438127E-3"/>
    <n v="3669.2409999999995"/>
    <n v="24.054522423028889"/>
  </r>
  <r>
    <x v="162"/>
    <n v="3662.45"/>
    <n v="1.1271167954760622E-2"/>
    <n v="3671.7519999999995"/>
    <n v="21.914185725232844"/>
  </r>
  <r>
    <x v="163"/>
    <n v="3669.01"/>
    <n v="1.7911507324333167E-3"/>
    <n v="3674.3379999999997"/>
    <n v="16.768634887789801"/>
  </r>
  <r>
    <x v="164"/>
    <n v="3666.72"/>
    <n v="-6.2414656814792498E-4"/>
    <n v="3677.5549999999994"/>
    <n v="17.258085786088809"/>
  </r>
  <r>
    <x v="165"/>
    <n v="3699.12"/>
    <n v="8.8362351093075261E-3"/>
    <n v="3680.7709999999997"/>
    <n v="18.329320472947206"/>
  </r>
  <r>
    <x v="166"/>
    <n v="3691.96"/>
    <n v="-1.9355954929820753E-3"/>
    <n v="3686.3470000000002"/>
    <n v="21.426460767004926"/>
  </r>
  <r>
    <x v="167"/>
    <n v="3702.25"/>
    <n v="2.7871374554437113E-3"/>
    <n v="3687.3760000000011"/>
    <n v="22.246564319013419"/>
  </r>
  <r>
    <x v="168"/>
    <n v="3672.82"/>
    <n v="-7.9492200688769908E-3"/>
    <n v="3687.672"/>
    <n v="22.325140447486575"/>
  </r>
  <r>
    <x v="169"/>
    <n v="3668.1"/>
    <n v="-1.2851160688517962E-3"/>
    <n v="3686.1730000000002"/>
    <n v="21.792890147935886"/>
  </r>
  <r>
    <x v="170"/>
    <n v="3663.46"/>
    <n v="-1.2649600610670027E-3"/>
    <n v="3687.8919999999998"/>
    <n v="21.345189059832702"/>
  </r>
  <r>
    <x v="171"/>
    <n v="3647.49"/>
    <n v="-4.359266922526861E-3"/>
    <n v="3691.3880000000004"/>
    <n v="20.669532553979082"/>
  </r>
  <r>
    <x v="172"/>
    <n v="3694.62"/>
    <n v="1.2921214314501236E-2"/>
    <n v="3698.578"/>
    <n v="22.156033850849798"/>
  </r>
  <r>
    <x v="173"/>
    <n v="3701.17"/>
    <n v="1.772848087218762E-3"/>
    <n v="3706.5330000000004"/>
    <n v="15.735881958123576"/>
  </r>
  <r>
    <x v="174"/>
    <n v="3722.48"/>
    <n v="5.7576388007035467E-3"/>
    <n v="3710.2750000000001"/>
    <n v="16.866658382738365"/>
  </r>
  <r>
    <x v="175"/>
    <n v="3709.41"/>
    <n v="-3.5111001267972329E-3"/>
    <n v="3715.7650000000003"/>
    <n v="21.348821161834657"/>
  </r>
  <r>
    <x v="176"/>
    <n v="3694.92"/>
    <n v="-3.9062815919512217E-3"/>
    <n v="3713.5820000000008"/>
    <n v="21.664345732100919"/>
  </r>
  <r>
    <x v="177"/>
    <n v="3687.26"/>
    <n v="-2.0731166033364332E-3"/>
    <n v="3715.3270000000002"/>
    <n v="21.958798259467642"/>
  </r>
  <r>
    <x v="178"/>
    <n v="3690.01"/>
    <n v="7.4581125280018224E-4"/>
    <n v="3720.6489999999999"/>
    <n v="22.801093592194167"/>
  </r>
  <r>
    <x v="179"/>
    <n v="3703.06"/>
    <n v="3.5365757816373739E-3"/>
    <n v="3732.3020000000006"/>
    <n v="31.046054757408353"/>
  </r>
  <r>
    <x v="180"/>
    <n v="3735.36"/>
    <n v="8.7225159732762046E-3"/>
    <n v="3745.7690000000002"/>
    <n v="38.17074257857707"/>
  </r>
  <r>
    <x v="181"/>
    <n v="3727.04"/>
    <n v="-2.2273622890431346E-3"/>
    <n v="3755.424"/>
    <n v="38.357085707858424"/>
  </r>
  <r>
    <x v="182"/>
    <n v="3732.04"/>
    <n v="1.3415471795312098E-3"/>
    <n v="3762.0070000000001"/>
    <n v="39.964063869931913"/>
  </r>
  <r>
    <x v="183"/>
    <n v="3756.07"/>
    <n v="6.4388377402172002E-3"/>
    <n v="3770.2870000000012"/>
    <n v="40.436350985221189"/>
  </r>
  <r>
    <x v="184"/>
    <n v="3700.65"/>
    <n v="-1.4754783590295193E-2"/>
    <n v="3776.6370000000002"/>
    <n v="38.887839757435707"/>
  </r>
  <r>
    <x v="185"/>
    <n v="3726.86"/>
    <n v="7.0825395538621693E-3"/>
    <n v="3777.8549999999996"/>
    <n v="38.412427481220163"/>
  </r>
  <r>
    <x v="186"/>
    <n v="3748.14"/>
    <n v="5.7099005597204466E-3"/>
    <n v="3787.6809999999996"/>
    <n v="28.761683000130557"/>
  </r>
  <r>
    <x v="187"/>
    <n v="3803.79"/>
    <n v="1.4847364292689199E-2"/>
    <n v="3800.1799999999994"/>
    <n v="26.699364411910629"/>
  </r>
  <r>
    <x v="188"/>
    <n v="3824.68"/>
    <n v="5.4918909824148735E-3"/>
    <n v="3810.6730000000002"/>
    <n v="24.732004791362957"/>
  </r>
  <r>
    <x v="189"/>
    <n v="3799.61"/>
    <n v="-6.5547967411651985E-3"/>
    <n v="3814.4410000000003"/>
    <n v="26.221788440150288"/>
  </r>
  <r>
    <x v="190"/>
    <n v="3801.19"/>
    <n v="4.1583215119444551E-4"/>
    <n v="3817.5089999999996"/>
    <n v="28.898482814846879"/>
  </r>
  <r>
    <x v="191"/>
    <n v="3809.84"/>
    <n v="2.2756031663768691E-3"/>
    <n v="3822.5099999999998"/>
    <n v="29.684786002260488"/>
  </r>
  <r>
    <x v="192"/>
    <n v="3795.54"/>
    <n v="-3.7534384646074853E-3"/>
    <n v="3817.4679999999998"/>
    <n v="36.400182362180558"/>
  </r>
  <r>
    <x v="193"/>
    <n v="3768.25"/>
    <n v="-7.1900177576840092E-3"/>
    <n v="3815.2220000000002"/>
    <n v="37.47851245714002"/>
  </r>
  <r>
    <x v="194"/>
    <n v="3798.91"/>
    <n v="8.1364028395143253E-3"/>
    <n v="3807.0919999999996"/>
    <n v="48.161606243978234"/>
  </r>
  <r>
    <x v="195"/>
    <n v="3851.85"/>
    <n v="1.3935576257400164E-2"/>
    <n v="3807.6529999999998"/>
    <n v="47.736695329693724"/>
  </r>
  <r>
    <x v="196"/>
    <n v="3853.07"/>
    <n v="3.1673092150531686E-4"/>
    <n v="3810.393"/>
    <n v="47.942140555048255"/>
  </r>
  <r>
    <x v="197"/>
    <n v="3841.47"/>
    <n v="-3.0105863636010672E-3"/>
    <n v="3808.2249999999999"/>
    <n v="46.486485186557218"/>
  </r>
  <r>
    <x v="198"/>
    <n v="3855.36"/>
    <n v="3.6158033252896228E-3"/>
    <n v="3810.0920000000006"/>
    <n v="48.57793466173711"/>
  </r>
  <r>
    <x v="199"/>
    <n v="3849.62"/>
    <n v="-1.4888363213812034E-3"/>
    <n v="3814.6280000000006"/>
    <n v="53.194497986163945"/>
  </r>
  <r>
    <x v="200"/>
    <n v="3750.77"/>
    <n v="-2.5677859113367011E-2"/>
    <n v="3820.6509999999994"/>
    <n v="60.388749357806731"/>
  </r>
  <r>
    <x v="201"/>
    <n v="3787.38"/>
    <n v="9.7606624773046938E-3"/>
    <n v="3826.8120000000004"/>
    <n v="65.919483887542711"/>
  </r>
  <r>
    <x v="202"/>
    <n v="3714.24"/>
    <n v="-1.9311502938707054E-2"/>
    <n v="3842.7229999999995"/>
    <n v="64.838330646308322"/>
  </r>
  <r>
    <x v="203"/>
    <n v="3773.86"/>
    <n v="1.605173602136651E-2"/>
    <n v="3855.6229999999996"/>
    <n v="65.374687157951342"/>
  </r>
  <r>
    <x v="204"/>
    <n v="3826.31"/>
    <n v="1.3898236818535879E-2"/>
    <n v="3877.6819999999998"/>
    <n v="49.149871373178584"/>
  </r>
  <r>
    <x v="205"/>
    <n v="3830.17"/>
    <n v="1.0088048276276954E-3"/>
    <n v="3893.5550000000003"/>
    <n v="37.247091228712115"/>
  </r>
  <r>
    <x v="206"/>
    <n v="3871.74"/>
    <n v="1.0853304161434011E-2"/>
    <n v="3904.0570000000007"/>
    <n v="31.1056242663606"/>
  </r>
  <r>
    <x v="207"/>
    <n v="3886.83"/>
    <n v="3.8974724542454159E-3"/>
    <n v="3912.4370000000004"/>
    <n v="19.006139560678861"/>
  </r>
  <r>
    <x v="208"/>
    <n v="3915.59"/>
    <n v="7.399345996609118E-3"/>
    <n v="3915.9339999999997"/>
    <n v="13.662342551700284"/>
  </r>
  <r>
    <x v="209"/>
    <n v="3911.23"/>
    <n v="-1.1134975827397984E-3"/>
    <n v="3914.9010000000003"/>
    <n v="16.012253713952944"/>
  </r>
  <r>
    <x v="210"/>
    <n v="3909.88"/>
    <n v="-3.4515996246702675E-4"/>
    <n v="3911.4790000000007"/>
    <n v="18.89623002082692"/>
  </r>
  <r>
    <x v="211"/>
    <n v="3916.38"/>
    <n v="1.6624551137119298E-3"/>
    <n v="3912.8990000000003"/>
    <n v="19.352207858536456"/>
  </r>
  <r>
    <x v="212"/>
    <n v="3934.83"/>
    <n v="4.7109831017418677E-3"/>
    <n v="3904.8449999999998"/>
    <n v="31.732321771342193"/>
  </r>
  <r>
    <x v="213"/>
    <n v="3932.59"/>
    <n v="-5.6927491149548568E-4"/>
    <n v="3894.3220000000001"/>
    <n v="41.961606213299262"/>
  </r>
  <r>
    <x v="214"/>
    <n v="3931.33"/>
    <n v="-3.2039953313216436E-4"/>
    <n v="3891.0209999999997"/>
    <n v="39.892505423951455"/>
  </r>
  <r>
    <x v="215"/>
    <n v="3913.97"/>
    <n v="-4.4158083905447079E-3"/>
    <n v="3884.7910000000002"/>
    <n v="37.719734211682812"/>
  </r>
  <r>
    <x v="216"/>
    <n v="3906.71"/>
    <n v="-1.8548941356218275E-3"/>
    <n v="3873.63"/>
    <n v="38.794923379225764"/>
  </r>
  <r>
    <x v="217"/>
    <n v="3876.5"/>
    <n v="-7.732849379657061E-3"/>
    <n v="3859.0800000000004"/>
    <n v="47.291379552726127"/>
  </r>
  <r>
    <x v="218"/>
    <n v="3881.37"/>
    <n v="1.2562878885592392E-3"/>
    <n v="3852.6030000000005"/>
    <n v="44.688245893075752"/>
  </r>
  <r>
    <x v="219"/>
    <n v="3925.43"/>
    <n v="1.1351661913190432E-2"/>
    <n v="3847.0880000000006"/>
    <n v="44.801701262340494"/>
  </r>
  <r>
    <x v="220"/>
    <n v="3829.34"/>
    <n v="-2.4478846903396492E-2"/>
    <n v="3846.4950000000003"/>
    <n v="44.381289131795207"/>
  </r>
  <r>
    <x v="221"/>
    <n v="3811.15"/>
    <n v="-4.7501658249202352E-3"/>
    <n v="3843.8329999999996"/>
    <n v="40.164973310087049"/>
  </r>
  <r>
    <x v="222"/>
    <n v="3901.82"/>
    <n v="2.3790719336683173E-2"/>
    <n v="3854.8330000000001"/>
    <n v="48.819863590551009"/>
  </r>
  <r>
    <x v="223"/>
    <n v="3870.29"/>
    <n v="-8.0808443239309344E-3"/>
    <n v="3868.0519999999988"/>
    <n v="52.926038733311707"/>
  </r>
  <r>
    <x v="224"/>
    <n v="3819.72"/>
    <n v="-1.3066204341276795E-2"/>
    <n v="3874.7640000000001"/>
    <n v="60.497319808401521"/>
  </r>
  <r>
    <x v="225"/>
    <n v="3768.47"/>
    <n v="-1.3417213827191523E-2"/>
    <n v="3884.0059999999999"/>
    <n v="65.923890692221832"/>
  </r>
  <r>
    <x v="226"/>
    <n v="3841.94"/>
    <n v="1.9495975820425865E-2"/>
    <n v="3899.4460000000008"/>
    <n v="67.129353370936073"/>
  </r>
  <r>
    <x v="227"/>
    <n v="3821.35"/>
    <n v="-5.3592716179847021E-3"/>
    <n v="3914.1449999999995"/>
    <n v="50.994735463575076"/>
  </r>
  <r>
    <x v="228"/>
    <n v="3875.44"/>
    <n v="1.415468355424134E-2"/>
    <n v="3921.2609999999995"/>
    <n v="45.039744548565139"/>
  </r>
  <r>
    <x v="229"/>
    <n v="3898.81"/>
    <n v="6.0302830130255893E-3"/>
    <n v="3933.184999999999"/>
    <n v="30.422640335776258"/>
  </r>
  <r>
    <x v="230"/>
    <n v="3939.34"/>
    <n v="1.0395479646353683E-2"/>
    <n v="3936.6929999999993"/>
    <n v="25.12275265571034"/>
  </r>
  <r>
    <x v="231"/>
    <n v="3943.34"/>
    <n v="1.0153985185335614E-3"/>
    <n v="3935.7259999999997"/>
    <n v="26.698955485187088"/>
  </r>
  <r>
    <x v="232"/>
    <n v="3968.94"/>
    <n v="6.4919585934765725E-3"/>
    <n v="3932.7439999999997"/>
    <n v="27.77249077774627"/>
  </r>
  <r>
    <x v="233"/>
    <n v="3962.71"/>
    <n v="-1.5696886322292647E-3"/>
    <n v="3935.864"/>
    <n v="30.414468333344264"/>
  </r>
  <r>
    <x v="234"/>
    <n v="3974.12"/>
    <n v="2.8793426720602451E-3"/>
    <n v="3936.0790000000006"/>
    <n v="30.654177349914352"/>
  </r>
  <r>
    <x v="235"/>
    <n v="3915.46"/>
    <n v="-1.4760500437832742E-2"/>
    <n v="3935.6630000000005"/>
    <n v="30.3163174049884"/>
  </r>
  <r>
    <x v="236"/>
    <n v="3913.1"/>
    <n v="-6.0273888636332065E-4"/>
    <n v="3935.54"/>
    <n v="30.16214249684532"/>
  </r>
  <r>
    <x v="237"/>
    <n v="3940.59"/>
    <n v="7.0251207482559192E-3"/>
    <n v="3945.9810000000007"/>
    <n v="38.361108026228862"/>
  </r>
  <r>
    <x v="238"/>
    <n v="3910.52"/>
    <n v="-7.6308370066411786E-3"/>
    <n v="3962.4619999999995"/>
    <n v="53.219933633930779"/>
  </r>
  <r>
    <x v="239"/>
    <n v="3889.14"/>
    <n v="-5.4673035811094459E-3"/>
    <n v="3975.797"/>
    <n v="62.043816138274408"/>
  </r>
  <r>
    <x v="240"/>
    <n v="3909.52"/>
    <n v="5.2402330592367747E-3"/>
    <n v="3992.7399999999993"/>
    <n v="64.969577034178059"/>
  </r>
  <r>
    <x v="241"/>
    <n v="3974.54"/>
    <n v="1.6631197691788245E-2"/>
    <n v="4013.5429999999992"/>
    <n v="61.689120766955305"/>
  </r>
  <r>
    <x v="242"/>
    <n v="3971.09"/>
    <n v="-8.6802497899123368E-4"/>
    <n v="4035.471"/>
    <n v="59.758259588110491"/>
  </r>
  <r>
    <x v="243"/>
    <n v="3958.55"/>
    <n v="-3.1578231669390426E-3"/>
    <n v="4050.8160000000003"/>
    <n v="61.808562707767244"/>
  </r>
  <r>
    <x v="244"/>
    <n v="3972.89"/>
    <n v="3.6225385557842366E-3"/>
    <n v="4067.8660000000004"/>
    <n v="60.975112332819862"/>
  </r>
  <r>
    <x v="245"/>
    <n v="4019.87"/>
    <n v="1.1825144919693225E-2"/>
    <n v="4084.4770000000003"/>
    <n v="50.691183266915417"/>
  </r>
  <r>
    <x v="246"/>
    <n v="4077.91"/>
    <n v="1.4438277854756489E-2"/>
    <n v="4104.2299999999996"/>
    <n v="40.900722732000766"/>
  </r>
  <r>
    <x v="247"/>
    <n v="4073.94"/>
    <n v="-9.7353791525555983E-4"/>
    <n v="4120.79"/>
    <n v="36.701067014461671"/>
  </r>
  <r>
    <x v="248"/>
    <n v="4079.95"/>
    <n v="1.4752303666720088E-3"/>
    <n v="4129.3249999999998"/>
    <n v="35.645795614630437"/>
  </r>
  <r>
    <x v="249"/>
    <n v="4097.17"/>
    <n v="4.2206399588230878E-3"/>
    <n v="4135.4250000000011"/>
    <n v="30.492880234572898"/>
  </r>
  <r>
    <x v="250"/>
    <n v="4128.8"/>
    <n v="7.7199628035937266E-3"/>
    <n v="4144.7720000000008"/>
    <n v="26.058852161981431"/>
  </r>
  <r>
    <x v="251"/>
    <n v="4127.99"/>
    <n v="-1.9618291028880065E-4"/>
    <n v="4148.5529999999999"/>
    <n v="21.160366277548366"/>
  </r>
  <r>
    <x v="252"/>
    <n v="4141.59"/>
    <n v="3.2945816244710777E-3"/>
    <n v="4153.6899999999996"/>
    <n v="21.961732627459238"/>
  </r>
  <r>
    <x v="253"/>
    <n v="4124.66"/>
    <n v="-4.0878020277237224E-3"/>
    <n v="4159.6530000000002"/>
    <n v="22.267371218893491"/>
  </r>
  <r>
    <x v="254"/>
    <n v="4170.42"/>
    <n v="1.1094247768300956E-2"/>
    <n v="4164.1660000000002"/>
    <n v="22.717915925542293"/>
  </r>
  <r>
    <x v="255"/>
    <n v="4185.47"/>
    <n v="3.6087492386858355E-3"/>
    <n v="4170.0180000000009"/>
    <n v="19.024684386344173"/>
  </r>
  <r>
    <x v="256"/>
    <n v="4163.26"/>
    <n v="-5.3064530387268421E-3"/>
    <n v="4174.1229999999996"/>
    <n v="22.735396653676609"/>
  </r>
  <r>
    <x v="257"/>
    <n v="4134.9399999999996"/>
    <n v="-6.8023616108531812E-3"/>
    <n v="4173.6929999999993"/>
    <n v="22.556682845667027"/>
  </r>
  <r>
    <x v="258"/>
    <n v="4173.42"/>
    <n v="9.3060600637495296E-3"/>
    <n v="4176.6329999999998"/>
    <n v="22.918339839526094"/>
  </r>
  <r>
    <x v="259"/>
    <n v="4134.9799999999996"/>
    <n v="-9.2106713438859511E-3"/>
    <n v="4179.6050000000005"/>
    <n v="18.892383782890022"/>
  </r>
  <r>
    <x v="260"/>
    <n v="4180.17"/>
    <n v="1.0928710658818305E-2"/>
    <n v="4179.0219999999999"/>
    <n v="19.162277422060399"/>
  </r>
  <r>
    <x v="261"/>
    <n v="4187.62"/>
    <n v="1.7822241679165724E-3"/>
    <n v="4185.6860000000006"/>
    <n v="13.411978377554915"/>
  </r>
  <r>
    <x v="262"/>
    <n v="4186.72"/>
    <n v="-2.1491921425526581E-4"/>
    <n v="4190.929000000001"/>
    <n v="19.220869621325754"/>
  </r>
  <r>
    <x v="263"/>
    <n v="4183.18"/>
    <n v="-8.455306301830462E-4"/>
    <n v="4191.01"/>
    <n v="19.208456991648315"/>
  </r>
  <r>
    <x v="264"/>
    <n v="4211.47"/>
    <n v="6.7627976802336889E-3"/>
    <n v="4187.5480000000007"/>
    <n v="22.506394113673593"/>
  </r>
  <r>
    <x v="265"/>
    <n v="4181.17"/>
    <n v="-7.1946375018699365E-3"/>
    <n v="4175.5339999999997"/>
    <n v="43.709470873027108"/>
  </r>
  <r>
    <x v="266"/>
    <n v="4192.66"/>
    <n v="2.7480346410214801E-3"/>
    <n v="4165.6370000000006"/>
    <n v="45.615305994808416"/>
  </r>
  <r>
    <x v="267"/>
    <n v="4164.66"/>
    <n v="-6.6783378571121915E-3"/>
    <n v="4164.9049999999997"/>
    <n v="45.418479113682409"/>
  </r>
  <r>
    <x v="268"/>
    <n v="4167.59"/>
    <n v="7.0353882429785174E-4"/>
    <n v="4161.9679999999998"/>
    <n v="44.468405593184997"/>
  </r>
  <r>
    <x v="269"/>
    <n v="4201.62"/>
    <n v="8.1653905494541799E-3"/>
    <n v="4158.2849999999999"/>
    <n v="45.603620744410293"/>
  </r>
  <r>
    <x v="270"/>
    <n v="4232.6000000000004"/>
    <n v="7.3733464711231555E-3"/>
    <n v="4153.0940000000001"/>
    <n v="47.176308079373982"/>
  </r>
  <r>
    <x v="271"/>
    <n v="4188.43"/>
    <n v="-1.0435666020885524E-2"/>
    <n v="4148.844000000001"/>
    <n v="44.448796879105842"/>
  </r>
  <r>
    <x v="272"/>
    <n v="4152.1000000000004"/>
    <n v="-8.6738945141735507E-3"/>
    <n v="4141.17"/>
    <n v="34.931660996866491"/>
  </r>
  <r>
    <x v="273"/>
    <n v="4063.04"/>
    <n v="-2.1449387057151898E-2"/>
    <n v="4142.0320000000011"/>
    <n v="36.171599024649197"/>
  </r>
  <r>
    <x v="274"/>
    <n v="4112.5"/>
    <n v="1.2173151138064119E-2"/>
    <n v="4145.6350000000002"/>
    <n v="38.701021498146567"/>
  </r>
  <r>
    <x v="275"/>
    <n v="4173.8500000000004"/>
    <n v="1.4917933130699177E-2"/>
    <n v="4158.9299999999994"/>
    <n v="29.872750793992832"/>
  </r>
  <r>
    <x v="276"/>
    <n v="4163.29"/>
    <n v="-2.5300382141189549E-3"/>
    <n v="4167.7679999999991"/>
    <n v="27.833015575032469"/>
  </r>
  <r>
    <x v="277"/>
    <n v="4127.83"/>
    <n v="-8.5173024218827033E-3"/>
    <n v="4170.7939999999999"/>
    <n v="29.898078600471926"/>
  </r>
  <r>
    <x v="278"/>
    <n v="4115.68"/>
    <n v="-2.9434351705374582E-3"/>
    <n v="4174.6689999999999"/>
    <n v="31.15894300196971"/>
  </r>
  <r>
    <x v="279"/>
    <n v="4159.12"/>
    <n v="1.0554756443649555E-2"/>
    <n v="4182.6980000000003"/>
    <n v="28.2652195462904"/>
  </r>
  <r>
    <x v="280"/>
    <n v="4155.8599999999997"/>
    <n v="-7.8381965415766277E-4"/>
    <n v="4190.415"/>
    <n v="17.335963342139426"/>
  </r>
  <r>
    <x v="281"/>
    <n v="4197.05"/>
    <n v="9.9113059631461397E-3"/>
    <n v="4197.4920000000002"/>
    <n v="17.559657058154741"/>
  </r>
  <r>
    <x v="282"/>
    <n v="4188.13"/>
    <n v="-2.1253022956600641E-3"/>
    <n v="4204.558"/>
    <n v="13.013582750342135"/>
  </r>
  <r>
    <x v="283"/>
    <n v="4195.99"/>
    <n v="1.8767325751587636E-3"/>
    <n v="4207.5789999999997"/>
    <n v="14.357157413638785"/>
  </r>
  <r>
    <x v="284"/>
    <n v="4200.88"/>
    <n v="1.1653983922746069E-3"/>
    <n v="4210.7209999999995"/>
    <n v="13.143817139628936"/>
  </r>
  <r>
    <x v="285"/>
    <n v="4204.1099999999997"/>
    <n v="7.6888651901495957E-4"/>
    <n v="4215.04"/>
    <n v="14.608127874577328"/>
  </r>
  <r>
    <x v="286"/>
    <n v="4202.04"/>
    <n v="-4.9237531843831605E-4"/>
    <n v="4219.6960000000008"/>
    <n v="16.632633706061107"/>
  </r>
  <r>
    <x v="287"/>
    <n v="4208.12"/>
    <n v="1.4469162597214513E-3"/>
    <n v="4224.8000000000011"/>
    <n v="18.761661973289986"/>
  </r>
  <r>
    <x v="288"/>
    <n v="4192.8500000000004"/>
    <n v="-3.6286988013648678E-3"/>
    <n v="4229.2550000000001"/>
    <n v="18.106120097911504"/>
  </r>
  <r>
    <x v="289"/>
    <n v="4229.8900000000003"/>
    <n v="8.8340865998068046E-3"/>
    <n v="4230.8130000000001"/>
    <n v="16.84699382679279"/>
  </r>
  <r>
    <x v="290"/>
    <n v="4226.5200000000004"/>
    <n v="-7.9671102558219963E-4"/>
    <n v="4233.7139999999999"/>
    <n v="11.802630384791243"/>
  </r>
  <r>
    <x v="291"/>
    <n v="4227.26"/>
    <n v="1.750849398559055E-4"/>
    <n v="4227.37"/>
    <n v="23.452889374232761"/>
  </r>
  <r>
    <x v="292"/>
    <n v="4219.55"/>
    <n v="-1.8238764589828958E-3"/>
    <n v="4227.1970000000001"/>
    <n v="23.46489891305735"/>
  </r>
  <r>
    <x v="293"/>
    <n v="4239.18"/>
    <n v="4.6521548506357566E-3"/>
    <n v="4229.1149999999998"/>
    <n v="24.165091868230068"/>
  </r>
  <r>
    <x v="294"/>
    <n v="4247.4399999999996"/>
    <n v="1.9484900381675956E-3"/>
    <n v="4231.3440000000001"/>
    <n v="24.207991738266937"/>
  </r>
  <r>
    <x v="295"/>
    <n v="4255.1499999999996"/>
    <n v="1.8152110447705058E-3"/>
    <n v="4234.0750000000007"/>
    <n v="26.380908722028501"/>
  </r>
  <r>
    <x v="296"/>
    <n v="4246.59"/>
    <n v="-2.0116799642784606E-3"/>
    <n v="4237.4009999999998"/>
    <n v="29.739146070457366"/>
  </r>
  <r>
    <x v="297"/>
    <n v="4223.7"/>
    <n v="-5.3902072015429622E-3"/>
    <n v="4240.9470000000001"/>
    <n v="33.518051270919656"/>
  </r>
  <r>
    <x v="298"/>
    <n v="4221.8599999999997"/>
    <n v="-4.3563700073398812E-4"/>
    <n v="4245.4679999999998"/>
    <n v="36.857003893425755"/>
  </r>
  <r>
    <x v="299"/>
    <n v="4166.45"/>
    <n v="-1.3124547000611072E-2"/>
    <n v="4252.848"/>
    <n v="39.080975627535231"/>
  </r>
  <r>
    <x v="300"/>
    <n v="4224.79"/>
    <n v="1.400232812106233E-2"/>
    <n v="4262.6560000000009"/>
    <n v="42.252027454312753"/>
  </r>
  <r>
    <x v="301"/>
    <n v="4246.4399999999996"/>
    <n v="5.1245150646540153E-3"/>
    <n v="4281.2449999999999"/>
    <n v="36.310404087533939"/>
  </r>
  <r>
    <x v="302"/>
    <n v="4241.84"/>
    <n v="-1.08326033100655E-3"/>
    <n v="4293.1200000000008"/>
    <n v="35.309769469652494"/>
  </r>
  <r>
    <x v="303"/>
    <n v="4266.49"/>
    <n v="5.8111574222506355E-3"/>
    <n v="4304.2889999999998"/>
    <n v="36.424731007929246"/>
  </r>
  <r>
    <x v="304"/>
    <n v="4280.7"/>
    <n v="3.3306066579319388E-3"/>
    <n v="4312.1869999999999"/>
    <n v="30.028690630795154"/>
  </r>
  <r>
    <x v="305"/>
    <n v="4290.6099999999997"/>
    <n v="2.3150419323942008E-3"/>
    <n v="4322.4930000000004"/>
    <n v="30.261170185569593"/>
  </r>
  <r>
    <x v="306"/>
    <n v="4291.8"/>
    <n v="2.7734984069876064E-4"/>
    <n v="4332.8860000000004"/>
    <n v="31.924272333132457"/>
  </r>
  <r>
    <x v="307"/>
    <n v="4297.5"/>
    <n v="1.3281140780091844E-3"/>
    <n v="4340.7460000000001"/>
    <n v="30.176097229429853"/>
  </r>
  <r>
    <x v="308"/>
    <n v="4319.9399999999996"/>
    <n v="5.2216404886561022E-3"/>
    <n v="4348.9960000000001"/>
    <n v="26.74977278408187"/>
  </r>
  <r>
    <x v="309"/>
    <n v="4352.34"/>
    <n v="7.500104168113573E-3"/>
    <n v="4355.2490000000007"/>
    <n v="20.577692995085883"/>
  </r>
  <r>
    <x v="310"/>
    <n v="4343.54"/>
    <n v="-2.0219008625245688E-3"/>
    <n v="4355.9710000000005"/>
    <n v="19.420267995061359"/>
  </r>
  <r>
    <x v="311"/>
    <n v="4358.13"/>
    <n v="3.3590113133527368E-3"/>
    <n v="4346.5859999999993"/>
    <n v="35.185291017696706"/>
  </r>
  <r>
    <x v="312"/>
    <n v="4320.82"/>
    <n v="-8.5610112594164001E-3"/>
    <n v="4344.5379999999996"/>
    <n v="35.891919090514044"/>
  </r>
  <r>
    <x v="313"/>
    <n v="4369.55"/>
    <n v="1.1277951870246961E-2"/>
    <n v="4344.5939999999991"/>
    <n v="35.913512554469037"/>
  </r>
  <r>
    <x v="314"/>
    <n v="4384.63"/>
    <n v="3.4511562975592285E-3"/>
    <n v="4349.2599999999993"/>
    <n v="35.550884939759264"/>
  </r>
  <r>
    <x v="315"/>
    <n v="4369.21"/>
    <n v="-3.5168303824952328E-3"/>
    <n v="4353.4840000000004"/>
    <n v="39.948152948540709"/>
  </r>
  <r>
    <x v="316"/>
    <n v="4374.3"/>
    <n v="1.1649703264434864E-3"/>
    <n v="4357.2510000000002"/>
    <n v="44.251796449409866"/>
  </r>
  <r>
    <x v="317"/>
    <n v="4360.03"/>
    <n v="-3.2622362435133475E-3"/>
    <n v="4360.4760000000006"/>
    <n v="46.140683393291923"/>
  </r>
  <r>
    <x v="318"/>
    <n v="4327.16"/>
    <n v="-7.5389389522548915E-3"/>
    <n v="4363.1099999999997"/>
    <n v="47.583916400397385"/>
  </r>
  <r>
    <x v="319"/>
    <n v="4258.49"/>
    <n v="-1.5869531055010693E-2"/>
    <n v="4369.0219999999999"/>
    <n v="50.42198802110051"/>
  </r>
  <r>
    <x v="320"/>
    <n v="4323.0600000000004"/>
    <n v="1.5162651550197517E-2"/>
    <n v="4375.8320000000003"/>
    <n v="48.883548725517095"/>
  </r>
  <r>
    <x v="321"/>
    <n v="4358.6899999999996"/>
    <n v="8.2418472100778614E-3"/>
    <n v="4388.6990000000005"/>
    <n v="29.325066223284114"/>
  </r>
  <r>
    <x v="322"/>
    <n v="4367.4799999999996"/>
    <n v="2.0166609692361614E-3"/>
    <n v="4398.7079999999996"/>
    <n v="21.157002056057085"/>
  </r>
  <r>
    <x v="323"/>
    <n v="4411.79"/>
    <n v="1.0145438559535569E-2"/>
    <n v="4403.1050000000005"/>
    <n v="16.422634532863508"/>
  </r>
  <r>
    <x v="324"/>
    <n v="4422.3"/>
    <n v="2.3822530084161345E-3"/>
    <n v="4409.2669999999989"/>
    <n v="13.129837051540274"/>
  </r>
  <r>
    <x v="325"/>
    <n v="4401.46"/>
    <n v="-4.7124799312575228E-3"/>
    <n v="4411.74"/>
    <n v="15.489123280547608"/>
  </r>
  <r>
    <x v="326"/>
    <n v="4400.6400000000003"/>
    <n v="-1.8630181803304106E-4"/>
    <n v="4412.7450000000008"/>
    <n v="16.438636348554066"/>
  </r>
  <r>
    <x v="327"/>
    <n v="4419.1499999999996"/>
    <n v="4.2062063699823907E-3"/>
    <n v="4416.2739999999994"/>
    <n v="17.397235527519953"/>
  </r>
  <r>
    <x v="328"/>
    <n v="4395.26"/>
    <n v="-5.4060169942182143E-3"/>
    <n v="4420.4510000000009"/>
    <n v="18.140654040028505"/>
  </r>
  <r>
    <x v="329"/>
    <n v="4387.16"/>
    <n v="-1.8428943907755999E-3"/>
    <n v="4424.6190000000006"/>
    <n v="21.785045535871653"/>
  </r>
  <r>
    <x v="330"/>
    <n v="4423.1499999999996"/>
    <n v="8.2034847144849474E-3"/>
    <n v="4431.8930000000009"/>
    <n v="22.883906156947994"/>
  </r>
  <r>
    <x v="331"/>
    <n v="4402.66"/>
    <n v="-4.6324452030792043E-3"/>
    <n v="4441.1479999999992"/>
    <n v="21.600012870366548"/>
  </r>
  <r>
    <x v="332"/>
    <n v="4429.1000000000004"/>
    <n v="6.0054603353428401E-3"/>
    <n v="4443.6410000000005"/>
    <n v="20.802835599984888"/>
  </r>
  <r>
    <x v="333"/>
    <n v="4436.5200000000004"/>
    <n v="1.6752839177259652E-3"/>
    <n v="4443.402"/>
    <n v="21.280530444516504"/>
  </r>
  <r>
    <x v="334"/>
    <n v="4432.3500000000004"/>
    <n v="-9.3992588785806722E-4"/>
    <n v="4441.0720000000001"/>
    <n v="23.840478099232698"/>
  </r>
  <r>
    <x v="335"/>
    <n v="4436.75"/>
    <n v="9.9270138865379222E-4"/>
    <n v="4441.5869999999995"/>
    <n v="23.792159653969925"/>
  </r>
  <r>
    <x v="336"/>
    <n v="4442.41"/>
    <n v="1.2757085704625806E-3"/>
    <n v="4446.3049999999994"/>
    <n v="26.062276282013297"/>
  </r>
  <r>
    <x v="337"/>
    <n v="4460.83"/>
    <n v="4.1463980136907837E-3"/>
    <n v="4451.2529999999997"/>
    <n v="28.373055898157844"/>
  </r>
  <r>
    <x v="338"/>
    <n v="4468"/>
    <n v="1.6073241975148285E-3"/>
    <n v="4456.6309999999994"/>
    <n v="31.148369925246268"/>
  </r>
  <r>
    <x v="339"/>
    <n v="4479.71"/>
    <n v="2.6208594449418166E-3"/>
    <n v="4457.5479999999998"/>
    <n v="31.392513693554175"/>
  </r>
  <r>
    <x v="340"/>
    <n v="4448.08"/>
    <n v="-7.0607249129966245E-3"/>
    <n v="4461.6849999999995"/>
    <n v="35.014321141498456"/>
  </r>
  <r>
    <x v="341"/>
    <n v="4400.2700000000004"/>
    <n v="-1.0748457761550936E-2"/>
    <n v="4466.5929999999998"/>
    <n v="40.245897443093327"/>
  </r>
  <r>
    <x v="342"/>
    <n v="4405.8"/>
    <n v="1.2567410636164927E-3"/>
    <n v="4474.0529999999999"/>
    <n v="42.946276916631426"/>
  </r>
  <r>
    <x v="343"/>
    <n v="4441.67"/>
    <n v="8.1415406963547803E-3"/>
    <n v="4486.4349999999995"/>
    <n v="37.377075928970136"/>
  </r>
  <r>
    <x v="344"/>
    <n v="4479.53"/>
    <n v="8.5238209952562156E-3"/>
    <n v="4499.55"/>
    <n v="28.810046511590397"/>
  </r>
  <r>
    <x v="345"/>
    <n v="4486.2299999999996"/>
    <n v="1.4956926284676781E-3"/>
    <n v="4508.9259999999995"/>
    <n v="23.148162000470059"/>
  </r>
  <r>
    <x v="346"/>
    <n v="4496.1899999999996"/>
    <n v="2.2201269217137858E-3"/>
    <n v="4512.9759999999997"/>
    <n v="21.103371863283002"/>
  </r>
  <r>
    <x v="347"/>
    <n v="4470"/>
    <n v="-5.8249317755698941E-3"/>
    <n v="4515.76"/>
    <n v="19.13599958193986"/>
  </r>
  <r>
    <x v="348"/>
    <n v="4509.37"/>
    <n v="8.8076062639820783E-3"/>
    <n v="4515.4690000000001"/>
    <n v="19.450921546291891"/>
  </r>
  <r>
    <x v="349"/>
    <n v="4528.79"/>
    <n v="4.306588281733385E-3"/>
    <n v="4514.3270000000002"/>
    <n v="22.224468970033971"/>
  </r>
  <r>
    <x v="350"/>
    <n v="4522.68"/>
    <n v="-1.3491462399448137E-3"/>
    <n v="4510.2630000000008"/>
    <n v="26.131635635757782"/>
  </r>
  <r>
    <x v="351"/>
    <n v="4524.09"/>
    <n v="3.1176205258825617E-4"/>
    <n v="4501.6890000000003"/>
    <n v="32.043449705048964"/>
  </r>
  <r>
    <x v="352"/>
    <n v="4536.95"/>
    <n v="2.8425606033477832E-3"/>
    <n v="4497.491"/>
    <n v="31.767138193422483"/>
  </r>
  <r>
    <x v="353"/>
    <n v="4535.43"/>
    <n v="-3.3502683520857118E-4"/>
    <n v="4492.4569999999994"/>
    <n v="31.135554290874591"/>
  </r>
  <r>
    <x v="354"/>
    <n v="4520.03"/>
    <n v="-3.3954884101398421E-3"/>
    <n v="4482.0609999999997"/>
    <n v="31.890682479370067"/>
  </r>
  <r>
    <x v="355"/>
    <n v="4514.07"/>
    <n v="-1.3185753191903675E-3"/>
    <n v="4464.2910000000002"/>
    <n v="44.297149671282483"/>
  </r>
  <r>
    <x v="356"/>
    <n v="4493.28"/>
    <n v="-4.6055998245485702E-3"/>
    <n v="4447.7069999999994"/>
    <n v="50.8797388063265"/>
  </r>
  <r>
    <x v="357"/>
    <n v="4458.58"/>
    <n v="-7.7226435922087694E-3"/>
    <n v="4435.8639999999996"/>
    <n v="47.740796432401538"/>
  </r>
  <r>
    <x v="358"/>
    <n v="4468.7299999999996"/>
    <n v="2.2765095613400759E-3"/>
    <n v="4431.4339999999993"/>
    <n v="44.125978561387214"/>
  </r>
  <r>
    <x v="359"/>
    <n v="4443.05"/>
    <n v="-5.7465991456184156E-3"/>
    <n v="4431.1239999999989"/>
    <n v="43.944696653862593"/>
  </r>
  <r>
    <x v="360"/>
    <n v="4480.7"/>
    <n v="8.4739086888510444E-3"/>
    <n v="4428.5619999999999"/>
    <n v="42.397143960413217"/>
  </r>
  <r>
    <x v="361"/>
    <n v="4473.75"/>
    <n v="-1.5510969268194297E-3"/>
    <n v="4419.5199999999986"/>
    <n v="47.658542780911773"/>
  </r>
  <r>
    <x v="362"/>
    <n v="4432.99"/>
    <n v="-9.1109248393406467E-3"/>
    <n v="4407.3959999999988"/>
    <n v="45.943078303483269"/>
  </r>
  <r>
    <x v="363"/>
    <n v="4357.7299999999996"/>
    <n v="-1.6977254629493913E-2"/>
    <n v="4390.7749999999996"/>
    <n v="48.901385921055351"/>
  </r>
  <r>
    <x v="364"/>
    <n v="4354.1899999999996"/>
    <n v="-8.1234954896241022E-4"/>
    <n v="4383.18"/>
    <n v="47.6367076948018"/>
  </r>
  <r>
    <x v="365"/>
    <n v="4395.6400000000003"/>
    <n v="9.5195662109372192E-3"/>
    <n v="4377.4529999999995"/>
    <n v="53.441060814695518"/>
  </r>
  <r>
    <x v="366"/>
    <n v="4448.9799999999996"/>
    <n v="1.2134751708510987E-2"/>
    <n v="4376.6059999999998"/>
    <n v="53.868461867775487"/>
  </r>
  <r>
    <x v="367"/>
    <n v="4455.4799999999996"/>
    <n v="1.4610090402744002E-3"/>
    <n v="4373.3970000000008"/>
    <n v="53.594123754381684"/>
  </r>
  <r>
    <x v="368"/>
    <n v="4443.1099999999997"/>
    <n v="-2.776356307288977E-3"/>
    <n v="4368.4750000000004"/>
    <n v="48.43888732206787"/>
  </r>
  <r>
    <x v="369"/>
    <n v="4352.63"/>
    <n v="-2.0364114325326081E-2"/>
    <n v="4362.0609999999997"/>
    <n v="40.006002412138059"/>
  </r>
  <r>
    <x v="370"/>
    <n v="4359.46"/>
    <n v="1.5691662282344069E-3"/>
    <n v="4353.8690000000006"/>
    <n v="29.606640961108745"/>
  </r>
  <r>
    <x v="371"/>
    <n v="4307.54"/>
    <n v="-1.1909731939276899E-2"/>
    <n v="4353.6710000000003"/>
    <n v="29.620882312989977"/>
  </r>
  <r>
    <x v="372"/>
    <n v="4357.04"/>
    <n v="1.1491477734391324E-2"/>
    <n v="4354.1050000000005"/>
    <n v="29.734100373140649"/>
  </r>
  <r>
    <x v="373"/>
    <n v="4300.46"/>
    <n v="-1.298588032242071E-2"/>
    <n v="4367.1770000000006"/>
    <n v="34.707578725690524"/>
  </r>
  <r>
    <x v="374"/>
    <n v="4345.72"/>
    <n v="1.0524455523362668E-2"/>
    <n v="4378.6100000000006"/>
    <n v="46.359948015501502"/>
  </r>
  <r>
    <x v="375"/>
    <n v="4363.55"/>
    <n v="4.102887438675277E-3"/>
    <n v="4397.21"/>
    <n v="48.535603220728618"/>
  </r>
  <r>
    <x v="376"/>
    <n v="4399.76"/>
    <n v="8.298289236974489E-3"/>
    <n v="4414.6009999999997"/>
    <n v="57.330633425769911"/>
  </r>
  <r>
    <x v="377"/>
    <n v="4391.34"/>
    <n v="-1.9137407494954435E-3"/>
    <n v="4431.8649999999998"/>
    <n v="64.857720164988848"/>
  </r>
  <r>
    <x v="378"/>
    <n v="4361.1899999999996"/>
    <n v="-6.8657858421348706E-3"/>
    <n v="4446.8670000000002"/>
    <n v="72.586400110489009"/>
  </r>
  <r>
    <x v="379"/>
    <n v="4350.6499999999996"/>
    <n v="-2.4167715692276566E-3"/>
    <n v="4462.223"/>
    <n v="75.40358665872597"/>
  </r>
  <r>
    <x v="380"/>
    <n v="4363.8"/>
    <n v="3.0225368623080567E-3"/>
    <n v="4482.7520000000004"/>
    <n v="73.009907108556064"/>
  </r>
  <r>
    <x v="381"/>
    <n v="4438.26"/>
    <n v="1.7063110133370005E-2"/>
    <n v="4505.1659999999993"/>
    <n v="62.690227659500323"/>
  </r>
  <r>
    <x v="382"/>
    <n v="4471.37"/>
    <n v="7.4601307719691212E-3"/>
    <n v="4523.9539999999997"/>
    <n v="42.367396946236752"/>
  </r>
  <r>
    <x v="383"/>
    <n v="4486.46"/>
    <n v="3.3748045900921075E-3"/>
    <n v="4539.7699999999986"/>
    <n v="36.546359873453873"/>
  </r>
  <r>
    <x v="384"/>
    <n v="4519.63"/>
    <n v="7.3933569005407542E-3"/>
    <n v="4553.1710000000003"/>
    <n v="33.446387383393159"/>
  </r>
  <r>
    <x v="385"/>
    <n v="4536.1899999999996"/>
    <n v="3.6640167447334164E-3"/>
    <n v="4565.8919999999998"/>
    <n v="29.627928310970461"/>
  </r>
  <r>
    <x v="386"/>
    <n v="4549.78"/>
    <n v="2.9959062561312789E-3"/>
    <n v="4576.9939999999997"/>
    <n v="30.98229048989122"/>
  </r>
  <r>
    <x v="387"/>
    <n v="4544.8999999999996"/>
    <n v="-1.0725793335062594E-3"/>
    <n v="4589.4320000000007"/>
    <n v="36.567699079925696"/>
  </r>
  <r>
    <x v="388"/>
    <n v="4566.4799999999996"/>
    <n v="4.7481792778718852E-3"/>
    <n v="4602.46"/>
    <n v="42.796999427530025"/>
  </r>
  <r>
    <x v="389"/>
    <n v="4574.79"/>
    <n v="1.8197824144637446E-3"/>
    <n v="4617.723"/>
    <n v="46.59548391207025"/>
  </r>
  <r>
    <x v="390"/>
    <n v="4551.68"/>
    <n v="-5.0515979968478713E-3"/>
    <n v="4631.2449999999999"/>
    <n v="49.304399245908989"/>
  </r>
  <r>
    <x v="391"/>
    <n v="4596.42"/>
    <n v="9.8293377390325717E-3"/>
    <n v="4642.2910000000002"/>
    <n v="47.768681884682458"/>
  </r>
  <r>
    <x v="392"/>
    <n v="4605.38"/>
    <n v="1.9493431844783628E-3"/>
    <n v="4651.7939999999999"/>
    <n v="37.046691944085865"/>
  </r>
  <r>
    <x v="393"/>
    <n v="4613.67"/>
    <n v="1.8000686154019784E-3"/>
    <n v="4657.0789999999997"/>
    <n v="32.226312680789242"/>
  </r>
  <r>
    <x v="394"/>
    <n v="4630.6499999999996"/>
    <n v="3.6803672564356712E-3"/>
    <n v="4664.826"/>
    <n v="27.886466323290229"/>
  </r>
  <r>
    <x v="395"/>
    <n v="4660.57"/>
    <n v="6.4612959303769609E-3"/>
    <n v="4671.7389999999996"/>
    <n v="22.371371638770853"/>
  </r>
  <r>
    <x v="396"/>
    <n v="4680.0600000000004"/>
    <n v="4.1818919145084595E-3"/>
    <n v="4678.764000000001"/>
    <n v="19.165944902352074"/>
  </r>
  <r>
    <x v="397"/>
    <n v="4697.53"/>
    <n v="3.7328581257503844E-3"/>
    <n v="4681.5740000000005"/>
    <n v="18.334341111695128"/>
  </r>
  <r>
    <x v="398"/>
    <n v="4701.7"/>
    <n v="8.8770055752705637E-4"/>
    <n v="4684.021999999999"/>
    <n v="19.561949187133521"/>
  </r>
  <r>
    <x v="399"/>
    <n v="4685.25"/>
    <n v="-3.4987345002870916E-3"/>
    <n v="4684.0649999999996"/>
    <n v="19.592043920938792"/>
  </r>
  <r>
    <x v="400"/>
    <n v="4646.71"/>
    <n v="-8.2258150578944488E-3"/>
    <n v="4682.1890000000003"/>
    <n v="18.691068696037568"/>
  </r>
  <r>
    <x v="401"/>
    <n v="4649.2700000000004"/>
    <n v="5.5092743037555604E-4"/>
    <n v="4682.7339999999995"/>
    <n v="18.851147551276426"/>
  </r>
  <r>
    <x v="402"/>
    <n v="4682.8500000000004"/>
    <n v="7.2226392530440097E-3"/>
    <n v="4688.2089999999998"/>
    <n v="15.188271428967663"/>
  </r>
  <r>
    <x v="403"/>
    <n v="4682.8"/>
    <n v="-1.0677258507144559E-5"/>
    <n v="4682.7440000000006"/>
    <n v="30.415175225535041"/>
  </r>
  <r>
    <x v="404"/>
    <n v="4700.8999999999996"/>
    <n v="3.8652088494062213E-3"/>
    <n v="4679.9859999999999"/>
    <n v="31.511224412897665"/>
  </r>
  <r>
    <x v="405"/>
    <n v="4688.67"/>
    <n v="-2.6016294752067826E-3"/>
    <n v="4668.4059999999999"/>
    <n v="46.202301068236814"/>
  </r>
  <r>
    <x v="406"/>
    <n v="4704.54"/>
    <n v="3.384755165110765E-3"/>
    <n v="4649.62"/>
    <n v="63.953203359956881"/>
  </r>
  <r>
    <x v="407"/>
    <n v="4697.96"/>
    <n v="-1.3986489646171415E-3"/>
    <n v="4638.4629999999997"/>
    <n v="65.870770156420633"/>
  </r>
  <r>
    <x v="408"/>
    <n v="4682.9399999999996"/>
    <n v="-3.1971323723489421E-3"/>
    <n v="4621.8519999999999"/>
    <n v="68.022615033531238"/>
  </r>
  <r>
    <x v="409"/>
    <n v="4690.7"/>
    <n v="1.6570786727996129E-3"/>
    <n v="4611.223"/>
    <n v="63.450398430585047"/>
  </r>
  <r>
    <x v="410"/>
    <n v="4701.46"/>
    <n v="2.2939006971241433E-3"/>
    <n v="4611.6040000000003"/>
    <n v="63.88981032997355"/>
  </r>
  <r>
    <x v="411"/>
    <n v="4594.62"/>
    <n v="-2.2724855683128251E-2"/>
    <n v="4612.6549999999997"/>
    <n v="65.254188103140166"/>
  </r>
  <r>
    <x v="412"/>
    <n v="4655.2700000000004"/>
    <n v="1.3200221128189174E-2"/>
    <n v="4609.253999999999"/>
    <n v="61.303822588807598"/>
  </r>
  <r>
    <x v="413"/>
    <n v="4567"/>
    <n v="-1.8961306218543805E-2"/>
    <n v="4620.9940000000006"/>
    <n v="68.227565866004653"/>
  </r>
  <r>
    <x v="414"/>
    <n v="4513.04"/>
    <n v="-1.1815195971097009E-2"/>
    <n v="4622.3639999999996"/>
    <n v="69.034839639127156"/>
  </r>
  <r>
    <x v="415"/>
    <n v="4577.1000000000004"/>
    <n v="1.4194423271231897E-2"/>
    <n v="4629.0729999999994"/>
    <n v="66.543452427718236"/>
  </r>
  <r>
    <x v="416"/>
    <n v="4538.43"/>
    <n v="-8.4485809792226672E-3"/>
    <n v="4648.7539999999999"/>
    <n v="57.851672093380309"/>
  </r>
  <r>
    <x v="417"/>
    <n v="4591.67"/>
    <n v="1.1730928977641998E-2"/>
    <n v="4657.9110000000001"/>
    <n v="52.812881468444807"/>
  </r>
  <r>
    <x v="418"/>
    <n v="4686.75"/>
    <n v="2.070706300757675E-2"/>
    <n v="4666.1319999999996"/>
    <n v="37.854423995089434"/>
  </r>
  <r>
    <x v="419"/>
    <n v="4701.21"/>
    <n v="3.0852936469835252E-3"/>
    <n v="4663.7669999999998"/>
    <n v="42.842755525292674"/>
  </r>
  <r>
    <x v="420"/>
    <n v="4667.45"/>
    <n v="-7.1811299644134637E-3"/>
    <n v="4660.0149999999994"/>
    <n v="42.305257415597865"/>
  </r>
  <r>
    <x v="421"/>
    <n v="4712.0200000000004"/>
    <n v="9.5491113991581309E-3"/>
    <n v="4659.55"/>
    <n v="41.873254948713999"/>
  </r>
  <r>
    <x v="422"/>
    <n v="4668.97"/>
    <n v="-9.1362090992822987E-3"/>
    <n v="4665.384"/>
    <n v="46.388217081496016"/>
  </r>
  <r>
    <x v="423"/>
    <n v="4634.09"/>
    <n v="-7.4705984403412549E-3"/>
    <n v="4673.3010000000004"/>
    <n v="58.774238480817274"/>
  </r>
  <r>
    <x v="424"/>
    <n v="4709.8500000000004"/>
    <n v="1.634840928855508E-2"/>
    <n v="4685.0389999999998"/>
    <n v="67.769922155776356"/>
  </r>
  <r>
    <x v="425"/>
    <n v="4668.67"/>
    <n v="-8.7433782392221174E-3"/>
    <n v="4700.9359999999997"/>
    <n v="72.438396751998823"/>
  </r>
  <r>
    <x v="426"/>
    <n v="4620.6400000000003"/>
    <n v="-1.0287726483131115E-2"/>
    <n v="4707.8240000000005"/>
    <n v="76.138830329865101"/>
  </r>
  <r>
    <x v="427"/>
    <n v="4568.0200000000004"/>
    <n v="-1.1388032826621396E-2"/>
    <n v="4717.5749999999989"/>
    <n v="76.74163267093023"/>
  </r>
  <r>
    <x v="428"/>
    <n v="4649.2299999999996"/>
    <n v="1.7777943178882562E-2"/>
    <n v="4735.1669999999995"/>
    <n v="72.55358930473389"/>
  </r>
  <r>
    <x v="429"/>
    <n v="4696.5600000000004"/>
    <n v="1.0180180373954578E-2"/>
    <n v="4757.7190000000001"/>
    <n v="47.982907050323746"/>
  </r>
  <r>
    <x v="430"/>
    <n v="4725.79"/>
    <n v="6.2237041579367791E-3"/>
    <n v="4762.8540000000003"/>
    <n v="37.755679890580687"/>
  </r>
  <r>
    <x v="431"/>
    <n v="4791.1899999999996"/>
    <n v="1.3838956026399741E-2"/>
    <n v="4762.8030000000008"/>
    <n v="37.845432498519585"/>
  </r>
  <r>
    <x v="432"/>
    <n v="4786.3500000000004"/>
    <n v="-1.0101874482120801E-3"/>
    <n v="4757.9270000000006"/>
    <n v="44.801851758604876"/>
  </r>
  <r>
    <x v="433"/>
    <n v="4793.0600000000004"/>
    <n v="1.4019033292592552E-3"/>
    <n v="4745.8370000000004"/>
    <n v="50.18385677685616"/>
  </r>
  <r>
    <x v="434"/>
    <n v="4778.7299999999996"/>
    <n v="-2.9897393314502292E-3"/>
    <n v="4738.509"/>
    <n v="49.070940575864356"/>
  </r>
  <r>
    <x v="435"/>
    <n v="4766.18"/>
    <n v="-2.6262207741385834E-3"/>
    <n v="4731.8380000000006"/>
    <n v="45.614229534214495"/>
  </r>
  <r>
    <x v="436"/>
    <n v="4796.5600000000004"/>
    <n v="6.3740773533521831E-3"/>
    <n v="4719.8679999999995"/>
    <n v="47.408770876284208"/>
  </r>
  <r>
    <x v="437"/>
    <n v="4793.54"/>
    <n v="-6.2961789282328087E-4"/>
    <n v="4709.5349999999989"/>
    <n v="47.449402156402435"/>
  </r>
  <r>
    <x v="438"/>
    <n v="4700.58"/>
    <n v="-1.9392766097706505E-2"/>
    <n v="4687.5899999999992"/>
    <n v="52.594350837328612"/>
  </r>
  <r>
    <x v="439"/>
    <n v="4696.05"/>
    <n v="-9.6371086121281742E-4"/>
    <n v="4661.5120000000006"/>
    <n v="57.972375283405476"/>
  </r>
  <r>
    <x v="440"/>
    <n v="4677.03"/>
    <n v="-4.0502124125595847E-3"/>
    <n v="4639.7270000000008"/>
    <n v="77.005711223259382"/>
  </r>
  <r>
    <x v="441"/>
    <n v="4670.29"/>
    <n v="-1.441085475183991E-3"/>
    <n v="4609.9160000000002"/>
    <n v="102.810754028944"/>
  </r>
  <r>
    <x v="442"/>
    <n v="4713.07"/>
    <n v="9.160030747555236E-3"/>
    <n v="4583.2260000000006"/>
    <n v="115.75280006980402"/>
  </r>
  <r>
    <x v="443"/>
    <n v="4726.3500000000004"/>
    <n v="2.8176963210817269E-3"/>
    <n v="4551.8419999999996"/>
    <n v="129.60893748503622"/>
  </r>
  <r>
    <x v="444"/>
    <n v="4659.03"/>
    <n v="-1.4243549462058589E-2"/>
    <n v="4515.5279999999993"/>
    <n v="130.21969457804769"/>
  </r>
  <r>
    <x v="445"/>
    <n v="4662.8500000000004"/>
    <n v="8.1991315788922125E-4"/>
    <n v="4475.5439999999999"/>
    <n v="120.36044808823202"/>
  </r>
  <r>
    <x v="446"/>
    <n v="4577.1099999999997"/>
    <n v="-1.8387895814791531E-2"/>
    <n v="4452.8259999999991"/>
    <n v="103.89771548980276"/>
  </r>
  <r>
    <x v="447"/>
    <n v="4532.76"/>
    <n v="-9.6895202431227252E-3"/>
    <n v="4438.0959999999995"/>
    <n v="80.994964929926283"/>
  </r>
  <r>
    <x v="448"/>
    <n v="4482.7299999999996"/>
    <n v="-1.1037425321437856E-2"/>
    <n v="4435.0390000000007"/>
    <n v="76.120693566204437"/>
  </r>
  <r>
    <x v="449"/>
    <n v="4397.9399999999996"/>
    <n v="-1.8914813071498834E-2"/>
    <n v="4440.701"/>
    <n v="84.790782453047314"/>
  </r>
  <r>
    <x v="450"/>
    <n v="4410.13"/>
    <n v="2.7717522294529963E-3"/>
    <n v="4440.1719999999996"/>
    <n v="84.543058118333974"/>
  </r>
  <r>
    <x v="451"/>
    <n v="4356.45"/>
    <n v="-1.2171976789799912E-2"/>
    <n v="4450.4310000000005"/>
    <n v="85.019034509926001"/>
  </r>
  <r>
    <x v="452"/>
    <n v="4349.93"/>
    <n v="-1.4966314315554012E-3"/>
    <n v="4457.8050000000003"/>
    <n v="84.39940737351175"/>
  </r>
  <r>
    <x v="453"/>
    <n v="4326.51"/>
    <n v="-5.3839946849719581E-3"/>
    <n v="4474.3140000000003"/>
    <n v="78.928095783440668"/>
  </r>
  <r>
    <x v="454"/>
    <n v="4431.8500000000004"/>
    <n v="2.4347568825681704E-2"/>
    <n v="4498.0389999999998"/>
    <n v="73.440480179530397"/>
  </r>
  <r>
    <x v="455"/>
    <n v="4515.55"/>
    <n v="1.8886018254227876E-2"/>
    <n v="4515.7960000000003"/>
    <n v="46.256055430613664"/>
  </r>
  <r>
    <x v="456"/>
    <n v="4546.54"/>
    <n v="6.8629513569775065E-3"/>
    <n v="4514.4750000000004"/>
    <n v="48.755649570075505"/>
  </r>
  <r>
    <x v="457"/>
    <n v="4589.38"/>
    <n v="9.4225498950850865E-3"/>
    <n v="4503.0869999999995"/>
    <n v="59.327970309121497"/>
  </r>
  <r>
    <x v="458"/>
    <n v="4477.4399999999996"/>
    <n v="-2.4391094221877574E-2"/>
    <n v="4495.5399999999991"/>
    <n v="58.10803180284119"/>
  </r>
  <r>
    <x v="459"/>
    <n v="4500.53"/>
    <n v="5.1569646941109536E-3"/>
    <n v="4484.1030000000001"/>
    <n v="49.064161268689794"/>
  </r>
  <r>
    <x v="460"/>
    <n v="4483.87"/>
    <n v="-3.7017862340657333E-3"/>
    <n v="4474.3850000000002"/>
    <n v="58.195787691206618"/>
  </r>
  <r>
    <x v="461"/>
    <n v="4521.54"/>
    <n v="8.4012248347967427E-3"/>
    <n v="4459.2190000000001"/>
    <n v="68.291929018003302"/>
  </r>
  <r>
    <x v="462"/>
    <n v="4587.18"/>
    <n v="1.4517177775713657E-2"/>
    <n v="4441.3080000000009"/>
    <n v="81.657667955924367"/>
  </r>
  <r>
    <x v="463"/>
    <n v="4504.08"/>
    <n v="-1.8115705073705492E-2"/>
    <n v="4411.7040000000006"/>
    <n v="99.021057477690078"/>
  </r>
  <r>
    <x v="464"/>
    <n v="4418.6400000000003"/>
    <n v="-1.8969467682634324E-2"/>
    <n v="4381.8559999999998"/>
    <n v="85.720956970859817"/>
  </r>
  <r>
    <x v="465"/>
    <n v="4401.67"/>
    <n v="-3.8405482229826944E-3"/>
    <n v="4369.9129999999996"/>
    <n v="75.580137873650386"/>
  </r>
  <r>
    <x v="466"/>
    <n v="4471.07"/>
    <n v="1.5766743077059307E-2"/>
    <n v="4365.4430000000002"/>
    <n v="73.86857221444042"/>
  </r>
  <r>
    <x v="467"/>
    <n v="4475.01"/>
    <n v="8.812208263347497E-4"/>
    <n v="4355.902"/>
    <n v="74.7299034925109"/>
  </r>
  <r>
    <x v="468"/>
    <n v="4380.26"/>
    <n v="-2.1173137043269175E-2"/>
    <n v="4347.4490000000005"/>
    <n v="65.426349042262785"/>
  </r>
  <r>
    <x v="469"/>
    <n v="4348.87"/>
    <n v="-7.1662412733491448E-3"/>
    <n v="4336.2969999999996"/>
    <n v="50.54493585909465"/>
  </r>
  <r>
    <x v="470"/>
    <n v="4304.76"/>
    <n v="-1.0142864698185891E-2"/>
    <n v="4331.1580000000004"/>
    <n v="48.379982596110864"/>
  </r>
  <r>
    <x v="471"/>
    <n v="4225.5"/>
    <n v="-1.8412176288573629E-2"/>
    <n v="4316.38"/>
    <n v="61.503092605168924"/>
  </r>
  <r>
    <x v="472"/>
    <n v="4288.7"/>
    <n v="1.4956809844988716E-2"/>
    <n v="4302.9740000000002"/>
    <n v="75.575613553579487"/>
  </r>
  <r>
    <x v="473"/>
    <n v="4384.6499999999996"/>
    <n v="2.2372746986266193E-2"/>
    <n v="4308.2119999999986"/>
    <n v="71.74249463184276"/>
  </r>
  <r>
    <x v="474"/>
    <n v="4373.9399999999996"/>
    <n v="-2.4426122951660993E-3"/>
    <n v="4305.293999999999"/>
    <n v="73.058128117273739"/>
  </r>
  <r>
    <x v="475"/>
    <n v="4306.26"/>
    <n v="-1.5473463284818582E-2"/>
    <n v="4287.26"/>
    <n v="73.500369250773034"/>
  </r>
  <r>
    <x v="476"/>
    <n v="4386.54"/>
    <n v="1.864262724498747E-2"/>
    <n v="4267.1770000000006"/>
    <n v="74.502734184726393"/>
  </r>
  <r>
    <x v="477"/>
    <n v="4363.49"/>
    <n v="-5.2547110022934211E-3"/>
    <n v="4262.7960000000003"/>
    <n v="73.35496304954421"/>
  </r>
  <r>
    <x v="478"/>
    <n v="4328.87"/>
    <n v="-7.9340161201240048E-3"/>
    <n v="4259.9279999999999"/>
    <n v="68.885294773267759"/>
  </r>
  <r>
    <x v="479"/>
    <n v="4201.09"/>
    <n v="-2.9518095946517161E-2"/>
    <n v="4264.7460000000001"/>
    <n v="77.149370600154583"/>
  </r>
  <r>
    <x v="480"/>
    <n v="4170.7"/>
    <n v="-7.2338369327960899E-3"/>
    <n v="4278.1710000000003"/>
    <n v="96.414886864010754"/>
  </r>
  <r>
    <x v="481"/>
    <n v="4277.88"/>
    <n v="2.5698324022346439E-2"/>
    <n v="4304.18"/>
    <n v="106.65103693823144"/>
  </r>
  <r>
    <x v="482"/>
    <n v="4259.5200000000004"/>
    <n v="-4.2918454935621554E-3"/>
    <n v="4338.2710000000006"/>
    <n v="112.8418222513266"/>
  </r>
  <r>
    <x v="483"/>
    <n v="4204.3100000000004"/>
    <n v="-1.296155435354219E-2"/>
    <n v="4356.107"/>
    <n v="115.94013610911445"/>
  </r>
  <r>
    <x v="484"/>
    <n v="4173.1099999999997"/>
    <n v="-7.4209561140831017E-3"/>
    <n v="4382.1709999999994"/>
    <n v="120.50401192076549"/>
  </r>
  <r>
    <x v="485"/>
    <n v="4262.45"/>
    <n v="2.1408493905025305E-2"/>
    <n v="4416.0459999999994"/>
    <n v="113.13167003098658"/>
  </r>
  <r>
    <x v="486"/>
    <n v="4357.8599999999997"/>
    <n v="2.2383840279651342E-2"/>
    <n v="4456.2869999999994"/>
    <n v="88.435526464198901"/>
  </r>
  <r>
    <x v="487"/>
    <n v="4411.67"/>
    <n v="1.2347803738532307E-2"/>
    <n v="4493.2019999999993"/>
    <n v="75.988891661874021"/>
  </r>
  <r>
    <x v="488"/>
    <n v="4463.12"/>
    <n v="1.1662250349640798E-2"/>
    <n v="4517.6609999999991"/>
    <n v="67.363460637054658"/>
  </r>
  <r>
    <x v="489"/>
    <n v="4461.18"/>
    <n v="-4.3467350194473816E-4"/>
    <n v="4529.5350000000008"/>
    <n v="57.355805678239861"/>
  </r>
  <r>
    <x v="490"/>
    <n v="4511.6099999999997"/>
    <n v="1.1304184094790925E-2"/>
    <n v="4537.8089999999993"/>
    <n v="52.979096906232833"/>
  </r>
  <r>
    <x v="491"/>
    <n v="4456.24"/>
    <n v="-1.2272780670315009E-2"/>
    <n v="4549.9549999999999"/>
    <n v="47.67641854208447"/>
  </r>
  <r>
    <x v="492"/>
    <n v="4520.16"/>
    <n v="1.4343931206577759E-2"/>
    <n v="4551.3060000000005"/>
    <n v="46.753176405459484"/>
  </r>
  <r>
    <x v="493"/>
    <n v="4543.0600000000004"/>
    <n v="5.0661923471736724E-3"/>
    <n v="4553.7970000000005"/>
    <n v="42.048619727644031"/>
  </r>
  <r>
    <x v="494"/>
    <n v="4575.5200000000004"/>
    <n v="7.144963967017832E-3"/>
    <n v="4551.8020000000006"/>
    <n v="44.024064737368505"/>
  </r>
  <r>
    <x v="495"/>
    <n v="4631.6000000000004"/>
    <n v="1.2256530405287252E-2"/>
    <n v="4546.3239999999996"/>
    <n v="47.999708165779694"/>
  </r>
  <r>
    <x v="496"/>
    <n v="4602.45"/>
    <n v="-6.2937213921756075E-3"/>
    <n v="4530.0249999999996"/>
    <n v="61.181348342448445"/>
  </r>
  <r>
    <x v="497"/>
    <n v="4530.41"/>
    <n v="-1.565253289009114E-2"/>
    <n v="4506.6099999999988"/>
    <n v="62.615973680842892"/>
  </r>
  <r>
    <x v="498"/>
    <n v="4545.8599999999997"/>
    <n v="3.4102873691343209E-3"/>
    <n v="4491.0239999999994"/>
    <n v="55.852898259624872"/>
  </r>
  <r>
    <x v="499"/>
    <n v="4582.6400000000003"/>
    <n v="8.0908782936563502E-3"/>
    <n v="4477.2419999999984"/>
    <n v="61.183349499680077"/>
  </r>
  <r>
    <x v="500"/>
    <n v="4525.12"/>
    <n v="-1.2551716914267853E-2"/>
    <n v="4461.8249999999998"/>
    <n v="61.374178976178669"/>
  </r>
  <r>
    <x v="501"/>
    <n v="4481.1499999999996"/>
    <n v="-9.7168693868892441E-3"/>
    <n v="4449.7820000000002"/>
    <n v="46.498864459253205"/>
  </r>
  <r>
    <x v="502"/>
    <n v="4500.21"/>
    <n v="4.253372460194459E-3"/>
    <n v="4443.2149999999992"/>
    <n v="39.50676530671678"/>
  </r>
  <r>
    <x v="503"/>
    <n v="4488.28"/>
    <n v="-2.6509873983659189E-3"/>
    <n v="4434.4660000000003"/>
    <n v="39.823396188672845"/>
  </r>
  <r>
    <x v="504"/>
    <n v="4412.53"/>
    <n v="-1.687728929567674E-2"/>
    <n v="4411.6229999999996"/>
    <n v="57.258591853101002"/>
  </r>
  <r>
    <x v="505"/>
    <n v="4397.45"/>
    <n v="-3.4175405039738945E-3"/>
    <n v="4392.4070000000002"/>
    <n v="60.462851578469298"/>
  </r>
  <r>
    <x v="506"/>
    <n v="4446.59"/>
    <n v="1.1174658040455339E-2"/>
    <n v="4368.674"/>
    <n v="88.147011883557397"/>
  </r>
  <r>
    <x v="507"/>
    <n v="4392.59"/>
    <n v="-1.2144137417661623E-2"/>
    <n v="4347.3249999999989"/>
    <n v="103.16606159488694"/>
  </r>
  <r>
    <x v="508"/>
    <n v="4391.6899999999996"/>
    <n v="-2.0489050878878877E-4"/>
    <n v="4331.4159999999993"/>
    <n v="98.806320769473047"/>
  </r>
  <r>
    <x v="509"/>
    <n v="4462.21"/>
    <n v="1.605759969396757E-2"/>
    <n v="4305.3500000000004"/>
    <n v="112.6432122233736"/>
  </r>
  <r>
    <x v="510"/>
    <n v="4459.45"/>
    <n v="-6.1852759058856894E-4"/>
    <n v="4281.7189999999991"/>
    <n v="116.76347729063221"/>
  </r>
  <r>
    <x v="511"/>
    <n v="4393.66"/>
    <n v="-1.4752940385025051E-2"/>
    <n v="4253.0459999999994"/>
    <n v="103.3563791161435"/>
  </r>
  <r>
    <x v="512"/>
    <n v="4271.78"/>
    <n v="-2.7739970776072823E-2"/>
    <n v="4237.1179999999995"/>
    <n v="79.941515722432939"/>
  </r>
  <r>
    <x v="513"/>
    <n v="4296.12"/>
    <n v="5.6978589721381123E-3"/>
    <n v="4212.4390000000003"/>
    <n v="64.385738086939682"/>
  </r>
  <r>
    <x v="514"/>
    <n v="4175.2"/>
    <n v="-2.8146327383778869E-2"/>
    <n v="4197.5949999999993"/>
    <n v="66.082574745540867"/>
  </r>
  <r>
    <x v="515"/>
    <n v="4183.96"/>
    <n v="2.0981030848822137E-3"/>
    <n v="4167.107"/>
    <n v="82.00554603805773"/>
  </r>
  <r>
    <x v="516"/>
    <n v="4287.5"/>
    <n v="2.4746890505645359E-2"/>
    <n v="4149.692"/>
    <n v="95.773537138397472"/>
  </r>
  <r>
    <x v="517"/>
    <n v="4131.93"/>
    <n v="-3.6284548104956203E-2"/>
    <n v="4124.8140000000003"/>
    <n v="114.1830362356861"/>
  </r>
  <r>
    <x v="518"/>
    <n v="4155.38"/>
    <n v="5.6753139574000086E-3"/>
    <n v="4089.0720000000001"/>
    <n v="113.60341023050324"/>
  </r>
  <r>
    <x v="519"/>
    <n v="4175.4799999999996"/>
    <n v="4.8371027439125793E-3"/>
    <n v="4078.268"/>
    <n v="114.14988784926599"/>
  </r>
  <r>
    <x v="520"/>
    <n v="4300.17"/>
    <n v="2.9862434977535643E-2"/>
    <n v="4063.5309999999999"/>
    <n v="112.74755132152538"/>
  </r>
  <r>
    <x v="521"/>
    <n v="4146.87"/>
    <n v="-3.5649753381843084E-2"/>
    <n v="4054.8679999999999"/>
    <n v="106.99443946299269"/>
  </r>
  <r>
    <x v="522"/>
    <n v="4123.34"/>
    <n v="-5.6741590645474167E-3"/>
    <n v="4017.2190000000001"/>
    <n v="75.72374059038556"/>
  </r>
  <r>
    <x v="523"/>
    <n v="3991.24"/>
    <n v="-3.2037134944001795E-2"/>
    <n v="3992.6109999999999"/>
    <n v="69.304864540665591"/>
  </r>
  <r>
    <x v="524"/>
    <n v="4001.05"/>
    <n v="2.4578827632516214E-3"/>
    <n v="3970.4129999999996"/>
    <n v="58.601027303281981"/>
  </r>
  <r>
    <x v="525"/>
    <n v="3935.18"/>
    <n v="-1.6463178415665972E-2"/>
    <n v="3968.6639999999998"/>
    <n v="58.213044620600293"/>
  </r>
  <r>
    <x v="526"/>
    <n v="3930.08"/>
    <n v="-1.2960017076728153E-3"/>
    <n v="3962.7069999999999"/>
    <n v="57.639260933846124"/>
  </r>
  <r>
    <x v="527"/>
    <n v="4023.89"/>
    <n v="2.386974310955501E-2"/>
    <n v="3967.0620000000004"/>
    <n v="57.036991996422806"/>
  </r>
  <r>
    <x v="528"/>
    <n v="4008.01"/>
    <n v="-3.9464299471406164E-3"/>
    <n v="3979.8380000000006"/>
    <n v="61.459661372318031"/>
  </r>
  <r>
    <x v="529"/>
    <n v="4088.85"/>
    <n v="2.0169610355263507E-2"/>
    <n v="3993.2730000000001"/>
    <n v="81.15084867701627"/>
  </r>
  <r>
    <x v="530"/>
    <n v="3923.68"/>
    <n v="-4.0395221150201173E-2"/>
    <n v="4005.6870000000004"/>
    <n v="91.314385728646201"/>
  </r>
  <r>
    <x v="531"/>
    <n v="3900.79"/>
    <n v="-5.8338090771928074E-3"/>
    <n v="4006.9250000000002"/>
    <n v="92.509580179568303"/>
  </r>
  <r>
    <x v="532"/>
    <n v="3901.36"/>
    <n v="1.4612424662700728E-4"/>
    <n v="4032.2390000000005"/>
    <n v="100.55188675007533"/>
  </r>
  <r>
    <x v="533"/>
    <n v="3973.75"/>
    <n v="1.8555067976295414E-2"/>
    <n v="4053.0140000000006"/>
    <n v="92.376304342617928"/>
  </r>
  <r>
    <x v="534"/>
    <n v="3941.48"/>
    <n v="-8.1207927021075769E-3"/>
    <n v="4075.0209999999997"/>
    <n v="78.849571267065144"/>
  </r>
  <r>
    <x v="535"/>
    <n v="3978.73"/>
    <n v="9.450764687376316E-3"/>
    <n v="4093.7139999999999"/>
    <n v="74.672562055951929"/>
  </r>
  <r>
    <x v="536"/>
    <n v="4057.84"/>
    <n v="1.9883229070582858E-2"/>
    <n v="4111.1429999999991"/>
    <n v="54.802820374502581"/>
  </r>
  <r>
    <x v="537"/>
    <n v="4158.24"/>
    <n v="2.4742227391912848E-2"/>
    <n v="4115.0519999999997"/>
    <n v="45.887545325501918"/>
  </r>
  <r>
    <x v="538"/>
    <n v="4132.1499999999996"/>
    <n v="-6.2742891223210176E-3"/>
    <n v="4099.3540000000003"/>
    <n v="78.228764556267848"/>
  </r>
  <r>
    <x v="539"/>
    <n v="4101.2299999999996"/>
    <n v="-7.482787410912013E-3"/>
    <n v="4058.4929999999999"/>
    <n v="127.8047330931057"/>
  </r>
  <r>
    <x v="540"/>
    <n v="4176.82"/>
    <n v="1.8431056049038986E-2"/>
    <n v="4018.826"/>
    <n v="157.00886396633788"/>
  </r>
  <r>
    <x v="541"/>
    <n v="4108.54"/>
    <n v="-1.6347364741597616E-2"/>
    <n v="3987.7020000000002"/>
    <n v="168.04948543806975"/>
  </r>
  <r>
    <x v="542"/>
    <n v="4121.43"/>
    <n v="3.1373675320187531E-3"/>
    <n v="3936.6970000000001"/>
    <n v="179.89522673211772"/>
  </r>
  <r>
    <x v="543"/>
    <n v="4160.68"/>
    <n v="9.5233935794129705E-3"/>
    <n v="3893.3270000000002"/>
    <n v="185.4325831158053"/>
  </r>
  <r>
    <x v="544"/>
    <n v="4115.7700000000004"/>
    <n v="-1.0793908688002887E-2"/>
    <n v="3857.6630000000005"/>
    <n v="171.93719830507894"/>
  </r>
  <r>
    <x v="545"/>
    <n v="4017.82"/>
    <n v="-2.379870595295662E-2"/>
    <n v="3817.5840000000003"/>
    <n v="140.46387309198059"/>
  </r>
  <r>
    <x v="546"/>
    <n v="3900.86"/>
    <n v="-2.9110313553120853E-2"/>
    <n v="3785.5800000000004"/>
    <n v="99.308178414469012"/>
  </r>
  <r>
    <x v="547"/>
    <n v="3749.63"/>
    <n v="-3.8768374153391821E-2"/>
    <n v="3774.9720000000002"/>
    <n v="77.12118668692797"/>
  </r>
  <r>
    <x v="548"/>
    <n v="3735.48"/>
    <n v="-3.7737056722930238E-3"/>
    <n v="3774.8969999999999"/>
    <n v="76.998992597306071"/>
  </r>
  <r>
    <x v="549"/>
    <n v="3789.99"/>
    <n v="1.4592502168395966E-2"/>
    <n v="3782.0889999999999"/>
    <n v="77.659050399808507"/>
  </r>
  <r>
    <x v="550"/>
    <n v="3666.77"/>
    <n v="-3.2511959134456765E-2"/>
    <n v="3790.4240000000004"/>
    <n v="76.675981271842844"/>
  </r>
  <r>
    <x v="551"/>
    <n v="3674.84"/>
    <n v="2.2008470670372465E-3"/>
    <n v="3789.9629999999997"/>
    <n v="76.691061676051902"/>
  </r>
  <r>
    <x v="552"/>
    <n v="3764.79"/>
    <n v="2.4477256152648771E-2"/>
    <n v="3805.8189999999995"/>
    <n v="65.096368170582252"/>
  </r>
  <r>
    <x v="553"/>
    <n v="3759.89"/>
    <n v="-1.3015334188626964E-3"/>
    <n v="3821.4739999999997"/>
    <n v="48.397271452014721"/>
  </r>
  <r>
    <x v="554"/>
    <n v="3795.73"/>
    <n v="9.5321937609877273E-3"/>
    <n v="3829.5029999999997"/>
    <n v="44.858084901163565"/>
  </r>
  <r>
    <x v="555"/>
    <n v="3911.74"/>
    <n v="3.0563290855777352E-2"/>
    <n v="3843.7760000000003"/>
    <n v="43.110808899857076"/>
  </r>
  <r>
    <x v="556"/>
    <n v="3900.11"/>
    <n v="-2.9731014842498877E-3"/>
    <n v="3854.1410000000005"/>
    <n v="42.772038635070899"/>
  </r>
  <r>
    <x v="557"/>
    <n v="3821.55"/>
    <n v="-2.0143021607082864E-2"/>
    <n v="3848.41"/>
    <n v="38.273317075999564"/>
  </r>
  <r>
    <x v="558"/>
    <n v="3818.83"/>
    <n v="-7.1175308448149426E-4"/>
    <n v="3840.279"/>
    <n v="34.915896795012976"/>
  </r>
  <r>
    <x v="559"/>
    <n v="3785.38"/>
    <n v="-8.7592273026031054E-3"/>
    <n v="3838.3020000000006"/>
    <n v="36.446550947929168"/>
  </r>
  <r>
    <x v="560"/>
    <n v="3825.33"/>
    <n v="1.0553762105785897E-2"/>
    <n v="3835.4569999999999"/>
    <n v="38.884353935741238"/>
  </r>
  <r>
    <x v="561"/>
    <n v="3831.39"/>
    <n v="1.5841770513916305E-3"/>
    <n v="3843.2349999999992"/>
    <n v="35.74172246828622"/>
  </r>
  <r>
    <x v="562"/>
    <n v="3845.08"/>
    <n v="3.5731157621646595E-3"/>
    <n v="3843.7870000000003"/>
    <n v="35.502759625133308"/>
  </r>
  <r>
    <x v="563"/>
    <n v="3902.62"/>
    <n v="1.4964578110208361E-2"/>
    <n v="3854.3170000000005"/>
    <n v="44.691086594532429"/>
  </r>
  <r>
    <x v="564"/>
    <n v="3899.38"/>
    <n v="-8.3021149894168069E-4"/>
    <n v="3865.799"/>
    <n v="54.51331643736232"/>
  </r>
  <r>
    <x v="565"/>
    <n v="3854.43"/>
    <n v="-1.152747359836699E-2"/>
    <n v="3875.4319999999993"/>
    <n v="67.203030110256137"/>
  </r>
  <r>
    <x v="566"/>
    <n v="3818.8"/>
    <n v="-9.2439089567068686E-3"/>
    <n v="3881.6569999999992"/>
    <n v="71.855100591398482"/>
  </r>
  <r>
    <x v="567"/>
    <n v="3801.78"/>
    <n v="-4.4568974546978059E-3"/>
    <n v="3892.8979999999997"/>
    <n v="75.420678835449337"/>
  </r>
  <r>
    <x v="568"/>
    <n v="3790.38"/>
    <n v="-2.9985953947887808E-3"/>
    <n v="3903.123000000001"/>
    <n v="71.511749531108507"/>
  </r>
  <r>
    <x v="569"/>
    <n v="3863.16"/>
    <n v="1.9201241036518699E-2"/>
    <n v="3925.3060000000005"/>
    <n v="71.038835744964203"/>
  </r>
  <r>
    <x v="570"/>
    <n v="3830.85"/>
    <n v="-8.3636194203708745E-3"/>
    <n v="3953.511"/>
    <n v="67.786715136522147"/>
  </r>
  <r>
    <x v="571"/>
    <n v="3936.69"/>
    <n v="2.7628333137554369E-2"/>
    <n v="3980.2239999999997"/>
    <n v="78.677859299805533"/>
  </r>
  <r>
    <x v="572"/>
    <n v="3959.9"/>
    <n v="5.8958160281861252E-3"/>
    <n v="4009.0019999999995"/>
    <n v="71.037983895941139"/>
  </r>
  <r>
    <x v="573"/>
    <n v="3998.95"/>
    <n v="9.861360135356885E-3"/>
    <n v="4024.4520000000002"/>
    <n v="70.429232964728456"/>
  </r>
  <r>
    <x v="574"/>
    <n v="3961.63"/>
    <n v="-9.3324497680640443E-3"/>
    <n v="4043.9790000000003"/>
    <n v="76.622428889979687"/>
  </r>
  <r>
    <x v="575"/>
    <n v="3966.84"/>
    <n v="1.3151152429681813E-3"/>
    <n v="4059.2780000000007"/>
    <n v="81.238746149851323"/>
  </r>
  <r>
    <x v="576"/>
    <n v="3921.05"/>
    <n v="-1.154319307055489E-2"/>
    <n v="4077.6340000000005"/>
    <n v="77.764806461534903"/>
  </r>
  <r>
    <x v="577"/>
    <n v="4023.61"/>
    <n v="2.6156259165274594E-2"/>
    <n v="4094.9559999999997"/>
    <n v="70.06770257401044"/>
  </r>
  <r>
    <x v="578"/>
    <n v="4072.43"/>
    <n v="1.2133382708562635E-2"/>
    <n v="4115.098"/>
    <n v="39.435455062671672"/>
  </r>
  <r>
    <x v="579"/>
    <n v="4130.29"/>
    <n v="1.4207733466259734E-2"/>
    <n v="4133.7609999999995"/>
    <n v="35.707732341889141"/>
  </r>
  <r>
    <x v="580"/>
    <n v="4118.63"/>
    <n v="-2.8230463236237299E-3"/>
    <n v="4147.2449999999999"/>
    <n v="35.460288281400075"/>
  </r>
  <r>
    <x v="581"/>
    <n v="4091.19"/>
    <n v="-6.6624095876541599E-3"/>
    <n v="4162.2310000000007"/>
    <n v="52.635335555119141"/>
  </r>
  <r>
    <x v="582"/>
    <n v="4155.17"/>
    <n v="1.5638481713144591E-2"/>
    <n v="4180.0820000000003"/>
    <n v="63.8886488822545"/>
  </r>
  <r>
    <x v="583"/>
    <n v="4151.9399999999996"/>
    <n v="-7.7734484990998507E-4"/>
    <n v="4201.4829999999993"/>
    <n v="66.325178333721766"/>
  </r>
  <r>
    <x v="584"/>
    <n v="4145.1899999999996"/>
    <n v="-1.6257460367924393E-3"/>
    <n v="4213.37"/>
    <n v="67.59948919925354"/>
  </r>
  <r>
    <x v="585"/>
    <n v="4140.0600000000004"/>
    <n v="-1.2375789770792654E-3"/>
    <n v="4226.5499999999993"/>
    <n v="67.18487731625315"/>
  </r>
  <r>
    <x v="586"/>
    <n v="4122.47"/>
    <n v="-4.248730694724266E-3"/>
    <n v="4234.878999999999"/>
    <n v="61.504983773674653"/>
  </r>
  <r>
    <x v="587"/>
    <n v="4210.24"/>
    <n v="2.1290634013103677E-2"/>
    <n v="4234.6719999999996"/>
    <n v="61.826399992236276"/>
  </r>
  <r>
    <x v="588"/>
    <n v="4207.2700000000004"/>
    <n v="-7.0542296876172029E-4"/>
    <n v="4235.2979999999998"/>
    <n v="60.708761443468838"/>
  </r>
  <r>
    <x v="589"/>
    <n v="4280.1499999999996"/>
    <n v="1.7322396708554285E-2"/>
    <n v="4228.3510000000006"/>
    <n v="66.843525109018586"/>
  </r>
  <r>
    <x v="590"/>
    <n v="4297.1400000000003"/>
    <n v="3.969487050687638E-3"/>
    <n v="4227.536000000001"/>
    <n v="67.144596982929315"/>
  </r>
  <r>
    <x v="591"/>
    <n v="4305.2"/>
    <n v="1.8756661407353472E-3"/>
    <n v="4205.2870000000012"/>
    <n v="81.377768100384785"/>
  </r>
  <r>
    <x v="592"/>
    <n v="4274.04"/>
    <n v="-7.2377589891293916E-3"/>
    <n v="4178.634"/>
    <n v="90.108084010259518"/>
  </r>
  <r>
    <x v="593"/>
    <n v="4283.74"/>
    <n v="2.2695154935376874E-3"/>
    <n v="4146.7300000000005"/>
    <n v="95.939201685233911"/>
  </r>
  <r>
    <x v="594"/>
    <n v="4228.4799999999996"/>
    <n v="-1.2899942573545597E-2"/>
    <n v="4114.8259999999991"/>
    <n v="101.20138775728317"/>
  </r>
  <r>
    <x v="595"/>
    <n v="4137.99"/>
    <n v="-2.1400124867564655E-2"/>
    <n v="4083.1370000000002"/>
    <n v="92.596025190069511"/>
  </r>
  <r>
    <x v="596"/>
    <n v="4128.7299999999996"/>
    <n v="-2.2378014446627998E-3"/>
    <n v="4052.7150000000001"/>
    <n v="89.77893486224923"/>
  </r>
  <r>
    <x v="597"/>
    <n v="4140.7700000000004"/>
    <n v="2.9161509713642873E-3"/>
    <n v="4029.7349999999997"/>
    <n v="94.306636802507128"/>
  </r>
  <r>
    <x v="598"/>
    <n v="4199.12"/>
    <n v="1.4091582000449059E-2"/>
    <n v="4014.8490000000006"/>
    <n v="89.111164109779224"/>
  </r>
  <r>
    <x v="599"/>
    <n v="4057.66"/>
    <n v="-3.3688010821314951E-2"/>
    <n v="4001.3899999999994"/>
    <n v="78.622898827250012"/>
  </r>
  <r>
    <x v="600"/>
    <n v="4030.61"/>
    <n v="-6.6664037893760762E-3"/>
    <n v="3988.2139999999999"/>
    <n v="50.33330948785305"/>
  </r>
  <r>
    <x v="601"/>
    <n v="3986.16"/>
    <n v="-1.102810740805989E-2"/>
    <n v="3993.489"/>
    <n v="59.300320142474753"/>
  </r>
  <r>
    <x v="602"/>
    <n v="3955"/>
    <n v="-7.8170469825596198E-3"/>
    <n v="3983.6970000000001"/>
    <n v="60.435913834408055"/>
  </r>
  <r>
    <x v="603"/>
    <n v="3966.85"/>
    <n v="2.9962073324904955E-3"/>
    <n v="3979.6820000000007"/>
    <n v="61.463841533050889"/>
  </r>
  <r>
    <x v="604"/>
    <n v="3924.26"/>
    <n v="-1.0736478566116614E-2"/>
    <n v="3974.317"/>
    <n v="65.58727545034931"/>
  </r>
  <r>
    <x v="605"/>
    <n v="3908.19"/>
    <n v="-4.0950395743401717E-3"/>
    <n v="3964.9650000000001"/>
    <n v="72.308316292111201"/>
  </r>
  <r>
    <x v="606"/>
    <n v="3979.87"/>
    <n v="1.8340971140092942E-2"/>
    <n v="3962.5279999999998"/>
    <n v="74.029315112325591"/>
  </r>
  <r>
    <x v="607"/>
    <n v="4006.18"/>
    <n v="6.6107686934497728E-3"/>
    <n v="3957.3019999999997"/>
    <n v="79.335237795068096"/>
  </r>
  <r>
    <x v="608"/>
    <n v="4067.36"/>
    <n v="1.5271405678227212E-2"/>
    <n v="3938.308"/>
    <n v="93.186453393183754"/>
  </r>
  <r>
    <x v="609"/>
    <n v="4110.41"/>
    <n v="1.0584261044018658E-2"/>
    <n v="3913.489"/>
    <n v="104.20426866976234"/>
  </r>
  <r>
    <x v="610"/>
    <n v="3932.69"/>
    <n v="-4.3236562775976074E-2"/>
    <n v="3876.076"/>
    <n v="109.28207210700209"/>
  </r>
  <r>
    <x v="611"/>
    <n v="3946.01"/>
    <n v="3.386994652515241E-3"/>
    <n v="3830.5390000000007"/>
    <n v="96.246568193364737"/>
  </r>
  <r>
    <x v="612"/>
    <n v="3901.35"/>
    <n v="-1.1317761485652673E-2"/>
    <n v="3801.9989999999998"/>
    <n v="103.74684192301953"/>
  </r>
  <r>
    <x v="613"/>
    <n v="3873.33"/>
    <n v="-7.182129262947437E-3"/>
    <n v="3779.3019999999997"/>
    <n v="94.141150173555857"/>
  </r>
  <r>
    <x v="614"/>
    <n v="3899.89"/>
    <n v="6.8571487583035644E-3"/>
    <n v="3753.2139999999999"/>
    <n v="92.84305792034209"/>
  </r>
  <r>
    <x v="615"/>
    <n v="3855.93"/>
    <n v="-1.1272112803181638E-2"/>
    <n v="3724.4430000000007"/>
    <n v="95.697714189002411"/>
  </r>
  <r>
    <x v="616"/>
    <n v="3789.93"/>
    <n v="-1.7116493297336829E-2"/>
    <n v="3702.297"/>
    <n v="76.165358405248753"/>
  </r>
  <r>
    <x v="617"/>
    <n v="3757.99"/>
    <n v="-8.4275962880581059E-3"/>
    <n v="3695.797"/>
    <n v="64.68525968874205"/>
  </r>
  <r>
    <x v="618"/>
    <n v="3693.23"/>
    <n v="-1.723261637204989E-2"/>
    <n v="3695.1320000000001"/>
    <n v="63.741399074698727"/>
  </r>
  <r>
    <x v="619"/>
    <n v="3655.04"/>
    <n v="-1.0340542018774908E-2"/>
    <n v="3693.7849999999999"/>
    <n v="62.529642450601017"/>
  </r>
  <r>
    <x v="620"/>
    <n v="3647.29"/>
    <n v="-2.1203598319033444E-3"/>
    <n v="3688.4279999999999"/>
    <n v="64.607890354042723"/>
  </r>
  <r>
    <x v="621"/>
    <n v="3719.04"/>
    <n v="1.9672140136923578E-2"/>
    <n v="3684.1629999999996"/>
    <n v="67.990375502713675"/>
  </r>
  <r>
    <x v="622"/>
    <n v="3640.47"/>
    <n v="-2.1126419721218422E-2"/>
    <n v="3678.3180000000007"/>
    <n v="73.220302894757296"/>
  </r>
  <r>
    <x v="623"/>
    <n v="3585.62"/>
    <n v="-1.5066735888497889E-2"/>
    <n v="3664.1169999999997"/>
    <n v="77.58635267236113"/>
  </r>
  <r>
    <x v="624"/>
    <n v="3678.43"/>
    <n v="2.5883947546031075E-2"/>
    <n v="3667.0610000000001"/>
    <n v="77.190755981529279"/>
  </r>
  <r>
    <x v="625"/>
    <n v="3790.93"/>
    <n v="3.0583700111188741E-2"/>
    <n v="3666.8059999999996"/>
    <n v="77.463106986487404"/>
  </r>
  <r>
    <x v="626"/>
    <n v="3783.28"/>
    <n v="-2.0179744811958111E-3"/>
    <n v="3666.7579999999994"/>
    <n v="77.456037698813347"/>
  </r>
  <r>
    <x v="627"/>
    <n v="3744.52"/>
    <n v="-1.024507834471681E-2"/>
    <n v="3659.6629999999996"/>
    <n v="68.48713982201329"/>
  </r>
  <r>
    <x v="628"/>
    <n v="3639.66"/>
    <n v="-2.8003589245083515E-2"/>
    <n v="3650.8509999999997"/>
    <n v="56.663254486483488"/>
  </r>
  <r>
    <x v="629"/>
    <n v="3612.39"/>
    <n v="-7.4924580867443613E-3"/>
    <n v="3642.9770000000003"/>
    <n v="47.891793461928245"/>
  </r>
  <r>
    <x v="630"/>
    <n v="3588.84"/>
    <n v="-6.5192296512834244E-3"/>
    <n v="3654.2860000000001"/>
    <n v="58.048611559622955"/>
  </r>
  <r>
    <x v="631"/>
    <n v="3577.03"/>
    <n v="-3.2907569019515904E-3"/>
    <n v="3672.7809999999999"/>
    <n v="69.989238379910901"/>
  </r>
  <r>
    <x v="632"/>
    <n v="3669.91"/>
    <n v="2.59656754346482E-2"/>
    <n v="3699.808"/>
    <n v="83.278299910600964"/>
  </r>
  <r>
    <x v="633"/>
    <n v="3583.07"/>
    <n v="-2.3662705624933496E-2"/>
    <n v="3725.1649999999995"/>
    <n v="80.594719336939193"/>
  </r>
  <r>
    <x v="634"/>
    <n v="3677.95"/>
    <n v="2.6480085513260875E-2"/>
    <n v="3738.904"/>
    <n v="81.707117095146629"/>
  </r>
  <r>
    <x v="635"/>
    <n v="3719.98"/>
    <n v="1.1427561549232643E-2"/>
    <n v="3770.703"/>
    <n v="76.58922810030144"/>
  </r>
  <r>
    <x v="636"/>
    <n v="3695.16"/>
    <n v="-6.6720788821445715E-3"/>
    <n v="3790.1060000000007"/>
    <n v="75.198567965088259"/>
  </r>
  <r>
    <x v="637"/>
    <n v="3665.78"/>
    <n v="-7.9509412312321129E-3"/>
    <n v="3803.7179999999998"/>
    <n v="73.575086109361749"/>
  </r>
  <r>
    <x v="638"/>
    <n v="3752.75"/>
    <n v="2.3724828003862695E-2"/>
    <n v="3810.1710000000007"/>
    <n v="66.23454256654901"/>
  </r>
  <r>
    <x v="639"/>
    <n v="3797.34"/>
    <n v="1.188195323429489E-2"/>
    <n v="3815.5819999999999"/>
    <n v="55.56910576930315"/>
  </r>
  <r>
    <x v="640"/>
    <n v="3859.11"/>
    <n v="1.6266649812763666E-2"/>
    <n v="3817.3620000000001"/>
    <n v="53.784376876561453"/>
  </r>
  <r>
    <x v="641"/>
    <n v="3830.6"/>
    <n v="-7.3877137474703276E-3"/>
    <n v="3818.308"/>
    <n v="53.506371732719828"/>
  </r>
  <r>
    <x v="642"/>
    <n v="3807.3"/>
    <n v="-6.0825980264187663E-3"/>
    <n v="3815.2079999999996"/>
    <n v="51.927347477027922"/>
  </r>
  <r>
    <x v="643"/>
    <n v="3901.06"/>
    <n v="2.4626375646783747E-2"/>
    <n v="3807.0049999999997"/>
    <n v="55.222560109071338"/>
  </r>
  <r>
    <x v="644"/>
    <n v="3871.98"/>
    <n v="-7.4543841930141876E-3"/>
    <n v="3821.9120000000003"/>
    <n v="71.121685272496123"/>
  </r>
  <r>
    <x v="645"/>
    <n v="3856.1"/>
    <n v="-4.1012608536201397E-3"/>
    <n v="3831.0989999999997"/>
    <n v="85.27700856033816"/>
  </r>
  <r>
    <x v="646"/>
    <n v="3759.69"/>
    <n v="-2.500194497030675E-2"/>
    <n v="3839.6259999999993"/>
    <n v="92.864095989784914"/>
  </r>
  <r>
    <x v="647"/>
    <n v="3719.89"/>
    <n v="-1.0585979163175736E-2"/>
    <n v="3853.1890000000008"/>
    <n v="103.56741171333763"/>
  </r>
  <r>
    <x v="648"/>
    <n v="3770.55"/>
    <n v="1.3618682272862991E-2"/>
    <n v="3873.0990000000006"/>
    <n v="102.81415996349914"/>
  </r>
  <r>
    <x v="649"/>
    <n v="3806.8"/>
    <n v="9.613982045059739E-3"/>
    <n v="3895.7659999999996"/>
    <n v="90.82571598396558"/>
  </r>
  <r>
    <x v="650"/>
    <n v="3828.11"/>
    <n v="5.5978774823999015E-3"/>
    <n v="3915.2449999999999"/>
    <n v="82.377355656757928"/>
  </r>
  <r>
    <x v="651"/>
    <n v="3748.57"/>
    <n v="-2.0777877333723421E-2"/>
    <n v="3929.5590000000002"/>
    <n v="74.333576726806228"/>
  </r>
  <r>
    <x v="652"/>
    <n v="3956.37"/>
    <n v="5.5434472345454323E-2"/>
    <n v="3947.1060000000007"/>
    <n v="68.820813014668701"/>
  </r>
  <r>
    <x v="653"/>
    <n v="3992.93"/>
    <n v="9.2407939601199963E-3"/>
    <n v="3974.9749999999999"/>
    <n v="25.698933538184061"/>
  </r>
  <r>
    <x v="654"/>
    <n v="3957.25"/>
    <n v="-8.9357940159231035E-3"/>
    <n v="3981.9500000000007"/>
    <n v="28.961199215502113"/>
  </r>
  <r>
    <x v="655"/>
    <n v="3991.73"/>
    <n v="8.7131214858803506E-3"/>
    <n v="3979.0510000000004"/>
    <n v="29.167221825192751"/>
  </r>
  <r>
    <x v="656"/>
    <n v="3958.79"/>
    <n v="-8.2520611363995199E-3"/>
    <n v="3979.0889999999999"/>
    <n v="29.139027935056443"/>
  </r>
  <r>
    <x v="657"/>
    <n v="3946.56"/>
    <n v="-3.0893277996559602E-3"/>
    <n v="3987.9269999999997"/>
    <n v="42.136889550606384"/>
  </r>
  <r>
    <x v="658"/>
    <n v="3965.34"/>
    <n v="4.7585745560691341E-3"/>
    <n v="3999.7049999999995"/>
    <n v="48.349331381106012"/>
  </r>
  <r>
    <x v="659"/>
    <n v="3949.94"/>
    <n v="-3.8836518432215374E-3"/>
    <n v="4012.2190000000001"/>
    <n v="49.162450600026013"/>
  </r>
  <r>
    <x v="660"/>
    <n v="4003.58"/>
    <n v="1.3579953113211814E-2"/>
    <n v="4015.5690000000004"/>
    <n v="46.945284630088238"/>
  </r>
  <r>
    <x v="661"/>
    <n v="4027.26"/>
    <n v="5.9147063378277168E-3"/>
    <n v="4014.701"/>
    <n v="48.213820726011711"/>
  </r>
  <r>
    <x v="662"/>
    <n v="4026.12"/>
    <n v="-2.8307087200735176E-4"/>
    <n v="4007.7349999999997"/>
    <n v="54.002191483309232"/>
  </r>
  <r>
    <x v="663"/>
    <n v="3963.94"/>
    <n v="-1.5444149702443007E-2"/>
    <n v="4001.3599999999997"/>
    <n v="55.073210910568804"/>
  </r>
  <r>
    <x v="664"/>
    <n v="3957.63"/>
    <n v="-1.5918505325509329E-3"/>
    <n v="3992.1860000000001"/>
    <n v="57.760042970898112"/>
  </r>
  <r>
    <x v="665"/>
    <n v="4080.11"/>
    <n v="3.094781472750106E-2"/>
    <n v="3994.8479999999995"/>
    <n v="57.005412514953306"/>
  </r>
  <r>
    <x v="666"/>
    <n v="4076.57"/>
    <n v="-8.6762366700896877E-4"/>
    <n v="4001.0500000000006"/>
    <n v="55.983463808521137"/>
  </r>
  <r>
    <x v="667"/>
    <n v="4071.7"/>
    <n v="-1.1946317615054679E-3"/>
    <n v="3992.5710000000008"/>
    <n v="49.401312826685029"/>
  </r>
  <r>
    <x v="668"/>
    <n v="3998.84"/>
    <n v="-1.7894245646781364E-2"/>
    <n v="3974.4890000000005"/>
    <n v="48.429106836694757"/>
  </r>
  <r>
    <x v="669"/>
    <n v="3941.26"/>
    <n v="-1.4399175760970663E-2"/>
    <n v="3952.5550000000003"/>
    <n v="49.100198013857337"/>
  </r>
  <r>
    <x v="670"/>
    <n v="3933.92"/>
    <n v="-1.8623485890299409E-3"/>
    <n v="3934.4369999999994"/>
    <n v="60.728934627572755"/>
  </r>
  <r>
    <x v="671"/>
    <n v="3963.51"/>
    <n v="7.5217594663847115E-3"/>
    <n v="3922.4730000000004"/>
    <n v="69.375632761078364"/>
  </r>
  <r>
    <x v="672"/>
    <n v="3934.38"/>
    <n v="-7.349546235533683E-3"/>
    <n v="3916.9250000000006"/>
    <n v="70.448458073970713"/>
  </r>
  <r>
    <x v="673"/>
    <n v="3990.56"/>
    <n v="1.4279251114533887E-2"/>
    <n v="3902.8129999999996"/>
    <n v="73.75979325486216"/>
  </r>
  <r>
    <x v="674"/>
    <n v="4019.65"/>
    <n v="7.2897037007337686E-3"/>
    <n v="3893.857"/>
    <n v="74.812889404166228"/>
  </r>
  <r>
    <x v="675"/>
    <n v="3995.32"/>
    <n v="-6.052765788066107E-3"/>
    <n v="3877.7260000000001"/>
    <n v="69.419152141177932"/>
  </r>
  <r>
    <x v="676"/>
    <n v="3895.75"/>
    <n v="-2.492165834025814E-2"/>
    <n v="3854.0830000000001"/>
    <n v="56.026096249872801"/>
  </r>
  <r>
    <x v="677"/>
    <n v="3852.36"/>
    <n v="-1.1137778348199928E-2"/>
    <n v="3839.4789999999994"/>
    <n v="30.547741471342938"/>
  </r>
  <r>
    <x v="678"/>
    <n v="3817.66"/>
    <n v="-9.007465553582809E-3"/>
    <n v="3833.8540000000003"/>
    <n v="24.184321036572538"/>
  </r>
  <r>
    <x v="679"/>
    <n v="3821.62"/>
    <n v="1.0372846193741811E-3"/>
    <n v="3831.0320000000002"/>
    <n v="23.496950355312169"/>
  </r>
  <r>
    <x v="680"/>
    <n v="3878.44"/>
    <n v="1.4868040255179784E-2"/>
    <n v="3834.5629999999996"/>
    <n v="23.87226970775933"/>
  </r>
  <r>
    <x v="681"/>
    <n v="3822.39"/>
    <n v="-1.4451686760656394E-2"/>
    <n v="3833.2109999999993"/>
    <n v="24.926577562914726"/>
  </r>
  <r>
    <x v="682"/>
    <n v="3844.82"/>
    <n v="5.8680563731069542E-3"/>
    <n v="3834.875"/>
    <n v="28.227228787112676"/>
  </r>
  <r>
    <x v="683"/>
    <n v="3829.25"/>
    <n v="-4.0496044028069354E-3"/>
    <n v="3841.8449999999998"/>
    <n v="32.557082869937901"/>
  </r>
  <r>
    <x v="684"/>
    <n v="3783.22"/>
    <n v="-1.2020630671802625E-2"/>
    <n v="3849.2880000000005"/>
    <n v="40.03540603016291"/>
  </r>
  <r>
    <x v="685"/>
    <n v="3849.28"/>
    <n v="1.7461316021801641E-2"/>
    <n v="3863.3240000000005"/>
    <n v="53.04159371662967"/>
  </r>
  <r>
    <x v="686"/>
    <n v="3839.5"/>
    <n v="-2.5407348906809064E-3"/>
    <n v="3883.3189999999995"/>
    <n v="56.641432970926914"/>
  </r>
  <r>
    <x v="687"/>
    <n v="3824.14"/>
    <n v="-4.0005209011590385E-3"/>
    <n v="3898.3"/>
    <n v="64.871015561651348"/>
  </r>
  <r>
    <x v="688"/>
    <n v="3852.97"/>
    <n v="7.5389499338413156E-3"/>
    <n v="3913.4470000000001"/>
    <n v="67.021235000557908"/>
  </r>
  <r>
    <x v="689"/>
    <n v="3808.1"/>
    <n v="-1.1645561735492332E-2"/>
    <n v="3923.9189999999994"/>
    <n v="60.069669459719904"/>
  </r>
  <r>
    <x v="690"/>
    <n v="3895.08"/>
    <n v="2.2840786744045591E-2"/>
    <n v="3928.5070000000001"/>
    <n v="56.096210754381651"/>
  </r>
  <r>
    <x v="691"/>
    <n v="3892.09"/>
    <n v="-7.6763506782910281E-4"/>
    <n v="3944.9580000000001"/>
    <n v="40.260059066027232"/>
  </r>
  <r>
    <x v="692"/>
    <n v="3919.25"/>
    <n v="6.9782558985017956E-3"/>
    <n v="3957.4309999999996"/>
    <n v="42.152073839848008"/>
  </r>
  <r>
    <x v="693"/>
    <n v="3969.61"/>
    <n v="1.2849397206098139E-2"/>
    <n v="3969.9169999999999"/>
    <n v="39.347218974153662"/>
  </r>
  <r>
    <x v="694"/>
    <n v="3983.17"/>
    <n v="3.4159527006431224E-3"/>
    <n v="3979.614"/>
    <n v="37.574647356961272"/>
  </r>
  <r>
    <x v="695"/>
    <n v="3999.09"/>
    <n v="3.9968166058692127E-3"/>
    <n v="3988.6959999999999"/>
    <n v="44.412678189904234"/>
  </r>
  <r>
    <x v="696"/>
    <n v="3990.97"/>
    <n v="-2.0304619300891818E-3"/>
    <n v="3997.4349999999999"/>
    <n v="50.628387738500969"/>
  </r>
  <r>
    <x v="697"/>
    <n v="3928.86"/>
    <n v="-1.5562632643191925E-2"/>
    <n v="3999.3029999999999"/>
    <n v="50.998250371948984"/>
  </r>
  <r>
    <x v="698"/>
    <n v="3898.85"/>
    <n v="-7.6383480195273482E-3"/>
    <n v="4007.8659999999995"/>
    <n v="55.839370555191564"/>
  </r>
  <r>
    <x v="699"/>
    <n v="3972.61"/>
    <n v="1.8918399015094251E-2"/>
    <n v="4026.9010000000003"/>
    <n v="58.062534469311622"/>
  </r>
  <r>
    <x v="700"/>
    <n v="4019.81"/>
    <n v="1.188135759613952E-2"/>
    <n v="4054.9919999999997"/>
    <n v="57.262860180050446"/>
  </r>
  <r>
    <x v="701"/>
    <n v="4016.95"/>
    <n v="-7.1147641306433074E-4"/>
    <n v="4071.3789999999995"/>
    <n v="54.734371367542032"/>
  </r>
  <r>
    <x v="702"/>
    <n v="4016.22"/>
    <n v="-1.8172991946626625E-4"/>
    <n v="4080.5059999999999"/>
    <n v="52.954981295436269"/>
  </r>
  <r>
    <x v="703"/>
    <n v="4060.43"/>
    <n v="1.1007863115068408E-2"/>
    <n v="4095.2109999999993"/>
    <n v="53.676636528381742"/>
  </r>
  <r>
    <x v="704"/>
    <n v="4070.56"/>
    <n v="2.4948096630160129E-3"/>
    <n v="4105.375"/>
    <n v="46.959709592372938"/>
  </r>
  <r>
    <x v="705"/>
    <n v="4017.77"/>
    <n v="-1.2968731575016696E-2"/>
    <n v="4107.482"/>
    <n v="45.340612435210907"/>
  </r>
  <r>
    <x v="706"/>
    <n v="4076.6"/>
    <n v="1.4642450911824203E-2"/>
    <n v="4109.4719999999998"/>
    <n v="44.096059642557648"/>
  </r>
  <r>
    <x v="707"/>
    <n v="4119.21"/>
    <n v="1.045233773242411E-2"/>
    <n v="4121.424"/>
    <n v="32.219103091178717"/>
  </r>
  <r>
    <x v="708"/>
    <n v="4179.76"/>
    <n v="1.4699420519954112E-2"/>
    <n v="4127.3769999999995"/>
    <n v="28.693900763054199"/>
  </r>
  <r>
    <x v="709"/>
    <n v="4136.4799999999996"/>
    <n v="-1.0354661511665898E-2"/>
    <n v="4130.2159999999994"/>
    <n v="29.146303436285084"/>
  </r>
  <r>
    <x v="710"/>
    <n v="4111.08"/>
    <n v="-6.1404865973000329E-3"/>
    <n v="4121.2809999999999"/>
    <n v="26.127834755295009"/>
  </r>
  <r>
    <x v="711"/>
    <n v="4164"/>
    <n v="1.2872529846171828E-2"/>
    <n v="4115.5419999999995"/>
    <n v="28.366083903140421"/>
  </r>
  <r>
    <x v="712"/>
    <n v="4117.8599999999997"/>
    <n v="-1.1080691642651375E-2"/>
    <n v="4104.1679999999997"/>
    <n v="45.502166717641032"/>
  </r>
  <r>
    <x v="713"/>
    <n v="4081.5"/>
    <n v="-8.8298290859814745E-3"/>
    <n v="4086.873000000001"/>
    <n v="51.893270478935868"/>
  </r>
  <r>
    <x v="714"/>
    <n v="4090.46"/>
    <n v="2.1952713463187644E-3"/>
    <n v="4076.3190000000004"/>
    <n v="55.148165599591778"/>
  </r>
  <r>
    <x v="715"/>
    <n v="4137.29"/>
    <n v="1.1448590134116927E-2"/>
    <n v="4065.1730000000002"/>
    <n v="63.591863952867442"/>
  </r>
  <r>
    <x v="716"/>
    <n v="4136.13"/>
    <n v="-2.8037676836766446E-4"/>
    <n v="4054.3509999999997"/>
    <n v="67.458539036952217"/>
  </r>
  <r>
    <x v="717"/>
    <n v="4147.6000000000004"/>
    <n v="2.7731236687435486E-3"/>
    <n v="4037.6370000000002"/>
    <n v="65.516332017291745"/>
  </r>
  <r>
    <x v="718"/>
    <n v="4090.41"/>
    <n v="-1.3788697077828264E-2"/>
    <n v="4019.1630000000005"/>
    <n v="61.031700623528508"/>
  </r>
  <r>
    <x v="719"/>
    <n v="4079.09"/>
    <n v="-2.7674487398573026E-3"/>
    <n v="4002.5379999999996"/>
    <n v="44.066470882066348"/>
  </r>
  <r>
    <x v="720"/>
    <n v="3997.34"/>
    <n v="-2.0041234687148357E-2"/>
    <n v="3998.0610000000001"/>
    <n v="36.543668795018426"/>
  </r>
  <r>
    <x v="721"/>
    <n v="3991.05"/>
    <n v="-1.5735464083615513E-3"/>
    <n v="3994.9939999999997"/>
    <n v="30.382005266275655"/>
  </r>
  <r>
    <x v="722"/>
    <n v="4012.32"/>
    <n v="5.3294245875145588E-3"/>
    <n v="3993.8969999999999"/>
    <n v="30.475396650412961"/>
  </r>
  <r>
    <x v="723"/>
    <n v="3970.04"/>
    <n v="-1.0537544363360898E-2"/>
    <n v="3993.9929999999999"/>
    <n v="30.467788252513532"/>
  </r>
  <r>
    <x v="724"/>
    <n v="3982.24"/>
    <n v="3.0730168965551526E-3"/>
    <n v="3984.5929999999994"/>
    <n v="37.134600051703778"/>
  </r>
  <r>
    <x v="725"/>
    <n v="3970.15"/>
    <n v="-3.0359797500903239E-3"/>
    <n v="3973.7479999999996"/>
    <n v="52.470556657996255"/>
  </r>
  <r>
    <x v="726"/>
    <n v="3951.39"/>
    <n v="-4.7252622696875978E-3"/>
    <n v="3961.0999999999995"/>
    <n v="63.072123953454998"/>
  </r>
  <r>
    <x v="727"/>
    <n v="3981.35"/>
    <n v="7.5821419804170277E-3"/>
    <n v="3956.0140000000001"/>
    <n v="64.178211131193052"/>
  </r>
  <r>
    <x v="728"/>
    <n v="4045.64"/>
    <n v="1.6147789066522655E-2"/>
    <n v="3950.0680000000002"/>
    <n v="67.022575569728701"/>
  </r>
  <r>
    <x v="729"/>
    <n v="4048.42"/>
    <n v="6.8715950999105211E-4"/>
    <n v="3947.9610000000002"/>
    <n v="66.333689246113806"/>
  </r>
  <r>
    <x v="730"/>
    <n v="3986.37"/>
    <n v="-1.532696706369403E-2"/>
    <n v="3935.0610000000001"/>
    <n v="58.118242652372068"/>
  </r>
  <r>
    <x v="731"/>
    <n v="3992.01"/>
    <n v="1.4148210025663266E-3"/>
    <n v="3925.3760000000002"/>
    <n v="45.012879534639865"/>
  </r>
  <r>
    <x v="732"/>
    <n v="3918.32"/>
    <n v="-1.8459372596762044E-2"/>
    <n v="3927.0260000000003"/>
    <n v="47.454631217616672"/>
  </r>
  <r>
    <x v="733"/>
    <n v="3861.59"/>
    <n v="-1.447814369423631E-2"/>
    <n v="3921.5219999999999"/>
    <n v="42.535212424531238"/>
  </r>
  <r>
    <x v="734"/>
    <n v="3855.76"/>
    <n v="-1.5097408062481846E-3"/>
    <n v="3924.5619999999994"/>
    <n v="43.277598547054289"/>
  </r>
  <r>
    <x v="735"/>
    <n v="3919.29"/>
    <n v="1.6476647924144588E-2"/>
    <n v="3935.5019999999995"/>
    <n v="39.651930293492605"/>
  </r>
  <r>
    <x v="736"/>
    <n v="3891.93"/>
    <n v="-6.9808562265104464E-3"/>
    <n v="3947.6790000000001"/>
    <n v="31.060471165132103"/>
  </r>
  <r>
    <x v="737"/>
    <n v="3960.28"/>
    <n v="1.7561980816715707E-2"/>
    <n v="3952.8769999999995"/>
    <n v="30.212475254437578"/>
  </r>
  <r>
    <x v="738"/>
    <n v="3916.64"/>
    <n v="-1.1019422869090146E-2"/>
    <n v="3966.4649999999992"/>
    <n v="30.301842930752596"/>
  </r>
  <r>
    <x v="739"/>
    <n v="3951.57"/>
    <n v="8.9183585930798573E-3"/>
    <n v="3975.5200000000004"/>
    <n v="39.295401257653566"/>
  </r>
  <r>
    <x v="740"/>
    <n v="4002.87"/>
    <n v="1.2982181765728488E-2"/>
    <n v="3994.7869999999994"/>
    <n v="51.148824434194097"/>
  </r>
  <r>
    <x v="741"/>
    <n v="3936.97"/>
    <n v="-1.6463187662851927E-2"/>
    <n v="4012.0809999999997"/>
    <n v="61.750745493475769"/>
  </r>
  <r>
    <x v="742"/>
    <n v="3948.72"/>
    <n v="2.9845287111662016E-3"/>
    <n v="4021.8540000000003"/>
    <n v="67.027756370029451"/>
  </r>
  <r>
    <x v="743"/>
    <n v="3970.99"/>
    <n v="5.6398022650377801E-3"/>
    <n v="4037.1949999999997"/>
    <n v="63.296332950653778"/>
  </r>
  <r>
    <x v="744"/>
    <n v="3977.53"/>
    <n v="1.6469444647305631E-3"/>
    <n v="4052.8249999999998"/>
    <n v="58.646136829291819"/>
  </r>
  <r>
    <x v="745"/>
    <n v="3971.27"/>
    <n v="-1.5738410521102841E-3"/>
    <n v="4066.6370000000002"/>
    <n v="53.811721966501004"/>
  </r>
  <r>
    <x v="746"/>
    <n v="4027.81"/>
    <n v="1.4237259113583303E-2"/>
    <n v="4079.7780000000007"/>
    <n v="45.912571001850957"/>
  </r>
  <r>
    <x v="747"/>
    <n v="4050.83"/>
    <n v="5.7152646227106004E-3"/>
    <n v="4091.846"/>
    <n v="28.279757849034056"/>
  </r>
  <r>
    <x v="748"/>
    <n v="4109.3100000000004"/>
    <n v="1.4436547571732329E-2"/>
    <n v="4103.6869999999999"/>
    <n v="23.347969526277947"/>
  </r>
  <r>
    <x v="749"/>
    <n v="4124.51"/>
    <n v="3.6989178231868164E-3"/>
    <n v="4112.3680000000004"/>
    <n v="17.483200393520715"/>
  </r>
  <r>
    <x v="750"/>
    <n v="4100.6000000000004"/>
    <n v="-5.7970522559043025E-3"/>
    <n v="4116.5690000000004"/>
    <n v="20.947663091619564"/>
  </r>
  <r>
    <x v="751"/>
    <n v="4090.38"/>
    <n v="-2.4923181973370368E-3"/>
    <n v="4119.6050000000005"/>
    <n v="23.87421213359719"/>
  </r>
  <r>
    <x v="752"/>
    <n v="4105.0200000000004"/>
    <n v="3.5791295674241336E-3"/>
    <n v="4124.9970000000003"/>
    <n v="25.033798373399179"/>
  </r>
  <r>
    <x v="753"/>
    <n v="4109.1099999999997"/>
    <n v="9.963410653295807E-4"/>
    <n v="4128.9380000000001"/>
    <n v="22.21763254714606"/>
  </r>
  <r>
    <x v="754"/>
    <n v="4108.9399999999996"/>
    <n v="-4.1371489203275837E-5"/>
    <n v="4131.7880000000005"/>
    <n v="20.745917574308599"/>
  </r>
  <r>
    <x v="755"/>
    <n v="4091.95"/>
    <n v="-4.1348863697206048E-3"/>
    <n v="4134.5810000000001"/>
    <n v="19.337048094267249"/>
  </r>
  <r>
    <x v="756"/>
    <n v="4146.22"/>
    <n v="1.3262625398648673E-2"/>
    <n v="4130.8500000000004"/>
    <n v="26.278086307796499"/>
  </r>
  <r>
    <x v="757"/>
    <n v="4137.6400000000003"/>
    <n v="-2.0693547375681769E-3"/>
    <n v="4127.253999999999"/>
    <n v="32.964944471362365"/>
  </r>
  <r>
    <x v="758"/>
    <n v="4151.32"/>
    <n v="3.3062325383550477E-3"/>
    <n v="4126.1669999999995"/>
    <n v="32.497532229386344"/>
  </r>
  <r>
    <x v="759"/>
    <n v="4154.87"/>
    <n v="8.5514968732841167E-4"/>
    <n v="4129.3509999999997"/>
    <n v="34.934086062182871"/>
  </r>
  <r>
    <x v="760"/>
    <n v="4154.5200000000004"/>
    <n v="-8.4238496029828691E-5"/>
    <n v="4131.0060000000003"/>
    <n v="36.300950180401614"/>
  </r>
  <r>
    <x v="761"/>
    <n v="4129.79"/>
    <n v="-5.9525528821621921E-3"/>
    <n v="4127.4770000000008"/>
    <n v="35.516354556739081"/>
  </r>
  <r>
    <x v="762"/>
    <n v="4133.5200000000004"/>
    <n v="9.031936248575528E-4"/>
    <n v="4121.1000000000004"/>
    <n v="35.812011672063306"/>
  </r>
  <r>
    <x v="763"/>
    <n v="4137.04"/>
    <n v="8.5157444502494887E-4"/>
    <n v="4114.2430000000004"/>
    <n v="39.830786597806487"/>
  </r>
  <r>
    <x v="764"/>
    <n v="4071.63"/>
    <n v="-1.5810821263512041E-2"/>
    <n v="4114.5160000000005"/>
    <n v="39.97108409838291"/>
  </r>
  <r>
    <x v="765"/>
    <n v="4055.99"/>
    <n v="-3.8412134697898203E-3"/>
    <n v="4114.6240000000007"/>
    <n v="40.033207765553826"/>
  </r>
  <r>
    <x v="766"/>
    <n v="4135.3500000000004"/>
    <n v="1.9566123190639176E-2"/>
    <n v="4119.3779999999997"/>
    <n v="37.380147351234463"/>
  </r>
  <r>
    <x v="767"/>
    <n v="4169.4799999999996"/>
    <n v="8.2532312863479989E-3"/>
    <n v="4127.5429999999997"/>
    <n v="31.018613782695041"/>
  </r>
  <r>
    <x v="768"/>
    <n v="4167.87"/>
    <n v="-3.8613927875890346E-4"/>
    <n v="4127.0700000000006"/>
    <n v="30.931901655087401"/>
  </r>
  <r>
    <x v="769"/>
    <n v="4119.58"/>
    <n v="-1.1586253889876596E-2"/>
    <n v="4122.5300000000007"/>
    <n v="27.517342531574553"/>
  </r>
  <r>
    <x v="770"/>
    <n v="4090.75"/>
    <n v="-6.9982862330625764E-3"/>
    <n v="4119.3710000000001"/>
    <n v="23.67613881104776"/>
  </r>
  <r>
    <x v="771"/>
    <n v="4061.22"/>
    <n v="-7.2187251726456517E-3"/>
    <n v="4118.4030000000002"/>
    <n v="23.845086307245829"/>
  </r>
  <r>
    <x v="772"/>
    <n v="4136.25"/>
    <n v="1.8474744042430651E-2"/>
    <n v="4125.2049999999999"/>
    <n v="24.67390453495365"/>
  </r>
  <r>
    <x v="773"/>
    <n v="4138.12"/>
    <n v="4.5210033242668865E-4"/>
    <n v="4138.8880000000008"/>
    <n v="23.298250063041348"/>
  </r>
  <r>
    <x v="774"/>
    <n v="4119.17"/>
    <n v="-4.5793742085777642E-3"/>
    <n v="4144.4610000000002"/>
    <n v="28.15901754323119"/>
  </r>
  <r>
    <x v="775"/>
    <n v="4137.6400000000003"/>
    <n v="4.4839130213126079E-3"/>
    <n v="4149.9120000000003"/>
    <n v="31.483667130752146"/>
  </r>
  <r>
    <x v="776"/>
    <n v="4130.62"/>
    <n v="-1.6966193288929041E-3"/>
    <n v="4152.552999999999"/>
    <n v="29.859939400474403"/>
  </r>
  <r>
    <x v="777"/>
    <n v="4124.08"/>
    <n v="-1.5832974226629329E-3"/>
    <n v="4150.3130000000001"/>
    <n v="31.679403734919092"/>
  </r>
  <r>
    <x v="778"/>
    <n v="4136.28"/>
    <n v="2.9582355337432393E-3"/>
    <n v="4152.378999999999"/>
    <n v="30.994005049364073"/>
  </r>
  <r>
    <x v="779"/>
    <n v="4109.8999999999996"/>
    <n v="-6.3777113735047214E-3"/>
    <n v="4160.5159999999996"/>
    <n v="33.105699569711632"/>
  </r>
  <r>
    <x v="780"/>
    <n v="4158.7700000000004"/>
    <n v="1.1890800262780311E-2"/>
    <n v="4167.4399999999996"/>
    <n v="34.52308213355245"/>
  </r>
  <r>
    <x v="781"/>
    <n v="4198.05"/>
    <n v="9.4451003541912004E-3"/>
    <n v="4174.433"/>
    <n v="28.761210005839533"/>
  </r>
  <r>
    <x v="782"/>
    <n v="4191.9799999999996"/>
    <n v="-1.4459094103216061E-3"/>
    <n v="4180.6580000000004"/>
    <n v="31.320256640072564"/>
  </r>
  <r>
    <x v="783"/>
    <n v="4192.63"/>
    <n v="1.5505799168902184E-4"/>
    <n v="4189.09"/>
    <n v="43.750940332751789"/>
  </r>
  <r>
    <x v="784"/>
    <n v="4145.58"/>
    <n v="-1.1222073018606503E-2"/>
    <n v="4197.2710000000006"/>
    <n v="50.633880050811896"/>
  </r>
  <r>
    <x v="785"/>
    <n v="4115.24"/>
    <n v="-7.3186381640205104E-3"/>
    <n v="4206.393"/>
    <n v="56.815643629197872"/>
  </r>
  <r>
    <x v="786"/>
    <n v="4151.28"/>
    <n v="8.757690924466122E-3"/>
    <n v="4218.5869999999995"/>
    <n v="55.526143761295138"/>
  </r>
  <r>
    <x v="787"/>
    <n v="4205.45"/>
    <n v="1.3048987300302576E-2"/>
    <n v="4236.4560000000001"/>
    <n v="47.57570812925448"/>
  </r>
  <r>
    <x v="788"/>
    <n v="4205.5200000000004"/>
    <n v="1.6645067709904639E-5"/>
    <n v="4251.2140000000009"/>
    <n v="41.347070803141527"/>
  </r>
  <r>
    <x v="789"/>
    <n v="4179.83"/>
    <n v="-6.1086381707851842E-3"/>
    <n v="4264.5619999999999"/>
    <n v="45.7316789107944"/>
  </r>
  <r>
    <x v="790"/>
    <n v="4221.0200000000004"/>
    <n v="9.8544677654355591E-3"/>
    <n v="4280.9110000000001"/>
    <n v="50.660037001565662"/>
  </r>
  <r>
    <x v="791"/>
    <n v="4282.37"/>
    <n v="1.4534401637518762E-2"/>
    <n v="4300.1870000000008"/>
    <n v="44.873625004004268"/>
  </r>
  <r>
    <x v="792"/>
    <n v="4273.79"/>
    <n v="-2.0035634473433935E-3"/>
    <n v="4320.6689999999999"/>
    <n v="50.460441426923744"/>
  </r>
  <r>
    <x v="793"/>
    <n v="4283.8500000000004"/>
    <n v="2.35388261940816E-3"/>
    <n v="4333.3909999999987"/>
    <n v="55.031081663002034"/>
  </r>
  <r>
    <x v="794"/>
    <n v="4267.5200000000004"/>
    <n v="-3.8119915496574171E-3"/>
    <n v="4344.8829999999998"/>
    <n v="53.358646356518399"/>
  </r>
  <r>
    <x v="795"/>
    <n v="4293.93"/>
    <n v="6.1886060287942067E-3"/>
    <n v="4353.0670000000009"/>
    <n v="49.507147978852466"/>
  </r>
  <r>
    <x v="796"/>
    <n v="4298.8599999999997"/>
    <n v="1.1481323635921827E-3"/>
    <n v="4364.5040000000008"/>
    <n v="40.882763409534874"/>
  </r>
  <r>
    <x v="797"/>
    <n v="4338.93"/>
    <n v="9.3210758201012871E-3"/>
    <n v="4369.9440000000004"/>
    <n v="34.203766225373592"/>
  </r>
  <r>
    <x v="798"/>
    <n v="4369.01"/>
    <n v="6.9325847616808576E-3"/>
    <n v="4372.9400000000005"/>
    <n v="28.718398980444658"/>
  </r>
  <r>
    <x v="799"/>
    <n v="4372.59"/>
    <n v="8.1940760034880373E-4"/>
    <n v="4376.887999999999"/>
    <n v="26.390979822659226"/>
  </r>
  <r>
    <x v="800"/>
    <n v="4425.84"/>
    <n v="1.2178136985173546E-2"/>
    <n v="4377.6729999999998"/>
    <n v="26.261404779638251"/>
  </r>
  <r>
    <x v="801"/>
    <n v="4409.59"/>
    <n v="-3.671619398803391E-3"/>
    <n v="4380.058"/>
    <n v="26.769562865314139"/>
  </r>
  <r>
    <x v="802"/>
    <n v="4388.71"/>
    <n v="-4.7351341054383987E-3"/>
    <n v="4382.5119999999997"/>
    <n v="31.551649655762954"/>
  </r>
  <r>
    <x v="803"/>
    <n v="4365.6899999999996"/>
    <n v="-5.2452770859775276E-3"/>
    <n v="4387.1119999999992"/>
    <n v="37.882241169181228"/>
  </r>
  <r>
    <x v="804"/>
    <n v="4381.8900000000003"/>
    <n v="3.7107536265746604E-3"/>
    <n v="4392.9230000000007"/>
    <n v="41.923091978049598"/>
  </r>
  <r>
    <x v="805"/>
    <n v="4348.33"/>
    <n v="-7.6587956338475859E-3"/>
    <n v="4397.5130000000008"/>
    <n v="41.1965969589723"/>
  </r>
  <r>
    <x v="806"/>
    <n v="4328.82"/>
    <n v="-4.4867799822001135E-3"/>
    <n v="4399.2189999999991"/>
    <n v="40.866218922234623"/>
  </r>
  <r>
    <x v="807"/>
    <n v="4378.41"/>
    <n v="1.1455777787018206E-2"/>
    <n v="4405.3389999999999"/>
    <n v="37.205592173758077"/>
  </r>
  <r>
    <x v="808"/>
    <n v="4376.8599999999997"/>
    <n v="-3.5400978894168934E-4"/>
    <n v="4416.3829999999998"/>
    <n v="28.139542302603417"/>
  </r>
  <r>
    <x v="809"/>
    <n v="4396.4399999999996"/>
    <n v="4.4735266835128221E-3"/>
    <n v="4425.7579999999998"/>
    <n v="29.510264587089118"/>
  </r>
  <r>
    <x v="810"/>
    <n v="4450.38"/>
    <n v="1.2269017659743E-2"/>
    <n v="4439.076"/>
    <n v="34.128151195164449"/>
  </r>
  <r>
    <x v="811"/>
    <n v="4455.59"/>
    <n v="1.1706865481150006E-3"/>
    <n v="4449.9740000000002"/>
    <n v="36.115565674650625"/>
  </r>
  <r>
    <x v="812"/>
    <n v="4446.82"/>
    <n v="-1.9683139606652398E-3"/>
    <n v="4457.2149999999992"/>
    <n v="42.214955939808853"/>
  </r>
  <r>
    <x v="813"/>
    <n v="4411.59"/>
    <n v="-7.9225154155103117E-3"/>
    <n v="4467.1540000000005"/>
    <n v="51.369779481714687"/>
  </r>
  <r>
    <x v="814"/>
    <n v="4398.95"/>
    <n v="-2.8651801277998017E-3"/>
    <n v="4479.0439999999999"/>
    <n v="58.546226385651877"/>
  </r>
  <r>
    <x v="815"/>
    <n v="4409.53"/>
    <n v="2.4051194034939993E-3"/>
    <n v="4491.3720000000012"/>
    <n v="55.967231984438925"/>
  </r>
  <r>
    <x v="816"/>
    <n v="4439.26"/>
    <n v="6.7422151567174899E-3"/>
    <n v="4505.1109999999999"/>
    <n v="47.870663552952784"/>
  </r>
  <r>
    <x v="817"/>
    <n v="4472.16"/>
    <n v="7.4111451007599543E-3"/>
    <n v="4519.6220000000003"/>
    <n v="37.586842591523961"/>
  </r>
  <r>
    <x v="818"/>
    <n v="4510.04"/>
    <n v="8.470179957783288E-3"/>
    <n v="4532.442"/>
    <n v="28.835059493609567"/>
  </r>
  <r>
    <x v="819"/>
    <n v="4505.42"/>
    <n v="-1.0243811584819405E-3"/>
    <n v="4541.9009999999998"/>
    <n v="22.277789589633912"/>
  </r>
  <r>
    <x v="820"/>
    <n v="4522.79"/>
    <n v="3.8553564373576469E-3"/>
    <n v="4544.6380000000008"/>
    <n v="19.731024200481858"/>
  </r>
  <r>
    <x v="821"/>
    <n v="4554.9799999999996"/>
    <n v="7.1172882225351165E-3"/>
    <n v="4552.3190000000004"/>
    <n v="17.827682098354757"/>
  </r>
  <r>
    <x v="822"/>
    <n v="4565.72"/>
    <n v="2.3578588709501891E-3"/>
    <n v="4558.9359999999997"/>
    <n v="17.919309808137118"/>
  </r>
  <r>
    <x v="823"/>
    <n v="4534.87"/>
    <n v="-6.7568751478409459E-3"/>
    <n v="4561.1109999999999"/>
    <n v="18.613669412558004"/>
  </r>
  <r>
    <x v="824"/>
    <n v="4536.34"/>
    <n v="3.2415482693004533E-4"/>
    <n v="4555.8779999999997"/>
    <n v="23.338583847354446"/>
  </r>
  <r>
    <x v="825"/>
    <n v="4554.6400000000003"/>
    <n v="4.0340891555747981E-3"/>
    <n v="4552.58"/>
    <n v="27.949051862272356"/>
  </r>
  <r>
    <x v="826"/>
    <n v="4567.46"/>
    <n v="2.8147120299298533E-3"/>
    <n v="4546.7489999999998"/>
    <n v="35.728775923616439"/>
  </r>
  <r>
    <x v="827"/>
    <n v="4566.75"/>
    <n v="-1.554474478156429E-4"/>
    <n v="4543.1289999999999"/>
    <n v="36.569853554533069"/>
  </r>
  <r>
    <x v="828"/>
    <n v="4537.41"/>
    <n v="-6.4247002791920178E-3"/>
    <n v="4536.3209999999999"/>
    <n v="37.72536373582092"/>
  </r>
  <r>
    <x v="829"/>
    <n v="4582.2299999999996"/>
    <n v="9.8778818753429178E-3"/>
    <n v="4526.4169999999995"/>
    <n v="41.270672165594668"/>
  </r>
  <r>
    <x v="830"/>
    <n v="4588.96"/>
    <n v="1.4687171966488966E-3"/>
    <n v="4519.5589999999993"/>
    <n v="44.449722935019416"/>
  </r>
  <r>
    <x v="831"/>
    <n v="4576.7299999999996"/>
    <n v="-2.6650918726684202E-3"/>
    <n v="4507.741"/>
    <n v="41.85059412959383"/>
  </r>
  <r>
    <x v="832"/>
    <n v="4513.3900000000003"/>
    <n v="-1.3839575417382987E-2"/>
    <n v="4497.817"/>
    <n v="32.028260973708711"/>
  </r>
  <r>
    <x v="833"/>
    <n v="4501.8900000000003"/>
    <n v="-2.5479739176096014E-3"/>
    <n v="4483.93"/>
    <n v="23.868782122261784"/>
  </r>
  <r>
    <x v="834"/>
    <n v="4478.03"/>
    <n v="-5.2999962238083516E-3"/>
    <n v="4473.0239999999994"/>
    <n v="31.584881889916932"/>
  </r>
  <r>
    <x v="835"/>
    <n v="4518.4399999999996"/>
    <n v="9.024057453835695E-3"/>
    <n v="4459.8710000000001"/>
    <n v="42.370608315198936"/>
  </r>
  <r>
    <x v="836"/>
    <n v="4499.38"/>
    <n v="-4.218270022396998E-3"/>
    <n v="4449.0389999999998"/>
    <n v="49.576828145818325"/>
  </r>
  <r>
    <x v="837"/>
    <n v="4467.71"/>
    <n v="-7.0387475607750563E-3"/>
    <n v="4437.1720000000005"/>
    <n v="45.586508486612637"/>
  </r>
  <r>
    <x v="838"/>
    <n v="4468.83"/>
    <n v="2.5068771249698186E-4"/>
    <n v="4425.9889999999996"/>
    <n v="42.571363955128376"/>
  </r>
  <r>
    <x v="839"/>
    <n v="4464.05"/>
    <n v="-1.0696312010078132E-3"/>
    <n v="4422.8190000000013"/>
    <n v="40.47530097479207"/>
  </r>
  <r>
    <x v="840"/>
    <n v="4489.72"/>
    <n v="5.7503836202551653E-3"/>
    <n v="4413.567"/>
    <n v="39.462108167202658"/>
  </r>
  <r>
    <x v="841"/>
    <n v="4437.8599999999997"/>
    <n v="-1.1550831677699406E-2"/>
    <n v="4407.7329999999993"/>
    <n v="35.700733059700639"/>
  </r>
  <r>
    <x v="842"/>
    <n v="4404.33"/>
    <n v="-7.5554433893813113E-3"/>
    <n v="4402.0919999999987"/>
    <n v="25.218107304078167"/>
  </r>
  <r>
    <x v="843"/>
    <n v="4370.3599999999997"/>
    <n v="-7.7128643857295558E-3"/>
    <n v="4408.0689999999995"/>
    <n v="37.216184234819174"/>
  </r>
  <r>
    <x v="844"/>
    <n v="4369.71"/>
    <n v="-1.4872916647590501E-4"/>
    <n v="4419.1230000000005"/>
    <n v="49.011231376083565"/>
  </r>
  <r>
    <x v="845"/>
    <n v="4399.7700000000004"/>
    <n v="6.8791750482298363E-3"/>
    <n v="4432.8530000000001"/>
    <n v="52.53270334753379"/>
  </r>
  <r>
    <x v="846"/>
    <n v="4387.55"/>
    <n v="-2.777417910481742E-3"/>
    <n v="4447.4590000000007"/>
    <n v="53.246302491346661"/>
  </r>
  <r>
    <x v="847"/>
    <n v="4436.01"/>
    <n v="1.1044888377340438E-2"/>
    <n v="4457.1650000000009"/>
    <n v="52.509882736490567"/>
  </r>
  <r>
    <x v="848"/>
    <n v="4376.3100000000004"/>
    <n v="-1.3458039995401232E-2"/>
    <n v="4464.9580000000005"/>
    <n v="47.104628604840848"/>
  </r>
  <r>
    <x v="849"/>
    <n v="4405.71"/>
    <n v="6.7179884423177591E-3"/>
    <n v="4466.4710000000005"/>
    <n v="46.388057827419232"/>
  </r>
  <r>
    <x v="850"/>
    <n v="4433.3100000000004"/>
    <n v="6.2645975336552712E-3"/>
    <n v="4474.588999999999"/>
    <n v="35.79267004569509"/>
  </r>
  <r>
    <x v="851"/>
    <n v="4497.63"/>
    <n v="1.4508347036412907E-2"/>
    <n v="4482.7640000000001"/>
    <n v="27.50307626430175"/>
  </r>
  <r>
    <x v="852"/>
    <n v="4514.87"/>
    <n v="3.8331298928546325E-3"/>
    <n v="4485.6230000000005"/>
    <n v="23.392438115767323"/>
  </r>
  <r>
    <x v="853"/>
    <n v="4507.66"/>
    <n v="-1.5969452055098012E-3"/>
    <n v="4482.6040000000003"/>
    <n v="23.59527800217672"/>
  </r>
  <r>
    <x v="854"/>
    <n v="4515.7700000000004"/>
    <n v="1.7991596526802337E-3"/>
    <n v="4481.6269999999995"/>
    <n v="22.411607282834645"/>
  </r>
  <r>
    <x v="855"/>
    <n v="4496.83"/>
    <n v="-4.1941905810084458E-3"/>
    <n v="4475.893"/>
    <n v="22.352684424918824"/>
  </r>
  <r>
    <x v="856"/>
    <n v="4465.4799999999996"/>
    <n v="-6.9715777558858943E-3"/>
    <n v="4469.6689999999999"/>
    <n v="18.758922916841591"/>
  </r>
  <r>
    <x v="857"/>
    <n v="4451.1400000000003"/>
    <n v="-3.2113009127796425E-3"/>
    <n v="4464.3809999999994"/>
    <n v="17.785076581224061"/>
  </r>
  <r>
    <x v="858"/>
    <n v="4457.49"/>
    <n v="1.4266008258557255E-3"/>
    <n v="4458.052999999999"/>
    <n v="25.744752106011923"/>
  </r>
  <r>
    <x v="859"/>
    <n v="4487.46"/>
    <n v="6.723514803174041E-3"/>
    <n v="4445.9389999999994"/>
    <n v="46.379105090546993"/>
  </r>
  <r>
    <x v="860"/>
    <n v="4461.8999999999996"/>
    <n v="-5.6958724980279265E-3"/>
    <n v="4432.1959999999999"/>
    <n v="59.442081423853168"/>
  </r>
  <r>
    <x v="861"/>
    <n v="4467.4399999999996"/>
    <n v="1.2416235236110097E-3"/>
    <n v="4417.1940000000004"/>
    <n v="62.456064749550087"/>
  </r>
  <r>
    <x v="862"/>
    <n v="4505.1000000000004"/>
    <n v="8.429883781315645E-3"/>
    <n v="4398.357"/>
    <n v="73.552697442038109"/>
  </r>
  <r>
    <x v="863"/>
    <n v="4450.32"/>
    <n v="-1.2159552507158698E-2"/>
    <n v="4379.0640000000003"/>
    <n v="78.066262264822157"/>
  </r>
  <r>
    <x v="864"/>
    <n v="4453.53"/>
    <n v="7.2129644609826636E-4"/>
    <n v="4358.5239999999994"/>
    <n v="68.657168773551874"/>
  </r>
  <r>
    <x v="865"/>
    <n v="4443.95"/>
    <n v="-2.151102608492573E-3"/>
    <n v="4342.2970000000005"/>
    <n v="64.066365598494727"/>
  </r>
  <r>
    <x v="866"/>
    <n v="4402.2"/>
    <n v="-9.3947951709627692E-3"/>
    <n v="4325.7829999999994"/>
    <n v="53.713177535870933"/>
  </r>
  <r>
    <x v="867"/>
    <n v="4330"/>
    <n v="-1.6400890463858939E-2"/>
    <n v="4304.3329999999996"/>
    <n v="44.234190859560165"/>
  </r>
  <r>
    <x v="868"/>
    <n v="4320.0600000000004"/>
    <n v="-2.2956120092377827E-3"/>
    <n v="4290.4879999999994"/>
    <n v="31.175032253391503"/>
  </r>
  <r>
    <x v="869"/>
    <n v="4337.4399999999996"/>
    <n v="4.0230922718664085E-3"/>
    <n v="4283.3069999999998"/>
    <n v="29.470530042739348"/>
  </r>
  <r>
    <x v="870"/>
    <n v="4273.53"/>
    <n v="-1.4734497768268809E-2"/>
    <n v="4282.1509999999998"/>
    <n v="28.205783609040179"/>
  </r>
  <r>
    <x v="871"/>
    <n v="4274.51"/>
    <n v="2.2931861950202127E-4"/>
    <n v="4281.973"/>
    <n v="27.859800806897422"/>
  </r>
  <r>
    <x v="872"/>
    <n v="4299.7"/>
    <n v="5.8930731241708641E-3"/>
    <n v="4290.4439999999995"/>
    <n v="35.762379171414182"/>
  </r>
  <r>
    <x v="873"/>
    <n v="4288.05"/>
    <n v="-2.7094913598622317E-3"/>
    <n v="4300.6880000000001"/>
    <n v="43.553964182379524"/>
  </r>
  <r>
    <x v="874"/>
    <n v="4288.3900000000003"/>
    <n v="7.9290120217848556E-5"/>
    <n v="4305.6789999999992"/>
    <n v="45.948626845641385"/>
  </r>
  <r>
    <x v="875"/>
    <n v="4229.45"/>
    <n v="-1.3744085775780773E-2"/>
    <n v="4309.652"/>
    <n v="45.9701950833363"/>
  </r>
  <r>
    <x v="876"/>
    <n v="4263.75"/>
    <n v="8.1098015108347857E-3"/>
    <n v="4318.1759999999995"/>
    <n v="49.037857253350722"/>
  </r>
  <r>
    <x v="877"/>
    <n v="4258.1899999999996"/>
    <n v="-1.3040164174729757E-3"/>
    <n v="4332.5509999999995"/>
    <n v="41.395707132503503"/>
  </r>
  <r>
    <x v="878"/>
    <n v="4308.5"/>
    <n v="1.1814879091820798E-2"/>
    <n v="4337.6359999999995"/>
    <n v="35.307413159278632"/>
  </r>
  <r>
    <x v="879"/>
    <n v="4335.66"/>
    <n v="6.3038180341185692E-3"/>
    <n v="4339.6170000000002"/>
    <n v="31.099318658131331"/>
  </r>
  <r>
    <x v="880"/>
    <n v="4358.24"/>
    <n v="5.2079729499084175E-3"/>
    <n v="4331.183"/>
    <n v="46.176188463319463"/>
  </r>
  <r>
    <x v="881"/>
    <n v="4376.95"/>
    <n v="4.2930173648078208E-3"/>
    <n v="4319.3209999999999"/>
    <n v="57.379364139035175"/>
  </r>
  <r>
    <x v="882"/>
    <n v="4349.6099999999997"/>
    <n v="-6.246358765807274E-3"/>
    <n v="4308.2650000000012"/>
    <n v="59.430049007215139"/>
  </r>
  <r>
    <x v="883"/>
    <n v="4327.78"/>
    <n v="-5.0188407696322036E-3"/>
    <n v="4289.2470000000003"/>
    <n v="64.611043800576269"/>
  </r>
  <r>
    <x v="884"/>
    <n v="4373.63"/>
    <n v="1.0594346293018676E-2"/>
    <n v="4268.009"/>
    <n v="75.299946806090134"/>
  </r>
  <r>
    <x v="885"/>
    <n v="4373.2"/>
    <n v="-9.8316501395932218E-5"/>
    <n v="4246.9679999999998"/>
    <n v="84.494448906422321"/>
  </r>
  <r>
    <x v="886"/>
    <n v="4314.6000000000004"/>
    <n v="-1.3399798774352753E-2"/>
    <n v="4226.2870000000003"/>
    <n v="75.826460427742589"/>
  </r>
  <r>
    <x v="887"/>
    <n v="4278"/>
    <n v="-8.4828257544153247E-3"/>
    <n v="4208.3469999999998"/>
    <n v="58.094802357870343"/>
  </r>
  <r>
    <x v="888"/>
    <n v="4224.16"/>
    <n v="-1.2585320243104289E-2"/>
    <n v="4200.6730000000007"/>
    <n v="47.689071085522386"/>
  </r>
  <r>
    <x v="889"/>
    <n v="4217.04"/>
    <n v="-1.6855422143100382E-3"/>
    <n v="4204.6509999999998"/>
    <n v="55.062523271277733"/>
  </r>
  <r>
    <x v="890"/>
    <n v="4247.68"/>
    <n v="7.2657598694819891E-3"/>
    <n v="4218.0690000000004"/>
    <n v="71.943099106168674"/>
  </r>
  <r>
    <x v="891"/>
    <n v="4186.7700000000004"/>
    <n v="-1.4339592436341685E-2"/>
    <n v="4232.9629999999988"/>
    <n v="84.508217239508724"/>
  </r>
  <r>
    <x v="892"/>
    <n v="4137.2299999999996"/>
    <n v="-1.1832510503323772E-2"/>
    <n v="4246.0329999999994"/>
    <n v="95.203809067704867"/>
  </r>
  <r>
    <x v="893"/>
    <n v="4117.37"/>
    <n v="-4.800313253070212E-3"/>
    <n v="4265.6339999999991"/>
    <n v="100.98678103593562"/>
  </r>
  <r>
    <x v="894"/>
    <n v="4166.82"/>
    <n v="1.2010093822027125E-2"/>
    <n v="4286.6459999999988"/>
    <n v="93.67933360138727"/>
  </r>
  <r>
    <x v="895"/>
    <n v="4193.8"/>
    <n v="6.4749617214087665E-3"/>
    <n v="4316.4329999999991"/>
    <n v="81.711427848251446"/>
  </r>
  <r>
    <x v="896"/>
    <n v="4237.8599999999997"/>
    <n v="1.0505985025513732E-2"/>
    <n v="4340.9059999999999"/>
    <n v="68.877783820329171"/>
  </r>
  <r>
    <x v="897"/>
    <n v="4317.78"/>
    <n v="1.8858574846738703E-2"/>
    <n v="4371.0959999999995"/>
    <n v="63.755891680691008"/>
  </r>
  <r>
    <x v="898"/>
    <n v="4358.34"/>
    <n v="9.3937162152773878E-3"/>
    <n v="4397.598"/>
    <n v="57.653940160235372"/>
  </r>
  <r>
    <x v="899"/>
    <n v="4365.9799999999996"/>
    <n v="1.7529609897344901E-3"/>
    <n v="4416.6439999999993"/>
    <n v="59.567613717522661"/>
  </r>
  <r>
    <x v="900"/>
    <n v="4378.38"/>
    <n v="2.8401412741241479E-3"/>
    <n v="4432.2119999999995"/>
    <n v="62.563654592742616"/>
  </r>
  <r>
    <x v="901"/>
    <n v="4382.78"/>
    <n v="1.0049378994056331E-3"/>
    <n v="4450.3519999999999"/>
    <n v="66.879371378624654"/>
  </r>
  <r>
    <x v="902"/>
    <n v="4347.3500000000004"/>
    <n v="-8.0839102122395798E-3"/>
    <n v="4466.3330000000005"/>
    <n v="66.865630192199603"/>
  </r>
  <r>
    <x v="903"/>
    <n v="4415.24"/>
    <n v="1.5616409996894525E-2"/>
    <n v="4483.7170000000006"/>
    <n v="65.466578503844147"/>
  </r>
  <r>
    <x v="904"/>
    <n v="4411.55"/>
    <n v="-8.3574165843750285E-4"/>
    <n v="4504.9160000000002"/>
    <n v="50.485277497504164"/>
  </r>
  <r>
    <x v="905"/>
    <n v="4495.7"/>
    <n v="1.9074928313177825E-2"/>
    <n v="4518.4349999999995"/>
    <n v="42.059170284255465"/>
  </r>
  <r>
    <x v="906"/>
    <n v="4502.88"/>
    <n v="1.5970816558045001E-3"/>
    <n v="4532.7689999999993"/>
    <n v="23.536495682237891"/>
  </r>
  <r>
    <x v="907"/>
    <n v="4508.24"/>
    <n v="1.1903492875669954E-3"/>
    <n v="4538.2569999999996"/>
    <n v="20.448975059889932"/>
  </r>
  <r>
    <x v="908"/>
    <n v="4514.0200000000004"/>
    <n v="1.2820967827801215E-3"/>
    <n v="4544.7490000000007"/>
    <n v="18.388588553774358"/>
  </r>
  <r>
    <x v="909"/>
    <n v="4547.38"/>
    <n v="7.390308416887756E-3"/>
    <n v="4553.3879999999999"/>
    <n v="19.468656245360108"/>
  </r>
  <r>
    <x v="910"/>
    <n v="4538.1899999999996"/>
    <n v="-2.0209439281521466E-3"/>
    <n v="4558.9639999999999"/>
    <n v="14.826416424746789"/>
  </r>
  <r>
    <x v="911"/>
    <n v="4556.62"/>
    <n v="4.0610904347328546E-3"/>
    <n v="4560.9440000000004"/>
    <n v="14.464908710392953"/>
  </r>
  <r>
    <x v="912"/>
    <n v="4559.34"/>
    <n v="5.969336920788336E-4"/>
    <n v="4562.0589999999993"/>
    <n v="13.026173229310269"/>
  </r>
  <r>
    <x v="913"/>
    <n v="4550.43"/>
    <n v="-1.9542302175314529E-3"/>
    <n v="4564.9560000000001"/>
    <n v="14.618519213654963"/>
  </r>
  <r>
    <x v="914"/>
    <n v="4554.8900000000003"/>
    <n v="9.8012715281853269E-4"/>
    <n v="4569.4590000000007"/>
    <n v="18.590763539994736"/>
  </r>
  <r>
    <x v="915"/>
    <n v="4550.58"/>
    <n v="-9.4623580371872864E-4"/>
    <n v="4576.6600000000008"/>
    <n v="23.200224998908826"/>
  </r>
  <r>
    <x v="916"/>
    <n v="4567.8"/>
    <n v="3.7841330116161575E-3"/>
    <n v="4585.5410000000002"/>
    <n v="29.349976984658664"/>
  </r>
  <r>
    <x v="917"/>
    <n v="4594.63"/>
    <n v="5.873724769035406E-3"/>
    <n v="4601.192"/>
    <n v="44.403334739634097"/>
  </r>
  <r>
    <x v="918"/>
    <n v="4569.78"/>
    <n v="-5.4084877345945952E-3"/>
    <n v="4616.3670000000002"/>
    <n v="55.052107688988627"/>
  </r>
  <r>
    <x v="919"/>
    <n v="4567.18"/>
    <n v="-5.68955179461474E-4"/>
    <n v="4628.8230000000003"/>
    <n v="62.334499604953869"/>
  </r>
  <r>
    <x v="920"/>
    <n v="4549.34"/>
    <n v="-3.9061302598102426E-3"/>
    <n v="4645.9009999999998"/>
    <n v="67.036108844413093"/>
  </r>
  <r>
    <x v="921"/>
    <n v="4585.59"/>
    <n v="7.9681887922204101E-3"/>
    <n v="4666.0199999999995"/>
    <n v="70.49277792795516"/>
  </r>
  <r>
    <x v="922"/>
    <n v="4604.37"/>
    <n v="4.0954381006587468E-3"/>
    <n v="4680.9210000000003"/>
    <n v="59.078698267649813"/>
  </r>
  <r>
    <x v="923"/>
    <n v="4622.4399999999996"/>
    <n v="3.9245325636297059E-3"/>
    <n v="4697.0369999999994"/>
    <n v="52.489169368546989"/>
  </r>
  <r>
    <x v="924"/>
    <n v="4643.7"/>
    <n v="4.5993025328614802E-3"/>
    <n v="4712.0630000000001"/>
    <n v="44.74718204535354"/>
  </r>
  <r>
    <x v="925"/>
    <n v="4707.09"/>
    <n v="1.3650752632599076E-2"/>
    <n v="4727.2939999999999"/>
    <n v="36.879055356665539"/>
  </r>
  <r>
    <x v="926"/>
    <n v="4719.55"/>
    <n v="2.6470706954827795E-3"/>
    <n v="4741.0820000000003"/>
    <n v="27.674122858728438"/>
  </r>
  <r>
    <x v="927"/>
    <n v="4719.1899999999996"/>
    <n v="-7.6278458751487336E-5"/>
    <n v="4748.7079999999996"/>
    <n v="27.763536806394075"/>
  </r>
  <r>
    <x v="928"/>
    <n v="4740.5600000000004"/>
    <n v="4.5283194785547525E-3"/>
    <n v="4753.7360000000008"/>
    <n v="26.554249829358746"/>
  </r>
  <r>
    <x v="929"/>
    <n v="4768.37"/>
    <n v="5.8663955313295237E-3"/>
    <n v="4756.1000000000004"/>
    <n v="24.332923375541949"/>
  </r>
  <r>
    <x v="930"/>
    <n v="4698.3500000000004"/>
    <n v="-1.4684263175886001E-2"/>
    <n v="4752.5249999999996"/>
    <n v="28.604681172842909"/>
  </r>
  <r>
    <x v="931"/>
    <n v="4746.75"/>
    <n v="1.0301488820543304E-2"/>
    <n v="4744.5559999999996"/>
    <n v="33.722912448363537"/>
  </r>
  <r>
    <x v="932"/>
    <n v="4754.63"/>
    <n v="1.6600832148312233E-3"/>
    <n v="4744.4449999999997"/>
    <n v="33.876296211362863"/>
  </r>
  <r>
    <x v="933"/>
    <n v="4774.75"/>
    <n v="4.2316647141838358E-3"/>
    <n v="4746.1239999999998"/>
    <n v="34.361533784160414"/>
  </r>
  <r>
    <x v="934"/>
    <n v="4781.58"/>
    <n v="1.4304413843656584E-3"/>
    <n v="4746.3109999999997"/>
    <n v="34.412366512636083"/>
  </r>
  <r>
    <x v="935"/>
    <n v="4783.3500000000004"/>
    <n v="3.7017052940668913E-4"/>
    <n v="4747.1809999999996"/>
    <n v="35.220830895934242"/>
  </r>
  <r>
    <x v="936"/>
    <n v="4769.83"/>
    <n v="-2.8264709879060566E-3"/>
    <n v="4747.0469999999996"/>
    <n v="35.092016200269754"/>
  </r>
  <r>
    <x v="937"/>
    <n v="4742.83"/>
    <n v="-5.6605790982068548E-3"/>
    <n v="4747.0949999999993"/>
    <n v="35.141932573493897"/>
  </r>
  <r>
    <x v="938"/>
    <n v="4704.8100000000004"/>
    <n v="-8.0163109367191159E-3"/>
    <n v="4746.7099999999991"/>
    <n v="34.911079903090801"/>
  </r>
  <r>
    <x v="939"/>
    <n v="4688.68"/>
    <n v="-3.4284062480738025E-3"/>
    <n v="4746.348"/>
    <n v="34.968157171918428"/>
  </r>
  <r>
    <x v="940"/>
    <n v="4697.24"/>
    <n v="1.8256737503944587E-3"/>
    <n v="4753.9610000000011"/>
    <n v="33.345679615206414"/>
  </r>
  <r>
    <x v="941"/>
    <n v="4763.54"/>
    <n v="1.4114671594383123E-2"/>
    <n v="4769.0739999999996"/>
    <n v="34.559741955055266"/>
  </r>
  <r>
    <x v="942"/>
    <n v="4756.5"/>
    <n v="-1.4778924917183364E-3"/>
    <n v="4784.3930000000009"/>
    <n v="33.25013565385877"/>
  </r>
  <r>
    <x v="943"/>
    <n v="4783.45"/>
    <n v="5.6659308314937068E-3"/>
    <n v="4794.4989999999998"/>
    <n v="40.040876726165926"/>
  </r>
  <r>
    <x v="944"/>
    <n v="4780.24"/>
    <n v="-6.7106377196375763E-4"/>
    <n v="4805.7039999999997"/>
    <n v="43.378363777348952"/>
  </r>
  <r>
    <x v="945"/>
    <n v="4783.83"/>
    <n v="7.5100831757404351E-4"/>
    <n v="4816.7749999999996"/>
    <n v="49.920313951336645"/>
  </r>
  <r>
    <x v="946"/>
    <n v="4765.9799999999996"/>
    <n v="-3.7313198838588254E-3"/>
    <n v="4827.8480000000009"/>
    <n v="52.786699044361704"/>
  </r>
  <r>
    <x v="947"/>
    <n v="4739.21"/>
    <n v="-5.6168930629166575E-3"/>
    <n v="4842.2580000000007"/>
    <n v="58.195100618523028"/>
  </r>
  <r>
    <x v="948"/>
    <n v="4780.9399999999996"/>
    <n v="8.8052650125230916E-3"/>
    <n v="4858.1570000000002"/>
    <n v="56.887482814763501"/>
  </r>
  <r>
    <x v="949"/>
    <n v="4839.8100000000004"/>
    <n v="1.2313478102632705E-2"/>
    <n v="4868.8010000000004"/>
    <n v="41.517401038600809"/>
  </r>
  <r>
    <x v="950"/>
    <n v="4850.43"/>
    <n v="2.1943010159489506E-3"/>
    <n v="4881.3260000000009"/>
    <n v="30.572163220812474"/>
  </r>
  <r>
    <x v="951"/>
    <n v="4864.6000000000004"/>
    <n v="2.9213904746589626E-3"/>
    <n v="4893.2060000000001"/>
    <n v="34.906254511190348"/>
  </r>
  <r>
    <x v="952"/>
    <n v="4868.55"/>
    <n v="8.119886527154993E-4"/>
    <n v="4902.4440000000004"/>
    <n v="34.585878968156955"/>
  </r>
  <r>
    <x v="953"/>
    <n v="4894.16"/>
    <n v="5.2602931057501049E-3"/>
    <n v="4911.4070000000011"/>
    <n v="35.22513024816233"/>
  </r>
  <r>
    <x v="954"/>
    <n v="4890.97"/>
    <n v="-6.5179724406222927E-4"/>
    <n v="4924.0579999999991"/>
    <n v="39.960883323570428"/>
  </r>
  <r>
    <x v="955"/>
    <n v="4927.93"/>
    <n v="7.5567832147815329E-3"/>
    <n v="4934.433"/>
    <n v="44.105037365362314"/>
  </r>
  <r>
    <x v="956"/>
    <n v="4924.97"/>
    <n v="-6.0065788272155578E-4"/>
    <n v="4947.9970000000003"/>
    <n v="49.214113026651248"/>
  </r>
  <r>
    <x v="957"/>
    <n v="4845.6499999999996"/>
    <n v="-1.6105681862021621E-2"/>
    <n v="4957.387999999999"/>
    <n v="53.280845113417712"/>
  </r>
  <r>
    <x v="958"/>
    <n v="4906.1899999999996"/>
    <n v="1.2493679898465627E-2"/>
    <n v="4960.2080000000005"/>
    <n v="52.226262895214042"/>
  </r>
  <r>
    <x v="959"/>
    <n v="4958.6099999999997"/>
    <n v="1.0684461873673884E-2"/>
    <n v="4975.7049999999999"/>
    <n v="36.583944087536594"/>
  </r>
  <r>
    <x v="960"/>
    <n v="4942.8100000000004"/>
    <n v="-3.1863768273768804E-3"/>
    <n v="4988.0589999999993"/>
    <n v="31.534111514358472"/>
  </r>
  <r>
    <x v="961"/>
    <n v="4954.2299999999996"/>
    <n v="2.3104266601384968E-3"/>
    <n v="4992.755000000001"/>
    <n v="30.270231664128264"/>
  </r>
  <r>
    <x v="962"/>
    <n v="4995.0600000000004"/>
    <n v="8.2414421615469684E-3"/>
    <n v="4996.0249999999996"/>
    <n v="26.189362821573134"/>
  </r>
  <r>
    <x v="963"/>
    <n v="4997.91"/>
    <n v="5.7056371695223961E-4"/>
    <n v="4998.7820000000011"/>
    <n v="22.887431834961152"/>
  </r>
  <r>
    <x v="964"/>
    <n v="5026.6099999999997"/>
    <n v="5.7424003233351182E-3"/>
    <n v="5007.9790000000003"/>
    <n v="34.880300299739261"/>
  </r>
  <r>
    <x v="965"/>
    <n v="5021.84"/>
    <n v="-9.4894968975105037E-4"/>
    <n v="5017.0680000000011"/>
    <n v="42.155549527909074"/>
  </r>
  <r>
    <x v="966"/>
    <n v="4953.17"/>
    <n v="-1.3674270785210215E-2"/>
    <n v="5021.3600000000006"/>
    <n v="44.997669495208228"/>
  </r>
  <r>
    <x v="967"/>
    <n v="5000.62"/>
    <n v="9.5797236921001741E-3"/>
    <n v="5026.9940000000006"/>
    <n v="48.123554565306137"/>
  </r>
  <r>
    <x v="968"/>
    <n v="5029.7299999999996"/>
    <n v="5.8212781615079078E-3"/>
    <n v="5038.6530000000002"/>
    <n v="42.636123193836468"/>
  </r>
  <r>
    <x v="969"/>
    <n v="5005.57"/>
    <n v="-4.8034387531736009E-3"/>
    <n v="5048.2180000000008"/>
    <n v="43.745522468019551"/>
  </r>
  <r>
    <x v="970"/>
    <n v="4975.51"/>
    <n v="-6.0053100845656919E-3"/>
    <n v="5058.9529999999995"/>
    <n v="50.536080190295721"/>
  </r>
  <r>
    <x v="971"/>
    <n v="4981.8"/>
    <n v="1.2641920124771056E-3"/>
    <n v="5071.491"/>
    <n v="51.284269410804626"/>
  </r>
  <r>
    <x v="972"/>
    <n v="5087.03"/>
    <n v="2.112288730980761E-2"/>
    <n v="5081.8049999999994"/>
    <n v="40.094732634100389"/>
  </r>
  <r>
    <x v="973"/>
    <n v="5088.8"/>
    <n v="3.4794369209547351E-4"/>
    <n v="5094.1010000000006"/>
    <n v="22.560788306262687"/>
  </r>
  <r>
    <x v="974"/>
    <n v="5069.53"/>
    <n v="-3.7867473667663174E-3"/>
    <n v="5101.134"/>
    <n v="29.235189139117853"/>
  </r>
  <r>
    <x v="975"/>
    <n v="5078.18"/>
    <n v="1.7062725735917425E-3"/>
    <n v="5104.6230000000005"/>
    <n v="29.634232249207898"/>
  </r>
  <r>
    <x v="976"/>
    <n v="5069.76"/>
    <n v="-1.6580743494716754E-3"/>
    <n v="5109.4640000000009"/>
    <n v="27.373980784679294"/>
  </r>
  <r>
    <x v="977"/>
    <n v="5096.2700000000004"/>
    <n v="5.2290443729092143E-3"/>
    <n v="5119.1730000000007"/>
    <n v="31.468146450021482"/>
  </r>
  <r>
    <x v="978"/>
    <n v="5137.08"/>
    <n v="8.0078174821976641E-3"/>
    <n v="5128.7280000000001"/>
    <n v="29.455798003109781"/>
  </r>
  <r>
    <x v="979"/>
    <n v="5130.95"/>
    <n v="-1.1932849011500909E-3"/>
    <n v="5134.1489999999994"/>
    <n v="27.932410726609476"/>
  </r>
  <r>
    <x v="980"/>
    <n v="5078.6499999999996"/>
    <n v="-1.019304417310638E-2"/>
    <n v="5132.1499999999987"/>
    <n v="28.363099971618183"/>
  </r>
  <r>
    <x v="981"/>
    <n v="5104.76"/>
    <n v="5.1411300247114064E-3"/>
    <n v="5133.9969999999985"/>
    <n v="28.822479438799288"/>
  </r>
  <r>
    <x v="982"/>
    <n v="5157.3599999999997"/>
    <n v="1.0304108322428372E-2"/>
    <n v="5143.9829999999993"/>
    <n v="24.956498171819014"/>
  </r>
  <r>
    <x v="983"/>
    <n v="5123.6899999999996"/>
    <n v="-6.5285339786247372E-3"/>
    <n v="5155.9690000000001"/>
    <n v="31.233808749494621"/>
  </r>
  <r>
    <x v="984"/>
    <n v="5117.9399999999996"/>
    <n v="-1.1222380745127048E-3"/>
    <n v="5164.3860000000004"/>
    <n v="40.454664799006842"/>
  </r>
  <r>
    <x v="985"/>
    <n v="5175.2700000000004"/>
    <n v="1.1201772588189943E-2"/>
    <n v="5175.4350000000004"/>
    <n v="42.848609137287092"/>
  </r>
  <r>
    <x v="986"/>
    <n v="5165.3100000000004"/>
    <n v="-1.9245372705192262E-3"/>
    <n v="5185.4600000000009"/>
    <n v="39.846382269912461"/>
  </r>
  <r>
    <x v="987"/>
    <n v="5150.4799999999996"/>
    <n v="-2.8710764697570594E-3"/>
    <n v="5188.2910000000011"/>
    <n v="40.027108926326356"/>
  </r>
  <r>
    <x v="988"/>
    <n v="5117.09"/>
    <n v="-6.4828909150214005E-3"/>
    <n v="5196.6090000000004"/>
    <n v="42.925046872426307"/>
  </r>
  <r>
    <x v="989"/>
    <n v="5149.42"/>
    <n v="6.3180440445643766E-3"/>
    <n v="5206.9960000000001"/>
    <n v="43.073004585238714"/>
  </r>
  <r>
    <x v="990"/>
    <n v="5178.51"/>
    <n v="5.6491799076401122E-3"/>
    <n v="5219.6639999999998"/>
    <n v="31.964500997200009"/>
  </r>
  <r>
    <x v="991"/>
    <n v="5224.62"/>
    <n v="8.9041056211148911E-3"/>
    <n v="5225.3029999999999"/>
    <n v="22.709081465352131"/>
  </r>
  <r>
    <x v="992"/>
    <n v="5241.53"/>
    <n v="3.2365990253836363E-3"/>
    <n v="5228.6009999999987"/>
    <n v="17.46273143010572"/>
  </r>
  <r>
    <x v="993"/>
    <n v="5234.18"/>
    <n v="-1.4022623165372429E-3"/>
    <n v="5220.8599999999988"/>
    <n v="30.097982656649965"/>
  </r>
  <r>
    <x v="994"/>
    <n v="5218.1899999999996"/>
    <n v="-3.054919777310045E-3"/>
    <n v="5217.1410000000005"/>
    <n v="29.607832561671977"/>
  </r>
  <r>
    <x v="995"/>
    <n v="5203.58"/>
    <n v="-2.7998213940082046E-3"/>
    <n v="5213.9619999999995"/>
    <n v="29.312866731181408"/>
  </r>
  <r>
    <x v="996"/>
    <n v="5248.49"/>
    <n v="8.6305966277062818E-3"/>
    <n v="5213.1340000000009"/>
    <n v="29.298683315125313"/>
  </r>
  <r>
    <x v="997"/>
    <n v="5254.35"/>
    <n v="1.1165116061954167E-3"/>
    <n v="5208.8400000000011"/>
    <n v="33.262719672329865"/>
  </r>
  <r>
    <x v="998"/>
    <n v="5243.77"/>
    <n v="-2.0135697089078432E-3"/>
    <n v="5203.8969999999999"/>
    <n v="30.566777079044549"/>
  </r>
  <r>
    <x v="999"/>
    <n v="5205.8100000000004"/>
    <n v="-7.2390665494482089E-3"/>
    <n v="5190.8029999999999"/>
    <n v="34.002062011001712"/>
  </r>
  <r>
    <x v="1000"/>
    <n v="5211.49"/>
    <n v="1.0910886106099496E-3"/>
    <n v="5172.6079999999993"/>
    <n v="46.991417471704466"/>
  </r>
  <r>
    <x v="1001"/>
    <n v="5147.21"/>
    <n v="-1.2334284436888443E-2"/>
    <n v="5157.1679999999997"/>
    <n v="57.692789462809074"/>
  </r>
  <r>
    <x v="1002"/>
    <n v="5204.34"/>
    <n v="1.1099216857287755E-2"/>
    <n v="5138.24"/>
    <n v="67.055700577952493"/>
  </r>
  <r>
    <x v="1003"/>
    <n v="5202.3900000000003"/>
    <n v="-3.7468728023146413E-4"/>
    <n v="5124.6309999999994"/>
    <n v="76.936112775471187"/>
  </r>
  <r>
    <x v="1004"/>
    <n v="5209.91"/>
    <n v="1.4454894769518483E-3"/>
    <n v="5100.92"/>
    <n v="84.847562958520101"/>
  </r>
  <r>
    <x v="1005"/>
    <n v="5160.6400000000003"/>
    <n v="-9.456977183866809E-3"/>
    <n v="5081.741"/>
    <n v="81.347581703453329"/>
  </r>
  <r>
    <x v="1006"/>
    <n v="5199.0600000000004"/>
    <n v="7.4448130464438659E-3"/>
    <n v="5067.8049999999994"/>
    <n v="69.231579102314441"/>
  </r>
  <r>
    <x v="1007"/>
    <n v="5123.41"/>
    <n v="-1.4550707243232534E-2"/>
    <n v="5058.9039999999995"/>
    <n v="62.075865551758639"/>
  </r>
  <r>
    <x v="1008"/>
    <n v="5061.82"/>
    <n v="-1.2021290507689244E-2"/>
    <n v="5043.8399999999992"/>
    <n v="40.903667072769927"/>
  </r>
  <r>
    <x v="1009"/>
    <n v="5051.41"/>
    <n v="-2.0565725371506404E-3"/>
    <n v="5041.4949999999999"/>
    <n v="36.734423978061848"/>
  </r>
  <r>
    <x v="1010"/>
    <n v="5022.21"/>
    <n v="-5.7805642384997098E-3"/>
    <n v="5046.9299999999994"/>
    <n v="42.850947247406417"/>
  </r>
  <r>
    <x v="1011"/>
    <n v="5011.12"/>
    <n v="-2.2081912146246665E-3"/>
    <n v="5045.3580000000002"/>
    <n v="42.946003492758308"/>
  </r>
  <r>
    <x v="1012"/>
    <n v="4967.2299999999996"/>
    <n v="-8.7585210491866738E-3"/>
    <n v="5044.9760000000006"/>
    <n v="43.166626043739008"/>
  </r>
  <r>
    <x v="1013"/>
    <n v="5010.6000000000004"/>
    <n v="8.7312244450127741E-3"/>
    <n v="5050.2839999999997"/>
    <n v="41.92273946201518"/>
  </r>
  <r>
    <x v="1014"/>
    <n v="5070.55"/>
    <n v="1.1964634973855389E-2"/>
    <n v="5066.34"/>
    <n v="37.558517808880531"/>
  </r>
  <r>
    <x v="1015"/>
    <n v="5071.63"/>
    <n v="2.1299464555125721E-4"/>
    <n v="5083.3540000000003"/>
    <n v="46.034848799577858"/>
  </r>
  <r>
    <x v="1016"/>
    <n v="5048.42"/>
    <n v="-4.5764379499293201E-3"/>
    <n v="5095.0689999999995"/>
    <n v="55.26645102591619"/>
  </r>
  <r>
    <x v="1017"/>
    <n v="5099.96"/>
    <n v="1.0209134739185718E-2"/>
    <n v="5106.6729999999998"/>
    <n v="61.010520740278849"/>
  </r>
  <r>
    <x v="1018"/>
    <n v="5116.17"/>
    <n v="3.1784563016180592E-3"/>
    <n v="5123.2389999999996"/>
    <n v="65.285040009178189"/>
  </r>
  <r>
    <x v="1019"/>
    <n v="5035.6899999999996"/>
    <n v="-1.5730517164206911E-2"/>
    <n v="5135.5110000000004"/>
    <n v="71.036571771165896"/>
  </r>
  <r>
    <x v="1020"/>
    <n v="5018.3900000000003"/>
    <n v="-3.4354775611682357E-3"/>
    <n v="5146.0360000000001"/>
    <n v="75.07361123590637"/>
  </r>
  <r>
    <x v="1021"/>
    <n v="5064.2"/>
    <n v="9.128425650457515E-3"/>
    <n v="5167.1350000000002"/>
    <n v="70.612865718649331"/>
  </r>
  <r>
    <x v="1022"/>
    <n v="5127.79"/>
    <n v="1.2556771059594832E-2"/>
    <n v="5196.1109999999999"/>
    <n v="62.630533679667799"/>
  </r>
  <r>
    <x v="1023"/>
    <n v="5180.74"/>
    <n v="1.0326085896653299E-2"/>
    <n v="5219.4009999999998"/>
    <n v="51.575054716403393"/>
  </r>
  <r>
    <x v="1024"/>
    <n v="5187.7"/>
    <n v="1.3434374239973512E-3"/>
    <n v="5236.9490000000005"/>
    <n v="47.076505275986747"/>
  </r>
  <r>
    <x v="1025"/>
    <n v="5187.67"/>
    <n v="-5.7829095745215304E-6"/>
    <n v="5249.6880000000001"/>
    <n v="47.377669170190345"/>
  </r>
  <r>
    <x v="1026"/>
    <n v="5214.08"/>
    <n v="5.0909175024625416E-3"/>
    <n v="5263.0589999999993"/>
    <n v="46.861638991823554"/>
  </r>
  <r>
    <x v="1027"/>
    <n v="5222.68"/>
    <n v="1.6493801399288779E-3"/>
    <n v="5274.9930000000004"/>
    <n v="40.968423950647626"/>
  </r>
  <r>
    <x v="1028"/>
    <n v="5221.42"/>
    <n v="-2.412554473948659E-4"/>
    <n v="5280.3690000000006"/>
    <n v="35.8271903587205"/>
  </r>
  <r>
    <x v="1029"/>
    <n v="5246.68"/>
    <n v="4.8377644395586296E-3"/>
    <n v="5288.5730000000012"/>
    <n v="30.704673927596062"/>
  </r>
  <r>
    <x v="1030"/>
    <n v="5308.15"/>
    <n v="1.17159803914093E-2"/>
    <n v="5297.0349999999999"/>
    <n v="21.230370345333032"/>
  </r>
  <r>
    <x v="1031"/>
    <n v="5297.1"/>
    <n v="-2.0817045486655941E-3"/>
    <n v="5299.0619999999999"/>
    <n v="16.839477901645285"/>
  </r>
  <r>
    <x v="1032"/>
    <n v="5303.27"/>
    <n v="1.1647882803798441E-3"/>
    <n v="5291.7950000000001"/>
    <n v="25.035307567513669"/>
  </r>
  <r>
    <x v="1033"/>
    <n v="5308.13"/>
    <n v="9.1641572086649786E-4"/>
    <n v="5289.8359999999993"/>
    <n v="25.308511690733742"/>
  </r>
  <r>
    <x v="1034"/>
    <n v="5321.41"/>
    <n v="2.5018226757821953E-3"/>
    <n v="5287.8490000000002"/>
    <n v="24.953307776725833"/>
  </r>
  <r>
    <x v="1035"/>
    <n v="5307.01"/>
    <n v="-2.7060497123881895E-3"/>
    <n v="5286.17"/>
    <n v="24.081846689986325"/>
  </r>
  <r>
    <x v="1036"/>
    <n v="5267.84"/>
    <n v="-7.3808038801509834E-3"/>
    <n v="5289.4320000000007"/>
    <n v="30.093303175291393"/>
  </r>
  <r>
    <x v="1037"/>
    <n v="5304.72"/>
    <n v="7.0009719353663191E-3"/>
    <n v="5294.027"/>
    <n v="35.456662857635145"/>
  </r>
  <r>
    <x v="1038"/>
    <n v="5306.04"/>
    <n v="2.4883499977373149E-4"/>
    <n v="5301.942"/>
    <n v="37.502796642383927"/>
  </r>
  <r>
    <x v="1039"/>
    <n v="5266.95"/>
    <n v="-7.3670760114888214E-3"/>
    <n v="5307.549"/>
    <n v="41.479612932138167"/>
  </r>
  <r>
    <x v="1040"/>
    <n v="5235.4799999999996"/>
    <n v="-5.9749950160909553E-3"/>
    <n v="5314.4769999999999"/>
    <n v="46.169516360906378"/>
  </r>
  <r>
    <x v="1041"/>
    <n v="5277.51"/>
    <n v="8.0279172110294863E-3"/>
    <n v="5329.8850000000002"/>
    <n v="52.949885599498693"/>
  </r>
  <r>
    <x v="1042"/>
    <n v="5283.4"/>
    <n v="1.1160566251886624E-3"/>
    <n v="5349.7109999999993"/>
    <n v="50.97034244538672"/>
  </r>
  <r>
    <x v="1043"/>
    <n v="5291.34"/>
    <n v="1.502820153689009E-3"/>
    <n v="5365.12"/>
    <n v="50.09811293851299"/>
  </r>
  <r>
    <x v="1044"/>
    <n v="5354.03"/>
    <n v="1.1847660516995619E-2"/>
    <n v="5384.1030000000001"/>
    <n v="51.48230765029858"/>
  </r>
  <r>
    <x v="1045"/>
    <n v="5352.96"/>
    <n v="-1.9984945919236706E-4"/>
    <n v="5403.6720000000005"/>
    <n v="49.662677696636493"/>
  </r>
  <r>
    <x v="1046"/>
    <n v="5346.99"/>
    <n v="-1.1152708034433761E-3"/>
    <n v="5415.5860000000002"/>
    <n v="50.606348850712372"/>
  </r>
  <r>
    <x v="1047"/>
    <n v="5360.79"/>
    <n v="2.5808913052016522E-3"/>
    <n v="5426.7519999999995"/>
    <n v="47.79701576458514"/>
  </r>
  <r>
    <x v="1048"/>
    <n v="5375.32"/>
    <n v="2.7104214117694863E-3"/>
    <n v="5436.84"/>
    <n v="39.889676609368472"/>
  </r>
  <r>
    <x v="1049"/>
    <n v="5421.03"/>
    <n v="8.5036797809246775E-3"/>
    <n v="5447.6910000000007"/>
    <n v="31.62984364488705"/>
  </r>
  <r>
    <x v="1050"/>
    <n v="5433.74"/>
    <n v="2.3445728948188883E-3"/>
    <n v="5457.9490000000005"/>
    <n v="21.510989028866092"/>
  </r>
  <r>
    <x v="1051"/>
    <n v="5431.6"/>
    <n v="-3.9383555341245956E-4"/>
    <n v="5464.1329999999998"/>
    <n v="18.715906630457319"/>
  </r>
  <r>
    <x v="1052"/>
    <n v="5473.23"/>
    <n v="7.6644082774871489E-3"/>
    <n v="5466.8070000000007"/>
    <n v="15.877527546818992"/>
  </r>
  <r>
    <x v="1053"/>
    <n v="5487.03"/>
    <n v="2.5213630708010048E-3"/>
    <n v="5471.1559999999999"/>
    <n v="10.774488572549508"/>
  </r>
  <r>
    <x v="1054"/>
    <n v="5473.17"/>
    <n v="-2.5259566650810499E-3"/>
    <n v="5474.7340000000004"/>
    <n v="15.689165178555625"/>
  </r>
  <r>
    <x v="1055"/>
    <n v="5464.62"/>
    <n v="-1.5621659842468226E-3"/>
    <n v="5479.7330000000002"/>
    <n v="24.372019222871305"/>
  </r>
  <r>
    <x v="1056"/>
    <n v="5447.87"/>
    <n v="-3.0651719607218799E-3"/>
    <n v="5489.1350000000002"/>
    <n v="35.583185706173111"/>
  </r>
  <r>
    <x v="1057"/>
    <n v="5469.3"/>
    <n v="3.9336474622192327E-3"/>
    <n v="5499.9579999999996"/>
    <n v="42.305405990251508"/>
  </r>
  <r>
    <x v="1058"/>
    <n v="5477.9"/>
    <n v="1.5724132887205773E-3"/>
    <n v="5512.8690000000006"/>
    <n v="44.101885776007371"/>
  </r>
  <r>
    <x v="1059"/>
    <n v="5482.87"/>
    <n v="9.0728198762304077E-4"/>
    <n v="5529.33"/>
    <n v="54.307259183280479"/>
  </r>
  <r>
    <x v="1060"/>
    <n v="5460.48"/>
    <n v="-4.0836277351095915E-3"/>
    <n v="5539.9939999999997"/>
    <n v="53.627114634296689"/>
  </r>
  <r>
    <x v="1061"/>
    <n v="5475.09"/>
    <n v="2.6755889592124838E-3"/>
    <n v="5553.2420000000002"/>
    <n v="54.239242767575611"/>
  </r>
  <r>
    <x v="1062"/>
    <n v="5509.01"/>
    <n v="6.1953319488812185E-3"/>
    <n v="5570.3160000000007"/>
    <n v="48.968887714547854"/>
  </r>
  <r>
    <x v="1063"/>
    <n v="5537.02"/>
    <n v="5.0843981041966196E-3"/>
    <n v="5589.527"/>
    <n v="45.395388323044379"/>
  </r>
  <r>
    <x v="1064"/>
    <n v="5567.19"/>
    <n v="5.4487793072806601E-3"/>
    <n v="5597.4529999999995"/>
    <n v="36.739339691943236"/>
  </r>
  <r>
    <x v="1065"/>
    <n v="5572.85"/>
    <n v="1.0166708878268506E-3"/>
    <n v="5598.2099999999991"/>
    <n v="35.544914685507401"/>
  </r>
  <r>
    <x v="1066"/>
    <n v="5576.98"/>
    <n v="7.4109297756070941E-4"/>
    <n v="5591.9909999999991"/>
    <n v="44.691737144577381"/>
  </r>
  <r>
    <x v="1067"/>
    <n v="5633.91"/>
    <n v="1.0208033738690168E-2"/>
    <n v="5591.1469999999999"/>
    <n v="45.122858963057737"/>
  </r>
  <r>
    <x v="1068"/>
    <n v="5584.54"/>
    <n v="-8.7630082837673821E-3"/>
    <n v="5589.0230000000001"/>
    <n v="46.226141965342521"/>
  </r>
  <r>
    <x v="1069"/>
    <n v="5615.35"/>
    <n v="5.5170166208855882E-3"/>
    <n v="5568.3449999999993"/>
    <n v="64.255167768826212"/>
  </r>
  <r>
    <x v="1070"/>
    <n v="5631.22"/>
    <n v="2.8261818052302866E-3"/>
    <n v="5549.8130000000001"/>
    <n v="81.359635698545233"/>
  </r>
  <r>
    <x v="1071"/>
    <n v="5667.2"/>
    <n v="6.389379210899159E-3"/>
    <n v="5534.1880000000001"/>
    <n v="82.271651837069541"/>
  </r>
  <r>
    <x v="1072"/>
    <n v="5588.27"/>
    <n v="-1.3927512704686508E-2"/>
    <n v="5517.42"/>
    <n v="77.749932218619875"/>
  </r>
  <r>
    <x v="1073"/>
    <n v="5544.59"/>
    <n v="-7.8163725088444703E-3"/>
    <n v="5494.3440000000001"/>
    <n v="62.649193003581473"/>
  </r>
  <r>
    <x v="1074"/>
    <n v="5505"/>
    <n v="-7.1402935113326947E-3"/>
    <n v="5487.7470000000003"/>
    <n v="55.473826449957414"/>
  </r>
  <r>
    <x v="1075"/>
    <n v="5564.41"/>
    <n v="1.0792007266121681E-2"/>
    <n v="5477.956000000001"/>
    <n v="53.169718110969811"/>
  </r>
  <r>
    <x v="1076"/>
    <n v="5555.74"/>
    <n v="-1.5581166736455569E-3"/>
    <n v="5462.1120000000001"/>
    <n v="65.03337355542908"/>
  </r>
  <r>
    <x v="1077"/>
    <n v="5427.13"/>
    <n v="-2.314903145215573E-2"/>
    <n v="5424.3040000000001"/>
    <n v="96.741810423415146"/>
  </r>
  <r>
    <x v="1078"/>
    <n v="5399.22"/>
    <n v="-5.1426813066943033E-3"/>
    <n v="5392.7330000000002"/>
    <n v="100.15187637283695"/>
  </r>
  <r>
    <x v="1079"/>
    <n v="5459.1"/>
    <n v="1.1090490848678162E-2"/>
    <n v="5369.9699999999993"/>
    <n v="114.57673428755079"/>
  </r>
  <r>
    <x v="1080"/>
    <n v="5463.54"/>
    <n v="8.1332087706757511E-4"/>
    <n v="5361.9789999999994"/>
    <n v="115.04372763866796"/>
  </r>
  <r>
    <x v="1081"/>
    <n v="5436.44"/>
    <n v="-4.960154039322557E-3"/>
    <n v="5350.4849999999988"/>
    <n v="110.41489956070245"/>
  </r>
  <r>
    <x v="1082"/>
    <n v="5522.3"/>
    <n v="1.5793423637527608E-2"/>
    <n v="5338.57"/>
    <n v="103.80295959171883"/>
  </r>
  <r>
    <x v="1083"/>
    <n v="5446.68"/>
    <n v="-1.3693569708273706E-2"/>
    <n v="5338.3689999999997"/>
    <n v="103.61502926216846"/>
  </r>
  <r>
    <x v="1084"/>
    <n v="5346.56"/>
    <n v="-1.8381839946536218E-2"/>
    <n v="5331.6600000000008"/>
    <n v="93.129932137847177"/>
  </r>
  <r>
    <x v="1085"/>
    <n v="5186.33"/>
    <n v="-2.9968802370122182E-2"/>
    <n v="5341.3140000000003"/>
    <n v="108.31799418379211"/>
  </r>
  <r>
    <x v="1086"/>
    <n v="5240.03"/>
    <n v="1.0354142524675409E-2"/>
    <n v="5362.0830000000005"/>
    <n v="125.82868695571776"/>
  </r>
  <r>
    <x v="1087"/>
    <n v="5199.5"/>
    <n v="-7.7346885418594453E-3"/>
    <n v="5404.2749999999996"/>
    <n v="130.47452274294781"/>
  </r>
  <r>
    <x v="1088"/>
    <n v="5319.31"/>
    <n v="2.3042600250024119E-2"/>
    <n v="5439.9840000000004"/>
    <n v="129.49805328266518"/>
  </r>
  <r>
    <x v="1089"/>
    <n v="5344.16"/>
    <n v="4.6716585421792403E-3"/>
    <n v="5482.1190000000006"/>
    <n v="111.7245861437848"/>
  </r>
  <r>
    <x v="1090"/>
    <n v="5344.39"/>
    <n v="4.3037633603872814E-5"/>
    <n v="5507.2520000000004"/>
    <n v="99.918142276565575"/>
  </r>
  <r>
    <x v="1091"/>
    <n v="5434.43"/>
    <n v="1.6847572875482508E-2"/>
    <n v="5536.2970000000005"/>
    <n v="90.011827561715364"/>
  </r>
  <r>
    <x v="1092"/>
    <n v="5455.21"/>
    <n v="3.8237680860733776E-3"/>
    <n v="5563.5419999999995"/>
    <n v="65.770258445592205"/>
  </r>
  <r>
    <x v="1093"/>
    <n v="5543.22"/>
    <n v="1.6133201104998749E-2"/>
    <n v="5582.679000000001"/>
    <n v="51.769847681831145"/>
  </r>
  <r>
    <x v="1094"/>
    <n v="5554.25"/>
    <n v="1.9898181923141685E-3"/>
    <n v="5596.3760000000002"/>
    <n v="29.609147640551832"/>
  </r>
  <r>
    <x v="1095"/>
    <n v="5608.25"/>
    <n v="9.722284736913174E-3"/>
    <n v="5601.25"/>
    <n v="23.923624725362963"/>
  </r>
  <r>
    <x v="1096"/>
    <n v="5597.12"/>
    <n v="-1.9845762938528258E-3"/>
    <n v="5610.665"/>
    <n v="22.025209306610314"/>
  </r>
  <r>
    <x v="1097"/>
    <n v="5620.85"/>
    <n v="4.2396804070665758E-3"/>
    <n v="5602.7330000000002"/>
    <n v="33.010165419155207"/>
  </r>
  <r>
    <x v="1098"/>
    <n v="5570.64"/>
    <n v="-8.9328126528905837E-3"/>
    <n v="5595.0280000000002"/>
    <n v="41.357835726739808"/>
  </r>
  <r>
    <x v="1099"/>
    <n v="5634.61"/>
    <n v="1.1483420217425528E-2"/>
    <n v="5583.2839999999997"/>
    <n v="48.42785628127676"/>
  </r>
  <r>
    <x v="1100"/>
    <n v="5616.84"/>
    <n v="-3.1537231503155549E-3"/>
    <n v="5567.0619999999999"/>
    <n v="71.581134078750082"/>
  </r>
  <r>
    <x v="1101"/>
    <n v="5625.8"/>
    <n v="1.5952029967027789E-3"/>
    <n v="5550.7060000000001"/>
    <n v="72.95133449087821"/>
  </r>
  <r>
    <x v="1102"/>
    <n v="5592.18"/>
    <n v="-5.9760389633474152E-3"/>
    <n v="5538.5740000000005"/>
    <n v="71.006271863828985"/>
  </r>
  <r>
    <x v="1103"/>
    <n v="5591.96"/>
    <n v="-3.9340650694408023E-5"/>
    <n v="5531.4070000000002"/>
    <n v="65.221822735952344"/>
  </r>
  <r>
    <x v="1104"/>
    <n v="5648.4"/>
    <n v="1.0093062182132849E-2"/>
    <n v="5531.7650000000012"/>
    <n v="65.563351843846334"/>
  </r>
  <r>
    <x v="1105"/>
    <n v="5528.93"/>
    <n v="-2.1151122441753302E-2"/>
    <n v="5535.1710000000003"/>
    <n v="69.375852924486608"/>
  </r>
  <r>
    <x v="1106"/>
    <n v="5520.07"/>
    <n v="-1.6024800458679313E-3"/>
    <n v="5533.6399999999994"/>
    <n v="66.988039380175977"/>
  </r>
  <r>
    <x v="1107"/>
    <n v="5503.41"/>
    <n v="-3.018077669304892E-3"/>
    <n v="5544.2049999999999"/>
    <n v="73.433290441052719"/>
  </r>
  <r>
    <x v="1108"/>
    <n v="5408.42"/>
    <n v="-1.7260207762096552E-2"/>
    <n v="5554.0239999999994"/>
    <n v="76.067074769574276"/>
  </r>
  <r>
    <x v="1109"/>
    <n v="5471.05"/>
    <n v="1.1580091782812746E-2"/>
    <n v="5575.0470000000005"/>
    <n v="87.382963906015476"/>
  </r>
  <r>
    <x v="1110"/>
    <n v="5495.52"/>
    <n v="4.4726332239698515E-3"/>
    <n v="5604.4600000000009"/>
    <n v="74.966016300721208"/>
  </r>
  <r>
    <x v="1111"/>
    <n v="5554.13"/>
    <n v="1.06650508050193E-2"/>
    <n v="5629.2120000000014"/>
    <n v="67.301771863748044"/>
  </r>
  <r>
    <x v="1112"/>
    <n v="5595.76"/>
    <n v="7.4953232999587886E-3"/>
    <n v="5652.9530000000004"/>
    <n v="57.046302956458078"/>
  </r>
  <r>
    <x v="1113"/>
    <n v="5626.02"/>
    <n v="5.4076658041088644E-3"/>
    <n v="5669.7660000000014"/>
    <n v="49.75290146313074"/>
  </r>
  <r>
    <x v="1114"/>
    <n v="5633.09"/>
    <n v="1.2566610143582334E-3"/>
    <n v="5684.7270000000008"/>
    <n v="47.7014398210368"/>
  </r>
  <r>
    <x v="1115"/>
    <n v="5634.58"/>
    <n v="2.6450846693374004E-4"/>
    <n v="5695.9420000000009"/>
    <n v="45.723247653682684"/>
  </r>
  <r>
    <x v="1116"/>
    <n v="5618.26"/>
    <n v="-2.8964004415590354E-3"/>
    <n v="5708.8809999999994"/>
    <n v="44.394716003146065"/>
  </r>
  <r>
    <x v="1117"/>
    <n v="5713.64"/>
    <n v="1.6976786407179464E-2"/>
    <n v="5716.2979999999998"/>
    <n v="36.929890007959571"/>
  </r>
  <r>
    <x v="1118"/>
    <n v="5702.55"/>
    <n v="-1.9409693295342628E-3"/>
    <n v="5725.4260000000004"/>
    <n v="17.997736079851702"/>
  </r>
  <r>
    <x v="1119"/>
    <n v="5718.57"/>
    <n v="2.8092695373121718E-3"/>
    <n v="5724.0560000000005"/>
    <n v="19.315906502155119"/>
  </r>
  <r>
    <x v="1120"/>
    <n v="5732.93"/>
    <n v="2.5111172898120652E-3"/>
    <n v="5728.9080000000004"/>
    <n v="19.398122486467567"/>
  </r>
  <r>
    <x v="1121"/>
    <n v="5722.26"/>
    <n v="-1.8611774432968956E-3"/>
    <n v="5726.6450000000013"/>
    <n v="21.660273890235093"/>
  </r>
  <r>
    <x v="1122"/>
    <n v="5745.37"/>
    <n v="4.03861411400385E-3"/>
    <n v="5728.4650000000001"/>
    <n v="22.844177923488527"/>
  </r>
  <r>
    <x v="1123"/>
    <n v="5738.17"/>
    <n v="-1.2531829977877522E-3"/>
    <n v="5735.4430000000002"/>
    <n v="29.554895381307016"/>
  </r>
  <r>
    <x v="1124"/>
    <n v="5762.48"/>
    <n v="4.2365423122701995E-3"/>
    <n v="5738.9110000000001"/>
    <n v="32.412786504711462"/>
  </r>
  <r>
    <x v="1125"/>
    <n v="5708.75"/>
    <n v="-9.3241104524440111E-3"/>
    <n v="5746.5969999999998"/>
    <n v="39.634195349470687"/>
  </r>
  <r>
    <x v="1126"/>
    <n v="5709.54"/>
    <n v="1.3838405955769015E-4"/>
    <n v="5756.3339999999998"/>
    <n v="52.282477982590073"/>
  </r>
  <r>
    <x v="1127"/>
    <n v="5699.94"/>
    <n v="-1.6813963997100228E-3"/>
    <n v="5766.9849999999997"/>
    <n v="52.352816017861144"/>
  </r>
  <r>
    <x v="1128"/>
    <n v="5751.07"/>
    <n v="8.9702698624897995E-3"/>
    <n v="5780.2780000000002"/>
    <n v="52.952046381608547"/>
  </r>
  <r>
    <x v="1129"/>
    <n v="5695.94"/>
    <n v="-9.586042249529237E-3"/>
    <n v="5794.4310000000005"/>
    <n v="48.29739608923051"/>
  </r>
  <r>
    <x v="1130"/>
    <n v="5751.13"/>
    <n v="9.6893576828408507E-3"/>
    <n v="5805.7910000000002"/>
    <n v="50.089150012752413"/>
  </r>
  <r>
    <x v="1131"/>
    <n v="5792.04"/>
    <n v="7.1133846739683945E-3"/>
    <n v="5821.5949999999993"/>
    <n v="35.842018428096374"/>
  </r>
  <r>
    <x v="1132"/>
    <n v="5780.05"/>
    <n v="-2.0700823889337402E-3"/>
    <n v="5831.6020000000008"/>
    <n v="27.850030807882415"/>
  </r>
  <r>
    <x v="1133"/>
    <n v="5815.03"/>
    <n v="6.0518507625365809E-3"/>
    <n v="5832.1399999999994"/>
    <n v="27.123062142759593"/>
  </r>
  <r>
    <x v="1134"/>
    <n v="5859.85"/>
    <n v="7.7076128584032452E-3"/>
    <n v="5835.1209999999992"/>
    <n v="22.473921976370789"/>
  </r>
  <r>
    <x v="1135"/>
    <n v="5815.26"/>
    <n v="-7.6094097971791327E-3"/>
    <n v="5834.4299999999994"/>
    <n v="23.176286587803524"/>
  </r>
  <r>
    <x v="1136"/>
    <n v="5842.47"/>
    <n v="4.6790685197222537E-3"/>
    <n v="5830.7970000000005"/>
    <n v="21.707757622564312"/>
  </r>
  <r>
    <x v="1137"/>
    <n v="5841.47"/>
    <n v="-1.7116048520574346E-4"/>
    <n v="5832.5630000000001"/>
    <n v="21.081244294395898"/>
  </r>
  <r>
    <x v="1138"/>
    <n v="5864.67"/>
    <n v="3.9716030382762934E-3"/>
    <n v="5829.683"/>
    <n v="21.494281588366679"/>
  </r>
  <r>
    <x v="1139"/>
    <n v="5853.98"/>
    <n v="-1.8227794573267566E-3"/>
    <n v="5816.0810000000001"/>
    <n v="42.502708490165674"/>
  </r>
  <r>
    <x v="1140"/>
    <n v="5851.2"/>
    <n v="-4.748905872585396E-4"/>
    <n v="5802.4939999999997"/>
    <n v="46.342009710412825"/>
  </r>
  <r>
    <x v="1141"/>
    <n v="5797.42"/>
    <n v="-9.1912770030078868E-3"/>
    <n v="5788.3649999999998"/>
    <n v="49.893368747760533"/>
  </r>
  <r>
    <x v="1142"/>
    <n v="5809.86"/>
    <n v="2.1457820892741251E-3"/>
    <n v="5781.5209999999997"/>
    <n v="45.286044086451284"/>
  </r>
  <r>
    <x v="1143"/>
    <n v="5808.12"/>
    <n v="-2.9949086552856383E-4"/>
    <n v="5794.683"/>
    <n v="63.470428240244352"/>
  </r>
  <r>
    <x v="1144"/>
    <n v="5823.52"/>
    <n v="2.6514603692762108E-3"/>
    <n v="5811.0069999999996"/>
    <n v="83.200064549253923"/>
  </r>
  <r>
    <x v="1145"/>
    <n v="5832.92"/>
    <n v="1.6141440228589642E-3"/>
    <n v="5829.7490000000007"/>
    <n v="99.876911791464678"/>
  </r>
  <r>
    <x v="1146"/>
    <n v="5813.67"/>
    <n v="-3.3002338451410271E-3"/>
    <n v="5847.5320000000002"/>
    <n v="112.24959998147"/>
  </r>
  <r>
    <x v="1147"/>
    <n v="5705.45"/>
    <n v="-1.8614747655095704E-2"/>
    <n v="5862.6389999999992"/>
    <n v="119.21610113151671"/>
  </r>
  <r>
    <x v="1148"/>
    <n v="5728.8"/>
    <n v="4.0925781489628979E-3"/>
    <n v="5879.8099999999995"/>
    <n v="123.22489415698446"/>
  </r>
  <r>
    <x v="1149"/>
    <n v="5712.69"/>
    <n v="-2.81210724759122E-3"/>
    <n v="5904.1819999999989"/>
    <n v="109.68737464266347"/>
  </r>
  <r>
    <x v="1150"/>
    <n v="5782.76"/>
    <n v="1.2265675189796861E-2"/>
    <n v="5918.3639999999996"/>
    <n v="94.164469010343922"/>
  </r>
  <r>
    <x v="1151"/>
    <n v="5929.04"/>
    <n v="2.5295879476236217E-2"/>
    <n v="5936.4570000000003"/>
    <n v="66.110798671623996"/>
  </r>
  <r>
    <x v="1152"/>
    <n v="5973.1"/>
    <n v="7.4312198939457987E-3"/>
    <n v="5949.878999999999"/>
    <n v="43.198914210892042"/>
  </r>
  <r>
    <x v="1153"/>
    <n v="5995.54"/>
    <n v="3.7568431802580903E-3"/>
    <n v="5948.6859999999997"/>
    <n v="43.916708483218692"/>
  </r>
  <r>
    <x v="1154"/>
    <n v="6001.35"/>
    <n v="9.6905366322306251E-4"/>
    <n v="5946.2470000000012"/>
    <n v="43.1639233735768"/>
  </r>
  <r>
    <x v="1155"/>
    <n v="5983.99"/>
    <n v="-2.8926824797754808E-3"/>
    <n v="5943.6270000000004"/>
    <n v="40.824117394011239"/>
  </r>
  <r>
    <x v="1156"/>
    <n v="5985.38"/>
    <n v="2.3228648443602469E-4"/>
    <n v="5942.2290000000003"/>
    <n v="39.023130179420583"/>
  </r>
  <r>
    <x v="1157"/>
    <n v="5949.17"/>
    <n v="-6.0497412027306595E-3"/>
    <n v="5945.9929999999995"/>
    <n v="44.324832329068201"/>
  </r>
  <r>
    <x v="1158"/>
    <n v="5870.62"/>
    <n v="-1.3203522508181844E-2"/>
    <n v="5947.3289999999997"/>
    <n v="45.672714929156626"/>
  </r>
  <r>
    <x v="1159"/>
    <n v="5893.62"/>
    <n v="3.9178144727473416E-3"/>
    <n v="5955.65"/>
    <n v="52.342966862798384"/>
  </r>
  <r>
    <x v="1160"/>
    <n v="5916.98"/>
    <n v="3.9636081050355597E-3"/>
    <n v="5973.302999999999"/>
    <n v="50.421946422168247"/>
  </r>
  <r>
    <x v="1161"/>
    <n v="5917.11"/>
    <n v="2.1970667468896151E-5"/>
    <n v="5988.9289999999992"/>
    <n v="47.430648835958472"/>
  </r>
  <r>
    <x v="1162"/>
    <n v="5948.71"/>
    <n v="5.3404449131417816E-3"/>
    <n v="6005.8799999999992"/>
    <n v="48.953846222743323"/>
  </r>
  <r>
    <x v="1163"/>
    <n v="5969.34"/>
    <n v="3.4679787718682048E-3"/>
    <n v="6021.6799999999994"/>
    <n v="42.873150805603181"/>
  </r>
  <r>
    <x v="1164"/>
    <n v="5987.37"/>
    <n v="3.0204344198855727E-3"/>
    <n v="6035.8360000000002"/>
    <n v="39.695232005871937"/>
  </r>
  <r>
    <x v="1165"/>
    <n v="6021.63"/>
    <n v="5.7220449045240597E-3"/>
    <n v="6044.186999999999"/>
    <n v="33.056740023783398"/>
  </r>
  <r>
    <x v="1166"/>
    <n v="5998.74"/>
    <n v="-3.801296326742149E-3"/>
    <n v="6048.9410000000007"/>
    <n v="27.494302482514485"/>
  </r>
  <r>
    <x v="1167"/>
    <n v="6032.38"/>
    <n v="5.6078443139726559E-3"/>
    <n v="6055.1970000000001"/>
    <n v="27.685000650171585"/>
  </r>
  <r>
    <x v="1168"/>
    <n v="6047.15"/>
    <n v="2.4484531809997922E-3"/>
    <n v="6060.4479999999994"/>
    <n v="20.535453635115999"/>
  </r>
  <r>
    <x v="1169"/>
    <n v="6049.88"/>
    <n v="4.5145233705141648E-4"/>
    <n v="6062.3190000000004"/>
    <n v="18.659586517390984"/>
  </r>
  <r>
    <x v="1170"/>
    <n v="6086.49"/>
    <n v="6.051359696390618E-3"/>
    <n v="6065.0119999999997"/>
    <n v="18.214010431533147"/>
  </r>
  <r>
    <x v="1171"/>
    <n v="6075.11"/>
    <n v="-1.8697147288503078E-3"/>
    <n v="6065.0850000000009"/>
    <n v="18.15458247936315"/>
  </r>
  <r>
    <x v="1172"/>
    <n v="6090.27"/>
    <n v="2.4954280663232048E-3"/>
    <n v="6043.652"/>
    <n v="59.551687935775625"/>
  </r>
  <r>
    <x v="1173"/>
    <n v="6052.85"/>
    <n v="-6.1442267748392223E-3"/>
    <n v="6022.8490000000002"/>
    <n v="78.309930845327699"/>
  </r>
  <r>
    <x v="1174"/>
    <n v="6034.91"/>
    <n v="-2.9638930421207379E-3"/>
    <n v="6006.9070000000002"/>
    <n v="79.184091716707812"/>
  </r>
  <r>
    <x v="1175"/>
    <n v="6084.19"/>
    <n v="8.1658218598122841E-3"/>
    <n v="5999.0289999999995"/>
    <n v="78.133273507514019"/>
  </r>
  <r>
    <x v="1176"/>
    <n v="6051.25"/>
    <n v="-5.4140321061636144E-3"/>
    <n v="5999.5420000000004"/>
    <n v="78.383613440565441"/>
  </r>
  <r>
    <x v="1177"/>
    <n v="6051.09"/>
    <n v="-2.6440818012783223E-5"/>
    <n v="5994.8819999999996"/>
    <n v="74.501757670540897"/>
  </r>
  <r>
    <x v="1178"/>
    <n v="6074.08"/>
    <n v="3.799315495224791E-3"/>
    <n v="5986.8409999999985"/>
    <n v="72.290530839107817"/>
  </r>
  <r>
    <x v="1179"/>
    <n v="6050.61"/>
    <n v="-3.8639596449174616E-3"/>
    <n v="5972.4259999999995"/>
    <n v="72.41375700790563"/>
  </r>
  <r>
    <x v="1180"/>
    <n v="5872.16"/>
    <n v="-2.9492894104891875E-2"/>
    <n v="5953.1809999999987"/>
    <n v="68.296558983597393"/>
  </r>
  <r>
    <x v="1181"/>
    <n v="5867.08"/>
    <n v="-8.6509904362277719E-4"/>
    <n v="5934.9750000000004"/>
    <n v="64.030938967033762"/>
  </r>
  <r>
    <x v="1182"/>
    <n v="5930.85"/>
    <n v="1.0869120584686153E-2"/>
    <n v="5942.0060000000003"/>
    <n v="60.510918551944002"/>
  </r>
  <r>
    <x v="1183"/>
    <n v="5974.07"/>
    <n v="7.2873196927926587E-3"/>
    <n v="5952.8360000000002"/>
    <n v="55.626200697153479"/>
  </r>
  <r>
    <x v="1184"/>
    <n v="6040.04"/>
    <n v="1.1042722967759041E-2"/>
    <n v="5950.6540000000005"/>
    <n v="56.860102215877191"/>
  </r>
  <r>
    <x v="1185"/>
    <n v="6037.59"/>
    <n v="-4.056264528049182E-4"/>
    <n v="5945.0720000000001"/>
    <n v="57.027041971331499"/>
  </r>
  <r>
    <x v="1186"/>
    <n v="5970.84"/>
    <n v="-1.1055735815118284E-2"/>
    <n v="5923.771999999999"/>
    <n v="57.355529079592721"/>
  </r>
  <r>
    <x v="1187"/>
    <n v="5906.94"/>
    <n v="-1.0702011777237464E-2"/>
    <n v="5903.6350000000002"/>
    <n v="48.530809853123209"/>
  </r>
  <r>
    <x v="1188"/>
    <n v="5881.63"/>
    <n v="-4.2847904329482763E-3"/>
    <n v="5890.8419999999996"/>
    <n v="45.920366026415778"/>
  </r>
  <r>
    <x v="1189"/>
    <n v="5868.55"/>
    <n v="-2.2238733140302817E-3"/>
    <n v="5895.1390000000001"/>
    <n v="49.124373878961549"/>
  </r>
  <r>
    <x v="1190"/>
    <n v="5942.47"/>
    <n v="1.2595956411720113E-2"/>
    <n v="5900.7100000000009"/>
    <n v="50.41836173459032"/>
  </r>
  <r>
    <x v="1191"/>
    <n v="5975.38"/>
    <n v="5.5381011599553477E-3"/>
    <n v="5913.5210000000006"/>
    <n v="56.525243643880017"/>
  </r>
  <r>
    <x v="1192"/>
    <n v="5909.03"/>
    <n v="-1.1103896321238208E-2"/>
    <n v="5924.1980000000003"/>
    <n v="69.564826428303505"/>
  </r>
  <r>
    <x v="1193"/>
    <n v="5918.25"/>
    <n v="1.5603237756451152E-3"/>
    <n v="5935.2970000000005"/>
    <n v="84.167056031442556"/>
  </r>
  <r>
    <x v="1194"/>
    <n v="5827.04"/>
    <n v="-1.5411650403413177E-2"/>
    <n v="5956.2650000000003"/>
    <n v="99.696908803633377"/>
  </r>
  <r>
    <x v="1195"/>
    <n v="5836.22"/>
    <n v="1.5754139322881413E-3"/>
    <n v="5974.5640000000003"/>
    <n v="107.52618873558193"/>
  </r>
  <r>
    <x v="1196"/>
    <n v="5842.91"/>
    <n v="1.146289893115681E-3"/>
    <n v="5993.0879999999997"/>
    <n v="95.836628154375234"/>
  </r>
  <r>
    <x v="1197"/>
    <n v="5949.91"/>
    <n v="1.8312792769356365E-2"/>
    <n v="6016.235999999999"/>
    <n v="82.126533495576183"/>
  </r>
  <r>
    <x v="1198"/>
    <n v="5937.34"/>
    <n v="-2.1126369978705073E-3"/>
    <n v="6035.8759999999993"/>
    <n v="58.378837124423754"/>
  </r>
  <r>
    <x v="1199"/>
    <n v="5996.66"/>
    <n v="9.9910060734267718E-3"/>
    <n v="6048.0019999999986"/>
    <n v="51.445117124951672"/>
  </r>
  <r>
    <x v="1200"/>
    <n v="6049.24"/>
    <n v="8.7682143059636414E-3"/>
    <n v="6058.320999999999"/>
    <n v="36.346850881472548"/>
  </r>
  <r>
    <x v="1201"/>
    <n v="6086.37"/>
    <n v="6.1379611323075477E-3"/>
    <n v="6058.1119999999992"/>
    <n v="36.705054093407952"/>
  </r>
  <r>
    <x v="1202"/>
    <n v="6118.71"/>
    <n v="5.3135119948343832E-3"/>
    <n v="6056.9759999999997"/>
    <n v="37.135328785403296"/>
  </r>
  <r>
    <x v="1203"/>
    <n v="6101.24"/>
    <n v="-2.8551769899211195E-3"/>
    <n v="6054.4869999999992"/>
    <n v="35.895200250172756"/>
  </r>
  <r>
    <x v="1204"/>
    <n v="6012.28"/>
    <n v="-1.4580642623466712E-2"/>
    <n v="6050.973"/>
    <n v="30.793504526117179"/>
  </r>
  <r>
    <x v="1205"/>
    <n v="6067.7"/>
    <n v="9.2178009008229943E-3"/>
    <n v="6043.4479999999994"/>
    <n v="26.483054884208517"/>
  </r>
  <r>
    <x v="1206"/>
    <n v="6039.31"/>
    <n v="-4.6788733787101241E-3"/>
    <n v="6048.8639999999996"/>
    <n v="25.054698641173051"/>
  </r>
  <r>
    <x v="1207"/>
    <n v="6071.17"/>
    <n v="5.2754370946349284E-3"/>
    <n v="6048.9440000000004"/>
    <n v="25.11591694523613"/>
  </r>
  <r>
    <x v="1208"/>
    <n v="6040.53"/>
    <n v="-5.0468031697350471E-3"/>
    <n v="6050.21"/>
    <n v="24.916677146040175"/>
  </r>
  <r>
    <x v="1209"/>
    <n v="5994.57"/>
    <n v="-7.6086038807853017E-3"/>
    <n v="6054.6"/>
    <n v="31.278083381179194"/>
  </r>
  <r>
    <x v="1210"/>
    <n v="6037.88"/>
    <n v="7.2248718423507281E-3"/>
    <n v="6062.01"/>
    <n v="35.552412013814205"/>
  </r>
  <r>
    <x v="1211"/>
    <n v="6061.48"/>
    <n v="3.9086566808216551E-3"/>
    <n v="6075.5110000000004"/>
    <n v="32.915834016472971"/>
  </r>
  <r>
    <x v="1212"/>
    <n v="6083.57"/>
    <n v="3.6443244884087956E-3"/>
    <n v="6086.1379999999999"/>
    <n v="36.05608153973472"/>
  </r>
  <r>
    <x v="1213"/>
    <n v="6025.99"/>
    <n v="-9.464837258386101E-3"/>
    <n v="6091.7420000000002"/>
    <n v="36.143014484129573"/>
  </r>
  <r>
    <x v="1214"/>
    <n v="6066.44"/>
    <n v="6.7125899644705387E-3"/>
    <n v="6084.6980000000003"/>
    <n v="43.220435629456553"/>
  </r>
  <r>
    <x v="1215"/>
    <n v="6068.5"/>
    <n v="3.3957312690810433E-4"/>
    <n v="6080.424"/>
    <n v="50.341292434739835"/>
  </r>
  <r>
    <x v="1216"/>
    <n v="6051.97"/>
    <n v="-2.7239021174919249E-3"/>
    <n v="6069.3049999999994"/>
    <n v="62.911933406945884"/>
  </r>
  <r>
    <x v="1217"/>
    <n v="6115.07"/>
    <n v="1.0426357037460438E-2"/>
    <n v="6058.0609999999997"/>
    <n v="71.511272041545908"/>
  </r>
  <r>
    <x v="1218"/>
    <n v="6114.63"/>
    <n v="-7.1953387287406335E-5"/>
    <n v="6039.0209999999997"/>
    <n v="92.782011774912476"/>
  </r>
  <r>
    <x v="1219"/>
    <n v="6129.58"/>
    <n v="2.4449557863680743E-3"/>
    <n v="6022.9639999999999"/>
    <n v="92.123337781476422"/>
  </r>
  <r>
    <x v="1220"/>
    <n v="6144.15"/>
    <n v="2.3769980977489009E-3"/>
    <n v="5996.473"/>
    <n v="99.729730176111445"/>
  </r>
  <r>
    <x v="1221"/>
    <n v="6117.52"/>
    <n v="-4.3342040803038993E-3"/>
    <n v="5961.33"/>
    <n v="108.19304284472277"/>
  </r>
  <r>
    <x v="1222"/>
    <n v="6013.13"/>
    <n v="-1.7064104408322379E-2"/>
    <n v="5931.1779999999999"/>
    <n v="94.144809607327957"/>
  </r>
  <r>
    <x v="1223"/>
    <n v="5983.25"/>
    <n v="-4.9691258961639126E-3"/>
    <n v="5893.2780000000002"/>
    <n v="87.556904787686506"/>
  </r>
  <r>
    <x v="1224"/>
    <n v="5955.25"/>
    <n v="-4.6797309154723602E-3"/>
    <n v="5868.9849999999988"/>
    <n v="84.58386929551051"/>
  </r>
  <r>
    <x v="1225"/>
    <n v="5956.06"/>
    <n v="1.3601444103948618E-4"/>
    <n v="5832.1159999999991"/>
    <n v="104.70275461514845"/>
  </r>
  <r>
    <x v="1226"/>
    <n v="5861.57"/>
    <n v="-1.5864514460902122E-2"/>
    <n v="5793.7979999999989"/>
    <n v="121.41083854417614"/>
  </r>
  <r>
    <x v="1227"/>
    <n v="5954.5"/>
    <n v="1.5854114170776822E-2"/>
    <n v="5758.1220000000003"/>
    <n v="120.9043683081798"/>
  </r>
  <r>
    <x v="1228"/>
    <n v="5849.72"/>
    <n v="-1.7596775547904904E-2"/>
    <n v="5724.1170000000002"/>
    <n v="134.12467342364707"/>
  </r>
  <r>
    <x v="1229"/>
    <n v="5778.15"/>
    <n v="-1.2234773630190952E-2"/>
    <n v="5692.5609999999997"/>
    <n v="111.4070300699197"/>
  </r>
  <r>
    <x v="1230"/>
    <n v="5842.63"/>
    <n v="1.1159281084776351E-2"/>
    <n v="5675.1010000000015"/>
    <n v="98.321912455972836"/>
  </r>
  <r>
    <x v="1231"/>
    <n v="5738.52"/>
    <n v="-1.7819030128555062E-2"/>
    <n v="5658.7520000000004"/>
    <n v="93.291534857134792"/>
  </r>
  <r>
    <x v="1232"/>
    <n v="5770.2"/>
    <n v="5.5205871897282535E-3"/>
    <n v="5642.018"/>
    <n v="71.200578480796025"/>
  </r>
  <r>
    <x v="1233"/>
    <n v="5614.56"/>
    <n v="-2.6973068524487786E-2"/>
    <n v="5634.4550000000008"/>
    <n v="64.223234463860408"/>
  </r>
  <r>
    <x v="1234"/>
    <n v="5572.07"/>
    <n v="-7.5678236584880536E-3"/>
    <n v="5624.1909999999998"/>
    <n v="47.814200286107436"/>
  </r>
  <r>
    <x v="1235"/>
    <n v="5599.3"/>
    <n v="4.8868732804865115E-3"/>
    <n v="5639.4920000000002"/>
    <n v="64.019960137444542"/>
  </r>
  <r>
    <x v="1236"/>
    <n v="5521.52"/>
    <n v="-1.3891022092047175E-2"/>
    <n v="5659.9499999999989"/>
    <n v="71.461070660884829"/>
  </r>
  <r>
    <x v="1237"/>
    <n v="5638.94"/>
    <n v="2.1265883307494883E-2"/>
    <n v="5671.24"/>
    <n v="69.888371851116801"/>
  </r>
  <r>
    <x v="1238"/>
    <n v="5675.12"/>
    <n v="6.4160994796894971E-3"/>
    <n v="5688.4189999999999"/>
    <n v="48.952702979508622"/>
  </r>
  <r>
    <x v="1239"/>
    <n v="5614.66"/>
    <n v="-1.0653519220738952E-2"/>
    <n v="5682.6189999999997"/>
    <n v="57.210868976095753"/>
  </r>
  <r>
    <x v="1240"/>
    <n v="5675.29"/>
    <n v="1.0798516740105386E-2"/>
    <n v="5676.2919999999995"/>
    <n v="61.059431998668238"/>
  </r>
  <r>
    <x v="1241"/>
    <n v="5662.89"/>
    <n v="-2.1849103746239638E-3"/>
    <n v="5678.1329999999998"/>
    <n v="59.429190983892688"/>
  </r>
  <r>
    <x v="1242"/>
    <n v="5667.56"/>
    <n v="8.2466726353506298E-4"/>
    <n v="5677.701"/>
    <n v="59.463978247338879"/>
  </r>
  <r>
    <x v="1243"/>
    <n v="5767.57"/>
    <n v="1.7646041682840466E-2"/>
    <n v="5651.0640000000003"/>
    <n v="103.49286856590636"/>
  </r>
  <r>
    <x v="1244"/>
    <n v="5776.65"/>
    <n v="1.5743198608772721E-3"/>
    <n v="5591.7160000000003"/>
    <n v="201.12789603632802"/>
  </r>
  <r>
    <x v="1245"/>
    <n v="5712.2"/>
    <n v="-1.1156985450044545E-2"/>
    <n v="5521.1839999999993"/>
    <n v="245.80201204221251"/>
  </r>
  <r>
    <x v="1246"/>
    <n v="5693.31"/>
    <n v="-3.3069570393192498E-3"/>
    <n v="5441.7960000000003"/>
    <n v="276.72883912595734"/>
  </r>
  <r>
    <x v="1247"/>
    <n v="5580.94"/>
    <n v="-1.973720032810453E-2"/>
    <n v="5416.2660000000014"/>
    <n v="261.98864529593641"/>
  </r>
  <r>
    <x v="1248"/>
    <n v="5611.85"/>
    <n v="5.5384935154294381E-3"/>
    <n v="5373.74"/>
    <n v="247.69144123283704"/>
  </r>
  <r>
    <x v="1249"/>
    <n v="5633.07"/>
    <n v="3.781284246727789E-3"/>
    <n v="5351.982"/>
    <n v="237.89751981893374"/>
  </r>
  <r>
    <x v="1250"/>
    <n v="5670.97"/>
    <n v="6.728125160880399E-3"/>
    <n v="5323.1077777777782"/>
    <n v="233.55166822010719"/>
  </r>
  <r>
    <x v="1251"/>
    <n v="5396.52"/>
    <n v="-4.8395600752604899E-2"/>
    <n v="5284.3625000000002"/>
    <n v="218.75536677702328"/>
  </r>
  <r>
    <x v="1252"/>
    <n v="5074.08"/>
    <n v="-5.9749616419470415E-2"/>
    <n v="5229.1328571428576"/>
    <n v="174.03354797397003"/>
  </r>
  <r>
    <x v="1253"/>
    <n v="5062.25"/>
    <n v="-2.331457131144942E-3"/>
    <n v="5201.2349999999997"/>
    <n v="172.88027290102607"/>
  </r>
  <r>
    <x v="1254"/>
    <n v="4982.7700000000004"/>
    <n v="-1.5700528421156514E-2"/>
    <n v="5226.6660000000002"/>
    <n v="178.84264576436993"/>
  </r>
  <r>
    <x v="1255"/>
    <n v="5456.9"/>
    <n v="9.5153900340573444E-2"/>
    <n v="5267.77"/>
    <n v="177.57581718803911"/>
  </r>
  <r>
    <x v="1256"/>
    <n v="5268.05"/>
    <n v="-3.4607561069471583E-2"/>
    <n v="5362.77"/>
    <n v="77.098818408585004"/>
  </r>
  <r>
    <x v="1257"/>
    <n v="5363.36"/>
    <n v="1.8092083408471727E-2"/>
    <n v="5315.7049999999999"/>
    <n v="47.654999999999745"/>
  </r>
  <r>
    <x v="125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942FB4-2E7B-4507-B8FC-9A93E6F19AB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A1:C8" firstHeaderRow="0" firstDataRow="1" firstDataCol="1"/>
  <pivotFields count="8">
    <pivotField showAll="0">
      <items count="1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t="default"/>
      </items>
    </pivotField>
    <pivotField dataField="1"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9">
        <item h="1"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7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% Average Daily close" fld="2" subtotal="average" baseField="0" baseItem="0" numFmtId="10"/>
    <dataField name="Average Close" fld="1" subtotal="average" baseField="0" baseItem="0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00D0-8D24-473C-8018-4356212BE283}">
  <dimension ref="A1:C9"/>
  <sheetViews>
    <sheetView workbookViewId="0">
      <selection sqref="A1:C8"/>
    </sheetView>
  </sheetViews>
  <sheetFormatPr defaultRowHeight="15" x14ac:dyDescent="0.25"/>
  <cols>
    <col min="1" max="1" width="13.42578125" bestFit="1" customWidth="1"/>
    <col min="2" max="2" width="20.7109375" style="3" bestFit="1" customWidth="1"/>
    <col min="3" max="3" width="16.42578125" style="2" customWidth="1"/>
  </cols>
  <sheetData>
    <row r="1" spans="1:3" x14ac:dyDescent="0.25">
      <c r="A1" s="5" t="s">
        <v>5</v>
      </c>
      <c r="B1" s="7" t="s">
        <v>14</v>
      </c>
      <c r="C1" s="2" t="s">
        <v>13</v>
      </c>
    </row>
    <row r="2" spans="1:3" x14ac:dyDescent="0.25">
      <c r="A2" s="6" t="s">
        <v>7</v>
      </c>
      <c r="B2" s="7">
        <v>1.7644980673786545E-3</v>
      </c>
      <c r="C2" s="2">
        <v>3295.1342391304333</v>
      </c>
    </row>
    <row r="3" spans="1:3" x14ac:dyDescent="0.25">
      <c r="A3" s="6" t="s">
        <v>8</v>
      </c>
      <c r="B3" s="7">
        <v>9.7952167431686094E-4</v>
      </c>
      <c r="C3" s="2">
        <v>4273.3856349206344</v>
      </c>
    </row>
    <row r="4" spans="1:3" x14ac:dyDescent="0.25">
      <c r="A4" s="6" t="s">
        <v>9</v>
      </c>
      <c r="B4" s="7">
        <v>-7.4544159873643294E-4</v>
      </c>
      <c r="C4" s="2">
        <v>4098.5147410358568</v>
      </c>
    </row>
    <row r="5" spans="1:3" x14ac:dyDescent="0.25">
      <c r="A5" s="6" t="s">
        <v>10</v>
      </c>
      <c r="B5" s="7">
        <v>9.0210079903603306E-4</v>
      </c>
      <c r="C5" s="2">
        <v>4283.7294400000001</v>
      </c>
    </row>
    <row r="6" spans="1:3" x14ac:dyDescent="0.25">
      <c r="A6" s="6" t="s">
        <v>11</v>
      </c>
      <c r="B6" s="7">
        <v>8.6347381305704098E-4</v>
      </c>
      <c r="C6" s="2">
        <v>5428.2351190476211</v>
      </c>
    </row>
    <row r="7" spans="1:3" x14ac:dyDescent="0.25">
      <c r="A7" s="6" t="s">
        <v>12</v>
      </c>
      <c r="B7" s="7">
        <v>-1.1712164891277258E-3</v>
      </c>
      <c r="C7" s="2">
        <v>5820.2469565217398</v>
      </c>
    </row>
    <row r="8" spans="1:3" x14ac:dyDescent="0.25">
      <c r="A8" s="6" t="s">
        <v>6</v>
      </c>
      <c r="B8" s="7">
        <v>5.9263598239846227E-4</v>
      </c>
      <c r="C8" s="2">
        <v>4413.6484340222578</v>
      </c>
    </row>
    <row r="9" spans="1:3" x14ac:dyDescent="0.25">
      <c r="B9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E740-F761-45D8-8E6E-F4229425D1B9}">
  <dimension ref="A1:E1259"/>
  <sheetViews>
    <sheetView workbookViewId="0">
      <selection activeCell="B1" sqref="B1:B1048576"/>
    </sheetView>
  </sheetViews>
  <sheetFormatPr defaultRowHeight="15" x14ac:dyDescent="0.25"/>
  <cols>
    <col min="1" max="1" width="12.5703125" customWidth="1"/>
    <col min="2" max="2" width="24.140625" style="2" customWidth="1"/>
    <col min="3" max="3" width="24.5703125" customWidth="1"/>
    <col min="4" max="4" width="25" customWidth="1"/>
    <col min="5" max="5" width="25.5703125" style="2" customWidth="1"/>
  </cols>
  <sheetData>
    <row r="1" spans="1:5" x14ac:dyDescent="0.25">
      <c r="A1" t="s">
        <v>0</v>
      </c>
      <c r="B1" s="2" t="s">
        <v>1</v>
      </c>
      <c r="C1" t="s">
        <v>2</v>
      </c>
      <c r="D1" t="s">
        <v>3</v>
      </c>
      <c r="E1" s="2" t="s">
        <v>4</v>
      </c>
    </row>
    <row r="2" spans="1:5" x14ac:dyDescent="0.25">
      <c r="A2" s="1">
        <v>43934</v>
      </c>
      <c r="B2" s="2">
        <v>2761.63</v>
      </c>
    </row>
    <row r="3" spans="1:5" x14ac:dyDescent="0.25">
      <c r="A3" s="1">
        <v>43935</v>
      </c>
      <c r="B3" s="2">
        <v>2846.06</v>
      </c>
      <c r="C3" s="3">
        <f t="shared" ref="C3:C66" si="0">(B3-B2)/B2</f>
        <v>3.0572524197665811E-2</v>
      </c>
      <c r="D3" s="4">
        <f t="shared" ref="D3:D66" si="1">AVERAGE(B2:B11)</f>
        <v>2805.8730000000005</v>
      </c>
      <c r="E3" s="2">
        <f t="shared" ref="E3:E66" si="2">_xlfn.STDEV.P(B2:B11)</f>
        <v>38.731521800724479</v>
      </c>
    </row>
    <row r="4" spans="1:5" x14ac:dyDescent="0.25">
      <c r="A4" s="1">
        <v>43936</v>
      </c>
      <c r="B4" s="2">
        <v>2783.36</v>
      </c>
      <c r="C4" s="3">
        <f t="shared" si="0"/>
        <v>-2.2030456139364531E-2</v>
      </c>
      <c r="D4" s="4">
        <f t="shared" si="1"/>
        <v>2817.558</v>
      </c>
      <c r="E4" s="2">
        <f t="shared" si="2"/>
        <v>41.170680052678229</v>
      </c>
    </row>
    <row r="5" spans="1:5" x14ac:dyDescent="0.25">
      <c r="A5" s="1">
        <v>43937</v>
      </c>
      <c r="B5" s="2">
        <v>2799.55</v>
      </c>
      <c r="C5" s="3">
        <f t="shared" si="0"/>
        <v>5.8167107381007326E-3</v>
      </c>
      <c r="D5" s="4">
        <f t="shared" si="1"/>
        <v>2819.2910000000002</v>
      </c>
      <c r="E5" s="2">
        <f t="shared" si="2"/>
        <v>42.671330293301097</v>
      </c>
    </row>
    <row r="6" spans="1:5" x14ac:dyDescent="0.25">
      <c r="A6" s="1">
        <v>43938</v>
      </c>
      <c r="B6" s="2">
        <v>2874.56</v>
      </c>
      <c r="C6" s="3">
        <f t="shared" si="0"/>
        <v>2.6793591827257865E-2</v>
      </c>
      <c r="D6" s="4">
        <f t="shared" si="1"/>
        <v>2834.9059999999999</v>
      </c>
      <c r="E6" s="2">
        <f t="shared" si="2"/>
        <v>53.7882080385655</v>
      </c>
    </row>
    <row r="7" spans="1:5" x14ac:dyDescent="0.25">
      <c r="A7" s="1">
        <v>43941</v>
      </c>
      <c r="B7" s="2">
        <v>2823.16</v>
      </c>
      <c r="C7" s="3">
        <f t="shared" si="0"/>
        <v>-1.7880997439608182E-2</v>
      </c>
      <c r="D7" s="4">
        <f t="shared" si="1"/>
        <v>2846.1939999999995</v>
      </c>
      <c r="E7" s="2">
        <f t="shared" si="2"/>
        <v>56.936322009768091</v>
      </c>
    </row>
    <row r="8" spans="1:5" x14ac:dyDescent="0.25">
      <c r="A8" s="1">
        <v>43942</v>
      </c>
      <c r="B8" s="2">
        <v>2736.56</v>
      </c>
      <c r="C8" s="3">
        <f t="shared" si="0"/>
        <v>-3.067484662576684E-2</v>
      </c>
      <c r="D8" s="4">
        <f t="shared" si="1"/>
        <v>2841.8089999999997</v>
      </c>
      <c r="E8" s="2">
        <f t="shared" si="2"/>
        <v>56.267477009370182</v>
      </c>
    </row>
    <row r="9" spans="1:5" x14ac:dyDescent="0.25">
      <c r="A9" s="1">
        <v>43943</v>
      </c>
      <c r="B9" s="2">
        <v>2799.31</v>
      </c>
      <c r="C9" s="3">
        <f t="shared" si="0"/>
        <v>2.2930248194813926E-2</v>
      </c>
      <c r="D9" s="4">
        <f t="shared" si="1"/>
        <v>2843.7669999999998</v>
      </c>
      <c r="E9" s="2">
        <f t="shared" si="2"/>
        <v>55.924085696594105</v>
      </c>
    </row>
    <row r="10" spans="1:5" x14ac:dyDescent="0.25">
      <c r="A10" s="1">
        <v>43944</v>
      </c>
      <c r="B10" s="2">
        <v>2797.8</v>
      </c>
      <c r="C10" s="3">
        <f t="shared" si="0"/>
        <v>-5.3941864245109097E-4</v>
      </c>
      <c r="D10" s="4">
        <f t="shared" si="1"/>
        <v>2856.9549999999999</v>
      </c>
      <c r="E10" s="2">
        <f t="shared" si="2"/>
        <v>43.187053905076716</v>
      </c>
    </row>
    <row r="11" spans="1:5" x14ac:dyDescent="0.25">
      <c r="A11" s="1">
        <v>43945</v>
      </c>
      <c r="B11" s="2">
        <v>2836.74</v>
      </c>
      <c r="C11" s="3">
        <f t="shared" si="0"/>
        <v>1.3918078490242189E-2</v>
      </c>
      <c r="D11" s="4">
        <f t="shared" si="1"/>
        <v>2861.8659999999995</v>
      </c>
      <c r="E11" s="2">
        <f t="shared" si="2"/>
        <v>38.935764073663705</v>
      </c>
    </row>
    <row r="12" spans="1:5" x14ac:dyDescent="0.25">
      <c r="A12" s="1">
        <v>43948</v>
      </c>
      <c r="B12" s="2">
        <v>2878.48</v>
      </c>
      <c r="C12" s="3">
        <f t="shared" si="0"/>
        <v>1.4714073196697703E-2</v>
      </c>
      <c r="D12" s="4">
        <f t="shared" si="1"/>
        <v>2870.2049999999999</v>
      </c>
      <c r="E12" s="2">
        <f t="shared" si="2"/>
        <v>32.762040000586104</v>
      </c>
    </row>
    <row r="13" spans="1:5" x14ac:dyDescent="0.25">
      <c r="A13" s="1">
        <v>43949</v>
      </c>
      <c r="B13" s="2">
        <v>2863.39</v>
      </c>
      <c r="C13" s="3">
        <f t="shared" si="0"/>
        <v>-5.2423501292349246E-3</v>
      </c>
      <c r="D13" s="4">
        <f t="shared" si="1"/>
        <v>2879.511</v>
      </c>
      <c r="E13" s="2">
        <f t="shared" si="2"/>
        <v>35.070149828593614</v>
      </c>
    </row>
    <row r="14" spans="1:5" x14ac:dyDescent="0.25">
      <c r="A14" s="1">
        <v>43950</v>
      </c>
      <c r="B14" s="2">
        <v>2939.51</v>
      </c>
      <c r="C14" s="3">
        <f t="shared" si="0"/>
        <v>2.6583874358714791E-2</v>
      </c>
      <c r="D14" s="4">
        <f t="shared" si="1"/>
        <v>2884.6819999999998</v>
      </c>
      <c r="E14" s="2">
        <f t="shared" si="2"/>
        <v>38.208715969003784</v>
      </c>
    </row>
    <row r="15" spans="1:5" x14ac:dyDescent="0.25">
      <c r="A15" s="1">
        <v>43951</v>
      </c>
      <c r="B15" s="2">
        <v>2912.43</v>
      </c>
      <c r="C15" s="3">
        <f t="shared" si="0"/>
        <v>-9.2124197570344641E-3</v>
      </c>
      <c r="D15" s="4">
        <f t="shared" si="1"/>
        <v>2885.3549999999996</v>
      </c>
      <c r="E15" s="2">
        <f t="shared" si="2"/>
        <v>37.885660941839262</v>
      </c>
    </row>
    <row r="16" spans="1:5" x14ac:dyDescent="0.25">
      <c r="A16" s="1">
        <v>43952</v>
      </c>
      <c r="B16" s="2">
        <v>2830.71</v>
      </c>
      <c r="C16" s="3">
        <f t="shared" si="0"/>
        <v>-2.8059043479156512E-2</v>
      </c>
      <c r="D16" s="4">
        <f t="shared" si="1"/>
        <v>2873.4039999999995</v>
      </c>
      <c r="E16" s="2">
        <f t="shared" si="2"/>
        <v>37.767024028906519</v>
      </c>
    </row>
    <row r="17" spans="1:5" x14ac:dyDescent="0.25">
      <c r="A17" s="1">
        <v>43955</v>
      </c>
      <c r="B17" s="2">
        <v>2842.74</v>
      </c>
      <c r="C17" s="3">
        <f t="shared" si="0"/>
        <v>4.2498171836746774E-3</v>
      </c>
      <c r="D17" s="4">
        <f t="shared" si="1"/>
        <v>2867.4109999999996</v>
      </c>
      <c r="E17" s="2">
        <f t="shared" si="2"/>
        <v>35.802610365726174</v>
      </c>
    </row>
    <row r="18" spans="1:5" x14ac:dyDescent="0.25">
      <c r="A18" s="1">
        <v>43956</v>
      </c>
      <c r="B18" s="2">
        <v>2868.44</v>
      </c>
      <c r="C18" s="3">
        <f t="shared" si="0"/>
        <v>9.0405735311707286E-3</v>
      </c>
      <c r="D18" s="4">
        <f t="shared" si="1"/>
        <v>2870.71</v>
      </c>
      <c r="E18" s="2">
        <f t="shared" si="2"/>
        <v>33.728686900026275</v>
      </c>
    </row>
    <row r="19" spans="1:5" x14ac:dyDescent="0.25">
      <c r="A19" s="1">
        <v>43957</v>
      </c>
      <c r="B19" s="2">
        <v>2848.42</v>
      </c>
      <c r="C19" s="3">
        <f t="shared" si="0"/>
        <v>-6.9794034388029665E-3</v>
      </c>
      <c r="D19" s="4">
        <f t="shared" si="1"/>
        <v>2881.8270000000002</v>
      </c>
      <c r="E19" s="2">
        <f t="shared" si="2"/>
        <v>40.34883568332549</v>
      </c>
    </row>
    <row r="20" spans="1:5" x14ac:dyDescent="0.25">
      <c r="A20" s="1">
        <v>43958</v>
      </c>
      <c r="B20" s="2">
        <v>2881.19</v>
      </c>
      <c r="C20" s="3">
        <f t="shared" si="0"/>
        <v>1.1504623615899334E-2</v>
      </c>
      <c r="D20" s="4">
        <f t="shared" si="1"/>
        <v>2887.277</v>
      </c>
      <c r="E20" s="2">
        <f t="shared" si="2"/>
        <v>41.826220735323446</v>
      </c>
    </row>
    <row r="21" spans="1:5" x14ac:dyDescent="0.25">
      <c r="A21" s="1">
        <v>43959</v>
      </c>
      <c r="B21" s="2">
        <v>2929.8</v>
      </c>
      <c r="C21" s="3">
        <f t="shared" si="0"/>
        <v>1.6871501011734777E-2</v>
      </c>
      <c r="D21" s="4">
        <f t="shared" si="1"/>
        <v>2899.596</v>
      </c>
      <c r="E21" s="2">
        <f t="shared" si="2"/>
        <v>46.453135782205315</v>
      </c>
    </row>
    <row r="22" spans="1:5" x14ac:dyDescent="0.25">
      <c r="A22" s="1">
        <v>43962</v>
      </c>
      <c r="B22" s="2">
        <v>2930.19</v>
      </c>
      <c r="C22" s="3">
        <f t="shared" si="0"/>
        <v>1.3311488838824243E-4</v>
      </c>
      <c r="D22" s="4">
        <f t="shared" si="1"/>
        <v>2906.328</v>
      </c>
      <c r="E22" s="2">
        <f t="shared" si="2"/>
        <v>48.145133253528392</v>
      </c>
    </row>
    <row r="23" spans="1:5" x14ac:dyDescent="0.25">
      <c r="A23" s="1">
        <v>43963</v>
      </c>
      <c r="B23" s="2">
        <v>2870.12</v>
      </c>
      <c r="C23" s="3">
        <f t="shared" si="0"/>
        <v>-2.0500377108651713E-2</v>
      </c>
      <c r="D23" s="4">
        <f t="shared" si="1"/>
        <v>2908.8929999999996</v>
      </c>
      <c r="E23" s="2">
        <f t="shared" si="2"/>
        <v>49.975776542240972</v>
      </c>
    </row>
    <row r="24" spans="1:5" x14ac:dyDescent="0.25">
      <c r="A24" s="1">
        <v>43964</v>
      </c>
      <c r="B24" s="2">
        <v>2820</v>
      </c>
      <c r="C24" s="3">
        <f t="shared" si="0"/>
        <v>-1.7462684487059735E-2</v>
      </c>
      <c r="D24" s="4">
        <f t="shared" si="1"/>
        <v>2915.0510000000004</v>
      </c>
      <c r="E24" s="2">
        <f t="shared" si="2"/>
        <v>55.688066666028213</v>
      </c>
    </row>
    <row r="25" spans="1:5" x14ac:dyDescent="0.25">
      <c r="A25" s="1">
        <v>43965</v>
      </c>
      <c r="B25" s="2">
        <v>2852.5</v>
      </c>
      <c r="C25" s="3">
        <f t="shared" si="0"/>
        <v>1.152482269503546E-2</v>
      </c>
      <c r="D25" s="4">
        <f t="shared" si="1"/>
        <v>2931.652</v>
      </c>
      <c r="E25" s="2">
        <f t="shared" si="2"/>
        <v>63.950766344118236</v>
      </c>
    </row>
    <row r="26" spans="1:5" x14ac:dyDescent="0.25">
      <c r="A26" s="1">
        <v>43966</v>
      </c>
      <c r="B26" s="2">
        <v>2863.7</v>
      </c>
      <c r="C26" s="3">
        <f t="shared" si="0"/>
        <v>3.9263803680980956E-3</v>
      </c>
      <c r="D26" s="4">
        <f t="shared" si="1"/>
        <v>2952.6250000000005</v>
      </c>
      <c r="E26" s="2">
        <f t="shared" si="2"/>
        <v>58.009880925580298</v>
      </c>
    </row>
    <row r="27" spans="1:5" x14ac:dyDescent="0.25">
      <c r="A27" s="1">
        <v>43969</v>
      </c>
      <c r="B27" s="2">
        <v>2953.91</v>
      </c>
      <c r="C27" s="3">
        <f t="shared" si="0"/>
        <v>3.1501204735132883E-2</v>
      </c>
      <c r="D27" s="4">
        <f t="shared" si="1"/>
        <v>2971.806</v>
      </c>
      <c r="E27" s="2">
        <f t="shared" si="2"/>
        <v>53.247984788158924</v>
      </c>
    </row>
    <row r="28" spans="1:5" x14ac:dyDescent="0.25">
      <c r="A28" s="1">
        <v>43970</v>
      </c>
      <c r="B28" s="2">
        <v>2922.94</v>
      </c>
      <c r="C28" s="3">
        <f t="shared" si="0"/>
        <v>-1.0484408800538879E-2</v>
      </c>
      <c r="D28" s="4">
        <f t="shared" si="1"/>
        <v>2991.0090000000005</v>
      </c>
      <c r="E28" s="2">
        <f t="shared" si="2"/>
        <v>44.746237037319688</v>
      </c>
    </row>
    <row r="29" spans="1:5" x14ac:dyDescent="0.25">
      <c r="A29" s="1">
        <v>43971</v>
      </c>
      <c r="B29" s="2">
        <v>2971.61</v>
      </c>
      <c r="C29" s="3">
        <f t="shared" si="0"/>
        <v>1.6651043127809694E-2</v>
      </c>
      <c r="D29" s="4">
        <f t="shared" si="1"/>
        <v>3003.7000000000003</v>
      </c>
      <c r="E29" s="2">
        <f t="shared" si="2"/>
        <v>50.101219945226887</v>
      </c>
    </row>
    <row r="30" spans="1:5" x14ac:dyDescent="0.25">
      <c r="A30" s="1">
        <v>43972</v>
      </c>
      <c r="B30" s="2">
        <v>2948.51</v>
      </c>
      <c r="C30" s="3">
        <f t="shared" si="0"/>
        <v>-7.7735638256702282E-3</v>
      </c>
      <c r="D30" s="4">
        <f t="shared" si="1"/>
        <v>3023.6930000000002</v>
      </c>
      <c r="E30" s="2">
        <f t="shared" si="2"/>
        <v>53.650194044383454</v>
      </c>
    </row>
    <row r="31" spans="1:5" x14ac:dyDescent="0.25">
      <c r="A31" s="1">
        <v>43973</v>
      </c>
      <c r="B31" s="2">
        <v>2955.45</v>
      </c>
      <c r="C31" s="3">
        <f t="shared" si="0"/>
        <v>2.3537312066093043E-3</v>
      </c>
      <c r="D31" s="4">
        <f t="shared" si="1"/>
        <v>3037.7669999999998</v>
      </c>
      <c r="E31" s="2">
        <f t="shared" si="2"/>
        <v>56.524404649673201</v>
      </c>
    </row>
    <row r="32" spans="1:5" x14ac:dyDescent="0.25">
      <c r="A32" s="1">
        <v>43977</v>
      </c>
      <c r="B32" s="2">
        <v>2991.77</v>
      </c>
      <c r="C32" s="3">
        <f t="shared" si="0"/>
        <v>1.2289160703107874E-2</v>
      </c>
      <c r="D32" s="4">
        <f t="shared" si="1"/>
        <v>3062.3089999999997</v>
      </c>
      <c r="E32" s="2">
        <f t="shared" si="2"/>
        <v>65.074615703821081</v>
      </c>
    </row>
    <row r="33" spans="1:5" x14ac:dyDescent="0.25">
      <c r="A33" s="1">
        <v>43978</v>
      </c>
      <c r="B33" s="2">
        <v>3036.13</v>
      </c>
      <c r="C33" s="3">
        <f t="shared" si="0"/>
        <v>1.4827343010993534E-2</v>
      </c>
      <c r="D33" s="4">
        <f t="shared" si="1"/>
        <v>3090.0029999999997</v>
      </c>
      <c r="E33" s="2">
        <f t="shared" si="2"/>
        <v>72.240003052325463</v>
      </c>
    </row>
    <row r="34" spans="1:5" x14ac:dyDescent="0.25">
      <c r="A34" s="1">
        <v>43979</v>
      </c>
      <c r="B34" s="2">
        <v>3029.73</v>
      </c>
      <c r="C34" s="3">
        <f t="shared" si="0"/>
        <v>-2.1079466294263061E-3</v>
      </c>
      <c r="D34" s="4">
        <f t="shared" si="1"/>
        <v>3111.5439999999999</v>
      </c>
      <c r="E34" s="2">
        <f t="shared" si="2"/>
        <v>71.851764515563488</v>
      </c>
    </row>
    <row r="35" spans="1:5" x14ac:dyDescent="0.25">
      <c r="A35" s="1">
        <v>43980</v>
      </c>
      <c r="B35" s="2">
        <v>3044.31</v>
      </c>
      <c r="C35" s="3">
        <f t="shared" si="0"/>
        <v>4.8123100078224556E-3</v>
      </c>
      <c r="D35" s="4">
        <f t="shared" si="1"/>
        <v>3126.9449999999997</v>
      </c>
      <c r="E35" s="2">
        <f t="shared" si="2"/>
        <v>70.530073337548643</v>
      </c>
    </row>
    <row r="36" spans="1:5" x14ac:dyDescent="0.25">
      <c r="A36" s="1">
        <v>43983</v>
      </c>
      <c r="B36" s="2">
        <v>3055.73</v>
      </c>
      <c r="C36" s="3">
        <f t="shared" si="0"/>
        <v>3.7512605483673057E-3</v>
      </c>
      <c r="D36" s="4">
        <f t="shared" si="1"/>
        <v>3124.1819999999998</v>
      </c>
      <c r="E36" s="2">
        <f t="shared" si="2"/>
        <v>74.702134213153457</v>
      </c>
    </row>
    <row r="37" spans="1:5" x14ac:dyDescent="0.25">
      <c r="A37" s="1">
        <v>43984</v>
      </c>
      <c r="B37" s="2">
        <v>3080.82</v>
      </c>
      <c r="C37" s="3">
        <f t="shared" si="0"/>
        <v>8.210803965010045E-3</v>
      </c>
      <c r="D37" s="4">
        <f t="shared" si="1"/>
        <v>3123.8820000000001</v>
      </c>
      <c r="E37" s="2">
        <f t="shared" si="2"/>
        <v>75.027608625092086</v>
      </c>
    </row>
    <row r="38" spans="1:5" x14ac:dyDescent="0.25">
      <c r="A38" s="1">
        <v>43985</v>
      </c>
      <c r="B38" s="2">
        <v>3122.87</v>
      </c>
      <c r="C38" s="3">
        <f t="shared" si="0"/>
        <v>1.3648963587616195E-2</v>
      </c>
      <c r="D38" s="4">
        <f t="shared" si="1"/>
        <v>3124.9679999999998</v>
      </c>
      <c r="E38" s="2">
        <f t="shared" si="2"/>
        <v>74.106210778854361</v>
      </c>
    </row>
    <row r="39" spans="1:5" x14ac:dyDescent="0.25">
      <c r="A39" s="1">
        <v>43986</v>
      </c>
      <c r="B39" s="2">
        <v>3112.35</v>
      </c>
      <c r="C39" s="3">
        <f t="shared" si="0"/>
        <v>-3.368696103263979E-3</v>
      </c>
      <c r="D39" s="4">
        <f t="shared" si="1"/>
        <v>3129.3599999999997</v>
      </c>
      <c r="E39" s="2">
        <f t="shared" si="2"/>
        <v>72.646688981673449</v>
      </c>
    </row>
    <row r="40" spans="1:5" x14ac:dyDescent="0.25">
      <c r="A40" s="1">
        <v>43987</v>
      </c>
      <c r="B40" s="2">
        <v>3193.93</v>
      </c>
      <c r="C40" s="3">
        <f t="shared" si="0"/>
        <v>2.6211704981766167E-2</v>
      </c>
      <c r="D40" s="4">
        <f t="shared" si="1"/>
        <v>3128.422</v>
      </c>
      <c r="E40" s="2">
        <f t="shared" si="2"/>
        <v>72.784855952320143</v>
      </c>
    </row>
    <row r="41" spans="1:5" x14ac:dyDescent="0.25">
      <c r="A41" s="1">
        <v>43990</v>
      </c>
      <c r="B41" s="2">
        <v>3232.39</v>
      </c>
      <c r="C41" s="3">
        <f t="shared" si="0"/>
        <v>1.2041591393674889E-2</v>
      </c>
      <c r="D41" s="4">
        <f t="shared" si="1"/>
        <v>3128.7209999999995</v>
      </c>
      <c r="E41" s="2">
        <f t="shared" si="2"/>
        <v>72.724334366152803</v>
      </c>
    </row>
    <row r="42" spans="1:5" x14ac:dyDescent="0.25">
      <c r="A42" s="1">
        <v>43991</v>
      </c>
      <c r="B42" s="2">
        <v>3207.18</v>
      </c>
      <c r="C42" s="3">
        <f t="shared" si="0"/>
        <v>-7.7991826481334358E-3</v>
      </c>
      <c r="D42" s="4">
        <f t="shared" si="1"/>
        <v>3119.1019999999999</v>
      </c>
      <c r="E42" s="2">
        <f t="shared" si="2"/>
        <v>69.764349893050635</v>
      </c>
    </row>
    <row r="43" spans="1:5" x14ac:dyDescent="0.25">
      <c r="A43" s="1">
        <v>43992</v>
      </c>
      <c r="B43" s="2">
        <v>3190.14</v>
      </c>
      <c r="C43" s="3">
        <f t="shared" si="0"/>
        <v>-5.3130787794885117E-3</v>
      </c>
      <c r="D43" s="4">
        <f t="shared" si="1"/>
        <v>3107.6489999999999</v>
      </c>
      <c r="E43" s="2">
        <f t="shared" si="2"/>
        <v>58.759088394902768</v>
      </c>
    </row>
    <row r="44" spans="1:5" x14ac:dyDescent="0.25">
      <c r="A44" s="1">
        <v>43993</v>
      </c>
      <c r="B44" s="2">
        <v>3002.1</v>
      </c>
      <c r="C44" s="3">
        <f t="shared" si="0"/>
        <v>-5.8944121574601729E-2</v>
      </c>
      <c r="D44" s="4">
        <f t="shared" si="1"/>
        <v>3100.06</v>
      </c>
      <c r="E44" s="2">
        <f t="shared" si="2"/>
        <v>49.601262483932786</v>
      </c>
    </row>
    <row r="45" spans="1:5" x14ac:dyDescent="0.25">
      <c r="A45" s="1">
        <v>43994</v>
      </c>
      <c r="B45" s="2">
        <v>3041.31</v>
      </c>
      <c r="C45" s="3">
        <f t="shared" si="0"/>
        <v>1.3060857399820139E-2</v>
      </c>
      <c r="D45" s="4">
        <f t="shared" si="1"/>
        <v>3086.0790000000002</v>
      </c>
      <c r="E45" s="2">
        <f t="shared" si="2"/>
        <v>41.239344429803921</v>
      </c>
    </row>
    <row r="46" spans="1:5" x14ac:dyDescent="0.25">
      <c r="A46" s="1">
        <v>43997</v>
      </c>
      <c r="B46" s="2">
        <v>3066.59</v>
      </c>
      <c r="C46" s="3">
        <f t="shared" si="0"/>
        <v>8.312207568449189E-3</v>
      </c>
      <c r="D46" s="4">
        <f t="shared" si="1"/>
        <v>3094.2450000000003</v>
      </c>
      <c r="E46" s="2">
        <f t="shared" si="2"/>
        <v>30.484266515696234</v>
      </c>
    </row>
    <row r="47" spans="1:5" x14ac:dyDescent="0.25">
      <c r="A47" s="1">
        <v>43998</v>
      </c>
      <c r="B47" s="2">
        <v>3124.74</v>
      </c>
      <c r="C47" s="3">
        <f t="shared" si="0"/>
        <v>1.8962430582503572E-2</v>
      </c>
      <c r="D47" s="4">
        <f t="shared" si="1"/>
        <v>3091.0189999999998</v>
      </c>
      <c r="E47" s="2">
        <f t="shared" si="2"/>
        <v>36.939014726979316</v>
      </c>
    </row>
    <row r="48" spans="1:5" x14ac:dyDescent="0.25">
      <c r="A48" s="1">
        <v>43999</v>
      </c>
      <c r="B48" s="2">
        <v>3113.49</v>
      </c>
      <c r="C48" s="3">
        <f t="shared" si="0"/>
        <v>-3.6002995449221377E-3</v>
      </c>
      <c r="D48" s="4">
        <f t="shared" si="1"/>
        <v>3089.6840000000002</v>
      </c>
      <c r="E48" s="2">
        <f t="shared" si="2"/>
        <v>38.023101714615514</v>
      </c>
    </row>
    <row r="49" spans="1:5" x14ac:dyDescent="0.25">
      <c r="A49" s="1">
        <v>44000</v>
      </c>
      <c r="B49" s="2">
        <v>3115.34</v>
      </c>
      <c r="C49" s="3">
        <f t="shared" si="0"/>
        <v>5.9418851513907674E-4</v>
      </c>
      <c r="D49" s="4">
        <f t="shared" si="1"/>
        <v>3087.2390000000005</v>
      </c>
      <c r="E49" s="2">
        <f t="shared" si="2"/>
        <v>36.443581725730503</v>
      </c>
    </row>
    <row r="50" spans="1:5" x14ac:dyDescent="0.25">
      <c r="A50" s="1">
        <v>44001</v>
      </c>
      <c r="B50" s="2">
        <v>3097.74</v>
      </c>
      <c r="C50" s="3">
        <f t="shared" si="0"/>
        <v>-5.6494636219482823E-3</v>
      </c>
      <c r="D50" s="4">
        <f t="shared" si="1"/>
        <v>3087.4760000000001</v>
      </c>
      <c r="E50" s="2">
        <f t="shared" si="2"/>
        <v>36.620802066585057</v>
      </c>
    </row>
    <row r="51" spans="1:5" x14ac:dyDescent="0.25">
      <c r="A51" s="1">
        <v>44004</v>
      </c>
      <c r="B51" s="2">
        <v>3117.86</v>
      </c>
      <c r="C51" s="3">
        <f t="shared" si="0"/>
        <v>6.4950576872172443E-3</v>
      </c>
      <c r="D51" s="4">
        <f t="shared" si="1"/>
        <v>3088.9430000000002</v>
      </c>
      <c r="E51" s="2">
        <f t="shared" si="2"/>
        <v>37.976373194395499</v>
      </c>
    </row>
    <row r="52" spans="1:5" x14ac:dyDescent="0.25">
      <c r="A52" s="1">
        <v>44005</v>
      </c>
      <c r="B52" s="2">
        <v>3131.29</v>
      </c>
      <c r="C52" s="3">
        <f t="shared" si="0"/>
        <v>4.307441642665109E-3</v>
      </c>
      <c r="D52" s="4">
        <f t="shared" si="1"/>
        <v>3097.1410000000005</v>
      </c>
      <c r="E52" s="2">
        <f t="shared" si="2"/>
        <v>46.81138076365616</v>
      </c>
    </row>
    <row r="53" spans="1:5" x14ac:dyDescent="0.25">
      <c r="A53" s="1">
        <v>44006</v>
      </c>
      <c r="B53" s="2">
        <v>3050.33</v>
      </c>
      <c r="C53" s="3">
        <f t="shared" si="0"/>
        <v>-2.5855158736495194E-2</v>
      </c>
      <c r="D53" s="4">
        <f t="shared" si="1"/>
        <v>3099.8870000000002</v>
      </c>
      <c r="E53" s="2">
        <f t="shared" si="2"/>
        <v>48.713024551961446</v>
      </c>
    </row>
    <row r="54" spans="1:5" x14ac:dyDescent="0.25">
      <c r="A54" s="1">
        <v>44007</v>
      </c>
      <c r="B54" s="2">
        <v>3083.76</v>
      </c>
      <c r="C54" s="3">
        <f t="shared" si="0"/>
        <v>1.095946995898814E-2</v>
      </c>
      <c r="D54" s="4">
        <f t="shared" si="1"/>
        <v>3103.752</v>
      </c>
      <c r="E54" s="2">
        <f t="shared" si="2"/>
        <v>52.441853285329259</v>
      </c>
    </row>
    <row r="55" spans="1:5" x14ac:dyDescent="0.25">
      <c r="A55" s="1">
        <v>44008</v>
      </c>
      <c r="B55" s="2">
        <v>3009.05</v>
      </c>
      <c r="C55" s="3">
        <f t="shared" si="0"/>
        <v>-2.4226917788673578E-2</v>
      </c>
      <c r="D55" s="4">
        <f t="shared" si="1"/>
        <v>3113.924</v>
      </c>
      <c r="E55" s="2">
        <f t="shared" si="2"/>
        <v>50.936794795118381</v>
      </c>
    </row>
    <row r="56" spans="1:5" x14ac:dyDescent="0.25">
      <c r="A56" s="1">
        <v>44011</v>
      </c>
      <c r="B56" s="2">
        <v>3053.24</v>
      </c>
      <c r="C56" s="3">
        <f t="shared" si="0"/>
        <v>1.4685698143932337E-2</v>
      </c>
      <c r="D56" s="4">
        <f t="shared" si="1"/>
        <v>3124.0520000000001</v>
      </c>
      <c r="E56" s="2">
        <f t="shared" si="2"/>
        <v>53.914214600604161</v>
      </c>
    </row>
    <row r="57" spans="1:5" x14ac:dyDescent="0.25">
      <c r="A57" s="1">
        <v>44012</v>
      </c>
      <c r="B57" s="2">
        <v>3100.29</v>
      </c>
      <c r="C57" s="3">
        <f t="shared" si="0"/>
        <v>1.5409859690034253E-2</v>
      </c>
      <c r="D57" s="4">
        <f t="shared" si="1"/>
        <v>3138.6689999999999</v>
      </c>
      <c r="E57" s="2">
        <f t="shared" si="2"/>
        <v>38.310367643759328</v>
      </c>
    </row>
    <row r="58" spans="1:5" x14ac:dyDescent="0.25">
      <c r="A58" s="1">
        <v>44013</v>
      </c>
      <c r="B58" s="2">
        <v>3115.86</v>
      </c>
      <c r="C58" s="3">
        <f t="shared" si="0"/>
        <v>5.0221108347929273E-3</v>
      </c>
      <c r="D58" s="4">
        <f t="shared" si="1"/>
        <v>3153.0970000000002</v>
      </c>
      <c r="E58" s="2">
        <f t="shared" si="2"/>
        <v>29.598136782574624</v>
      </c>
    </row>
    <row r="59" spans="1:5" x14ac:dyDescent="0.25">
      <c r="A59" s="1">
        <v>44014</v>
      </c>
      <c r="B59" s="2">
        <v>3130.01</v>
      </c>
      <c r="C59" s="3">
        <f t="shared" si="0"/>
        <v>4.541282342595653E-3</v>
      </c>
      <c r="D59" s="4">
        <f t="shared" si="1"/>
        <v>3165.7240000000006</v>
      </c>
      <c r="E59" s="2">
        <f t="shared" si="2"/>
        <v>31.263907049503505</v>
      </c>
    </row>
    <row r="60" spans="1:5" x14ac:dyDescent="0.25">
      <c r="A60" s="1">
        <v>44018</v>
      </c>
      <c r="B60" s="2">
        <v>3179.72</v>
      </c>
      <c r="C60" s="3">
        <f t="shared" si="0"/>
        <v>1.5881738397001792E-2</v>
      </c>
      <c r="D60" s="4">
        <f t="shared" si="1"/>
        <v>3175.6950000000006</v>
      </c>
      <c r="E60" s="2">
        <f t="shared" si="2"/>
        <v>29.628222440774223</v>
      </c>
    </row>
    <row r="61" spans="1:5" x14ac:dyDescent="0.25">
      <c r="A61" s="1">
        <v>44019</v>
      </c>
      <c r="B61" s="2">
        <v>3145.32</v>
      </c>
      <c r="C61" s="3">
        <f t="shared" si="0"/>
        <v>-1.0818562640735548E-2</v>
      </c>
      <c r="D61" s="4">
        <f t="shared" si="1"/>
        <v>3185.1670000000004</v>
      </c>
      <c r="E61" s="2">
        <f t="shared" si="2"/>
        <v>28.632917787050612</v>
      </c>
    </row>
    <row r="62" spans="1:5" x14ac:dyDescent="0.25">
      <c r="A62" s="1">
        <v>44020</v>
      </c>
      <c r="B62" s="2">
        <v>3169.94</v>
      </c>
      <c r="C62" s="3">
        <f t="shared" si="0"/>
        <v>7.8275024480815598E-3</v>
      </c>
      <c r="D62" s="4">
        <f t="shared" si="1"/>
        <v>3192.3789999999999</v>
      </c>
      <c r="E62" s="2">
        <f t="shared" si="2"/>
        <v>34.776327422544213</v>
      </c>
    </row>
    <row r="63" spans="1:5" x14ac:dyDescent="0.25">
      <c r="A63" s="1">
        <v>44021</v>
      </c>
      <c r="B63" s="2">
        <v>3152.05</v>
      </c>
      <c r="C63" s="3">
        <f t="shared" si="0"/>
        <v>-5.6436399427118094E-3</v>
      </c>
      <c r="D63" s="4">
        <f t="shared" si="1"/>
        <v>3203.5769999999998</v>
      </c>
      <c r="E63" s="2">
        <f t="shared" si="2"/>
        <v>35.83317486631632</v>
      </c>
    </row>
    <row r="64" spans="1:5" x14ac:dyDescent="0.25">
      <c r="A64" s="1">
        <v>44022</v>
      </c>
      <c r="B64" s="2">
        <v>3185.04</v>
      </c>
      <c r="C64" s="3">
        <f t="shared" si="0"/>
        <v>1.0466204533557457E-2</v>
      </c>
      <c r="D64" s="4">
        <f t="shared" si="1"/>
        <v>3214.1849999999999</v>
      </c>
      <c r="E64" s="2">
        <f t="shared" si="2"/>
        <v>39.788701976817521</v>
      </c>
    </row>
    <row r="65" spans="1:5" x14ac:dyDescent="0.25">
      <c r="A65" s="1">
        <v>44025</v>
      </c>
      <c r="B65" s="2">
        <v>3155.22</v>
      </c>
      <c r="C65" s="3">
        <f t="shared" si="0"/>
        <v>-9.362519779971417E-3</v>
      </c>
      <c r="D65" s="4">
        <f t="shared" si="1"/>
        <v>3222.5459999999998</v>
      </c>
      <c r="E65" s="2">
        <f t="shared" si="2"/>
        <v>34.253119916293819</v>
      </c>
    </row>
    <row r="66" spans="1:5" x14ac:dyDescent="0.25">
      <c r="A66" s="1">
        <v>44026</v>
      </c>
      <c r="B66" s="2">
        <v>3197.52</v>
      </c>
      <c r="C66" s="3">
        <f t="shared" si="0"/>
        <v>1.3406355182839924E-2</v>
      </c>
      <c r="D66" s="4">
        <f t="shared" si="1"/>
        <v>3225.605</v>
      </c>
      <c r="E66" s="2">
        <f t="shared" si="2"/>
        <v>32.062935689047627</v>
      </c>
    </row>
    <row r="67" spans="1:5" x14ac:dyDescent="0.25">
      <c r="A67" s="1">
        <v>44027</v>
      </c>
      <c r="B67" s="2">
        <v>3226.56</v>
      </c>
      <c r="C67" s="3">
        <f t="shared" ref="C67:C130" si="3">(B67-B66)/B66</f>
        <v>9.0820385798994104E-3</v>
      </c>
      <c r="D67" s="4">
        <f t="shared" ref="D67:D130" si="4">AVERAGE(B66:B75)</f>
        <v>3234.0240000000003</v>
      </c>
      <c r="E67" s="2">
        <f t="shared" ref="E67:E130" si="5">_xlfn.STDEV.P(B66:B75)</f>
        <v>21.927272151364388</v>
      </c>
    </row>
    <row r="68" spans="1:5" x14ac:dyDescent="0.25">
      <c r="A68" s="1">
        <v>44028</v>
      </c>
      <c r="B68" s="2">
        <v>3215.57</v>
      </c>
      <c r="C68" s="3">
        <f t="shared" si="3"/>
        <v>-3.4061043340275036E-3</v>
      </c>
      <c r="D68" s="4">
        <f t="shared" si="4"/>
        <v>3236.116</v>
      </c>
      <c r="E68" s="2">
        <f t="shared" si="5"/>
        <v>19.169264565966003</v>
      </c>
    </row>
    <row r="69" spans="1:5" x14ac:dyDescent="0.25">
      <c r="A69" s="1">
        <v>44029</v>
      </c>
      <c r="B69" s="2">
        <v>3224.73</v>
      </c>
      <c r="C69" s="3">
        <f t="shared" si="3"/>
        <v>2.8486395880045695E-3</v>
      </c>
      <c r="D69" s="4">
        <f t="shared" si="4"/>
        <v>3239.3039999999996</v>
      </c>
      <c r="E69" s="2">
        <f t="shared" si="5"/>
        <v>19.949981052622572</v>
      </c>
    </row>
    <row r="70" spans="1:5" x14ac:dyDescent="0.25">
      <c r="A70" s="1">
        <v>44032</v>
      </c>
      <c r="B70" s="2">
        <v>3251.84</v>
      </c>
      <c r="C70" s="3">
        <f t="shared" si="3"/>
        <v>8.4069053843267901E-3</v>
      </c>
      <c r="D70" s="4">
        <f t="shared" si="4"/>
        <v>3242.3689999999997</v>
      </c>
      <c r="E70" s="2">
        <f t="shared" si="5"/>
        <v>18.359203386857505</v>
      </c>
    </row>
    <row r="71" spans="1:5" x14ac:dyDescent="0.25">
      <c r="A71" s="1">
        <v>44033</v>
      </c>
      <c r="B71" s="2">
        <v>3257.3</v>
      </c>
      <c r="C71" s="3">
        <f t="shared" si="3"/>
        <v>1.6790493997244748E-3</v>
      </c>
      <c r="D71" s="4">
        <f t="shared" si="4"/>
        <v>3247.0079999999998</v>
      </c>
      <c r="E71" s="2">
        <f t="shared" si="5"/>
        <v>19.159556257909514</v>
      </c>
    </row>
    <row r="72" spans="1:5" x14ac:dyDescent="0.25">
      <c r="A72" s="1">
        <v>44034</v>
      </c>
      <c r="B72" s="2">
        <v>3276.02</v>
      </c>
      <c r="C72" s="3">
        <f t="shared" si="3"/>
        <v>5.7470911491111654E-3</v>
      </c>
      <c r="D72" s="4">
        <f t="shared" si="4"/>
        <v>3251.2849999999999</v>
      </c>
      <c r="E72" s="2">
        <f t="shared" si="5"/>
        <v>23.938589870750548</v>
      </c>
    </row>
    <row r="73" spans="1:5" x14ac:dyDescent="0.25">
      <c r="A73" s="1">
        <v>44035</v>
      </c>
      <c r="B73" s="2">
        <v>3235.66</v>
      </c>
      <c r="C73" s="3">
        <f t="shared" si="3"/>
        <v>-1.2319827107282657E-2</v>
      </c>
      <c r="D73" s="4">
        <f t="shared" si="4"/>
        <v>3256.2060000000006</v>
      </c>
      <c r="E73" s="2">
        <f t="shared" si="5"/>
        <v>29.158221550705093</v>
      </c>
    </row>
    <row r="74" spans="1:5" x14ac:dyDescent="0.25">
      <c r="A74" s="1">
        <v>44036</v>
      </c>
      <c r="B74" s="2">
        <v>3215.63</v>
      </c>
      <c r="C74" s="3">
        <f t="shared" si="3"/>
        <v>-6.1903908321639936E-3</v>
      </c>
      <c r="D74" s="4">
        <f t="shared" si="4"/>
        <v>3261.3810000000003</v>
      </c>
      <c r="E74" s="2">
        <f t="shared" si="5"/>
        <v>36.004199880014035</v>
      </c>
    </row>
    <row r="75" spans="1:5" x14ac:dyDescent="0.25">
      <c r="A75" s="1">
        <v>44039</v>
      </c>
      <c r="B75" s="2">
        <v>3239.41</v>
      </c>
      <c r="C75" s="3">
        <f t="shared" si="3"/>
        <v>7.3951294147646786E-3</v>
      </c>
      <c r="D75" s="4">
        <f t="shared" si="4"/>
        <v>3272.7309999999998</v>
      </c>
      <c r="E75" s="2">
        <f t="shared" si="5"/>
        <v>43.264745567262956</v>
      </c>
    </row>
    <row r="76" spans="1:5" x14ac:dyDescent="0.25">
      <c r="A76" s="1">
        <v>44040</v>
      </c>
      <c r="B76" s="2">
        <v>3218.44</v>
      </c>
      <c r="C76" s="3">
        <f t="shared" si="3"/>
        <v>-6.4734010205561507E-3</v>
      </c>
      <c r="D76" s="4">
        <f t="shared" si="4"/>
        <v>3286.2959999999998</v>
      </c>
      <c r="E76" s="2">
        <f t="shared" si="5"/>
        <v>44.483380087398977</v>
      </c>
    </row>
    <row r="77" spans="1:5" x14ac:dyDescent="0.25">
      <c r="A77" s="1">
        <v>44041</v>
      </c>
      <c r="B77" s="2">
        <v>3258.44</v>
      </c>
      <c r="C77" s="3">
        <f t="shared" si="3"/>
        <v>1.2428381451883521E-2</v>
      </c>
      <c r="D77" s="4">
        <f t="shared" si="4"/>
        <v>3298.4020000000005</v>
      </c>
      <c r="E77" s="2">
        <f t="shared" si="5"/>
        <v>46.503380479272678</v>
      </c>
    </row>
    <row r="78" spans="1:5" x14ac:dyDescent="0.25">
      <c r="A78" s="1">
        <v>44042</v>
      </c>
      <c r="B78" s="2">
        <v>3246.22</v>
      </c>
      <c r="C78" s="3">
        <f t="shared" si="3"/>
        <v>-3.7502608610255994E-3</v>
      </c>
      <c r="D78" s="4">
        <f t="shared" si="4"/>
        <v>3309.9269999999997</v>
      </c>
      <c r="E78" s="2">
        <f t="shared" si="5"/>
        <v>38.921342744052403</v>
      </c>
    </row>
    <row r="79" spans="1:5" x14ac:dyDescent="0.25">
      <c r="A79" s="1">
        <v>44043</v>
      </c>
      <c r="B79" s="2">
        <v>3271.12</v>
      </c>
      <c r="C79" s="3">
        <f t="shared" si="3"/>
        <v>7.6704597963169752E-3</v>
      </c>
      <c r="D79" s="4">
        <f t="shared" si="4"/>
        <v>3322.1179999999999</v>
      </c>
      <c r="E79" s="2">
        <f t="shared" si="5"/>
        <v>39.963723750421465</v>
      </c>
    </row>
    <row r="80" spans="1:5" x14ac:dyDescent="0.25">
      <c r="A80" s="1">
        <v>44046</v>
      </c>
      <c r="B80" s="2">
        <v>3294.61</v>
      </c>
      <c r="C80" s="3">
        <f t="shared" si="3"/>
        <v>7.1810266819927844E-3</v>
      </c>
      <c r="D80" s="4">
        <f t="shared" si="4"/>
        <v>3334.838999999999</v>
      </c>
      <c r="E80" s="2">
        <f t="shared" si="5"/>
        <v>33.50398288263645</v>
      </c>
    </row>
    <row r="81" spans="1:5" x14ac:dyDescent="0.25">
      <c r="A81" s="1">
        <v>44047</v>
      </c>
      <c r="B81" s="2">
        <v>3306.51</v>
      </c>
      <c r="C81" s="3">
        <f t="shared" si="3"/>
        <v>3.6119601409575308E-3</v>
      </c>
      <c r="D81" s="4">
        <f t="shared" si="4"/>
        <v>3345.0120000000002</v>
      </c>
      <c r="E81" s="2">
        <f t="shared" si="5"/>
        <v>27.522708006298988</v>
      </c>
    </row>
    <row r="82" spans="1:5" x14ac:dyDescent="0.25">
      <c r="A82" s="1">
        <v>44048</v>
      </c>
      <c r="B82" s="2">
        <v>3327.77</v>
      </c>
      <c r="C82" s="3">
        <f t="shared" si="3"/>
        <v>6.4297401187353919E-3</v>
      </c>
      <c r="D82" s="4">
        <f t="shared" si="4"/>
        <v>3353.75</v>
      </c>
      <c r="E82" s="2">
        <f t="shared" si="5"/>
        <v>23.745481675468177</v>
      </c>
    </row>
    <row r="83" spans="1:5" x14ac:dyDescent="0.25">
      <c r="A83" s="1">
        <v>44049</v>
      </c>
      <c r="B83" s="2">
        <v>3349.16</v>
      </c>
      <c r="C83" s="3">
        <f t="shared" si="3"/>
        <v>6.427727877828057E-3</v>
      </c>
      <c r="D83" s="4">
        <f t="shared" si="4"/>
        <v>3362.0769999999998</v>
      </c>
      <c r="E83" s="2">
        <f t="shared" si="5"/>
        <v>20.029061410859949</v>
      </c>
    </row>
    <row r="84" spans="1:5" x14ac:dyDescent="0.25">
      <c r="A84" s="1">
        <v>44050</v>
      </c>
      <c r="B84" s="2">
        <v>3351.28</v>
      </c>
      <c r="C84" s="3">
        <f t="shared" si="3"/>
        <v>6.3299454191509082E-4</v>
      </c>
      <c r="D84" s="4">
        <f t="shared" si="4"/>
        <v>3366.7849999999999</v>
      </c>
      <c r="E84" s="2">
        <f t="shared" si="5"/>
        <v>16.661811576176206</v>
      </c>
    </row>
    <row r="85" spans="1:5" x14ac:dyDescent="0.25">
      <c r="A85" s="1">
        <v>44053</v>
      </c>
      <c r="B85" s="2">
        <v>3360.47</v>
      </c>
      <c r="C85" s="3">
        <f t="shared" si="3"/>
        <v>2.7422358024395454E-3</v>
      </c>
      <c r="D85" s="4">
        <f t="shared" si="4"/>
        <v>3370.4199999999996</v>
      </c>
      <c r="E85" s="2">
        <f t="shared" si="5"/>
        <v>16.382955777270467</v>
      </c>
    </row>
    <row r="86" spans="1:5" x14ac:dyDescent="0.25">
      <c r="A86" s="1">
        <v>44054</v>
      </c>
      <c r="B86" s="2">
        <v>3333.69</v>
      </c>
      <c r="C86" s="3">
        <f t="shared" si="3"/>
        <v>-7.969123366671849E-3</v>
      </c>
      <c r="D86" s="4">
        <f t="shared" si="4"/>
        <v>3375.0080000000003</v>
      </c>
      <c r="E86" s="2">
        <f t="shared" si="5"/>
        <v>16.799413561193148</v>
      </c>
    </row>
    <row r="87" spans="1:5" x14ac:dyDescent="0.25">
      <c r="A87" s="1">
        <v>44055</v>
      </c>
      <c r="B87" s="2">
        <v>3380.35</v>
      </c>
      <c r="C87" s="3">
        <f t="shared" si="3"/>
        <v>1.3996502374245911E-2</v>
      </c>
      <c r="D87" s="4">
        <f t="shared" si="4"/>
        <v>3382.0889999999999</v>
      </c>
      <c r="E87" s="2">
        <f t="shared" si="5"/>
        <v>22.969505632468501</v>
      </c>
    </row>
    <row r="88" spans="1:5" x14ac:dyDescent="0.25">
      <c r="A88" s="1">
        <v>44056</v>
      </c>
      <c r="B88" s="2">
        <v>3373.43</v>
      </c>
      <c r="C88" s="3">
        <f t="shared" si="3"/>
        <v>-2.0471252976762976E-3</v>
      </c>
      <c r="D88" s="4">
        <f t="shared" si="4"/>
        <v>3393.0819999999994</v>
      </c>
      <c r="E88" s="2">
        <f t="shared" si="5"/>
        <v>23.475779348085592</v>
      </c>
    </row>
    <row r="89" spans="1:5" x14ac:dyDescent="0.25">
      <c r="A89" s="1">
        <v>44057</v>
      </c>
      <c r="B89" s="2">
        <v>3372.85</v>
      </c>
      <c r="C89" s="3">
        <f t="shared" si="3"/>
        <v>-1.7193183199293516E-4</v>
      </c>
      <c r="D89" s="4">
        <f t="shared" si="4"/>
        <v>3402.9200000000005</v>
      </c>
      <c r="E89" s="2">
        <f t="shared" si="5"/>
        <v>34.22971779024774</v>
      </c>
    </row>
    <row r="90" spans="1:5" x14ac:dyDescent="0.25">
      <c r="A90" s="1">
        <v>44060</v>
      </c>
      <c r="B90" s="2">
        <v>3381.99</v>
      </c>
      <c r="C90" s="3">
        <f t="shared" si="3"/>
        <v>2.7098744385311746E-3</v>
      </c>
      <c r="D90" s="4">
        <f t="shared" si="4"/>
        <v>3414.0320000000002</v>
      </c>
      <c r="E90" s="2">
        <f t="shared" si="5"/>
        <v>40.343236310439991</v>
      </c>
    </row>
    <row r="91" spans="1:5" x14ac:dyDescent="0.25">
      <c r="A91" s="1">
        <v>44061</v>
      </c>
      <c r="B91" s="2">
        <v>3389.78</v>
      </c>
      <c r="C91" s="3">
        <f t="shared" si="3"/>
        <v>2.3033775972135986E-3</v>
      </c>
      <c r="D91" s="4">
        <f t="shared" si="4"/>
        <v>3427.5479999999998</v>
      </c>
      <c r="E91" s="2">
        <f t="shared" si="5"/>
        <v>46.459500599984992</v>
      </c>
    </row>
    <row r="92" spans="1:5" x14ac:dyDescent="0.25">
      <c r="A92" s="1">
        <v>44062</v>
      </c>
      <c r="B92" s="2">
        <v>3374.85</v>
      </c>
      <c r="C92" s="3">
        <f t="shared" si="3"/>
        <v>-4.4044156257929097E-3</v>
      </c>
      <c r="D92" s="4">
        <f t="shared" si="4"/>
        <v>3439.3799999999997</v>
      </c>
      <c r="E92" s="2">
        <f t="shared" si="5"/>
        <v>48.377336636073728</v>
      </c>
    </row>
    <row r="93" spans="1:5" x14ac:dyDescent="0.25">
      <c r="A93" s="1">
        <v>44063</v>
      </c>
      <c r="B93" s="2">
        <v>3385.51</v>
      </c>
      <c r="C93" s="3">
        <f t="shared" si="3"/>
        <v>3.1586589033587597E-3</v>
      </c>
      <c r="D93" s="4">
        <f t="shared" si="4"/>
        <v>3453.067</v>
      </c>
      <c r="E93" s="2">
        <f t="shared" si="5"/>
        <v>51.658707117000169</v>
      </c>
    </row>
    <row r="94" spans="1:5" x14ac:dyDescent="0.25">
      <c r="A94" s="1">
        <v>44064</v>
      </c>
      <c r="B94" s="2">
        <v>3397.16</v>
      </c>
      <c r="C94" s="3">
        <f t="shared" si="3"/>
        <v>3.4411358997609325E-3</v>
      </c>
      <c r="D94" s="4">
        <f t="shared" si="4"/>
        <v>3473.6660000000002</v>
      </c>
      <c r="E94" s="2">
        <f t="shared" si="5"/>
        <v>57.141117104935944</v>
      </c>
    </row>
    <row r="95" spans="1:5" x14ac:dyDescent="0.25">
      <c r="A95" s="1">
        <v>44067</v>
      </c>
      <c r="B95" s="2">
        <v>3431.28</v>
      </c>
      <c r="C95" s="3">
        <f t="shared" si="3"/>
        <v>1.0043683547433841E-2</v>
      </c>
      <c r="D95" s="4">
        <f t="shared" si="4"/>
        <v>3480.6210000000001</v>
      </c>
      <c r="E95" s="2">
        <f t="shared" si="5"/>
        <v>49.741386480475256</v>
      </c>
    </row>
    <row r="96" spans="1:5" x14ac:dyDescent="0.25">
      <c r="A96" s="1">
        <v>44068</v>
      </c>
      <c r="B96" s="2">
        <v>3443.62</v>
      </c>
      <c r="C96" s="3">
        <f t="shared" si="3"/>
        <v>3.5963255694666974E-3</v>
      </c>
      <c r="D96" s="4">
        <f t="shared" si="4"/>
        <v>3483.601000000001</v>
      </c>
      <c r="E96" s="2">
        <f t="shared" si="5"/>
        <v>45.350871755678554</v>
      </c>
    </row>
    <row r="97" spans="1:5" x14ac:dyDescent="0.25">
      <c r="A97" s="1">
        <v>44069</v>
      </c>
      <c r="B97" s="2">
        <v>3478.73</v>
      </c>
      <c r="C97" s="3">
        <f t="shared" si="3"/>
        <v>1.0195666188487733E-2</v>
      </c>
      <c r="D97" s="4">
        <f t="shared" si="4"/>
        <v>3473.6570000000006</v>
      </c>
      <c r="E97" s="2">
        <f t="shared" si="5"/>
        <v>63.14435715881509</v>
      </c>
    </row>
    <row r="98" spans="1:5" x14ac:dyDescent="0.25">
      <c r="A98" s="1">
        <v>44070</v>
      </c>
      <c r="B98" s="2">
        <v>3484.55</v>
      </c>
      <c r="C98" s="3">
        <f t="shared" si="3"/>
        <v>1.6730243508407275E-3</v>
      </c>
      <c r="D98" s="4">
        <f t="shared" si="4"/>
        <v>3469.1910000000003</v>
      </c>
      <c r="E98" s="2">
        <f t="shared" si="5"/>
        <v>66.595846184277903</v>
      </c>
    </row>
    <row r="99" spans="1:5" x14ac:dyDescent="0.25">
      <c r="A99" s="1">
        <v>44071</v>
      </c>
      <c r="B99" s="2">
        <v>3508.01</v>
      </c>
      <c r="C99" s="3">
        <f t="shared" si="3"/>
        <v>6.7325766598269601E-3</v>
      </c>
      <c r="D99" s="4">
        <f t="shared" si="4"/>
        <v>3455.2370000000001</v>
      </c>
      <c r="E99" s="2">
        <f t="shared" si="5"/>
        <v>76.949459783678805</v>
      </c>
    </row>
    <row r="100" spans="1:5" x14ac:dyDescent="0.25">
      <c r="A100" s="1">
        <v>44074</v>
      </c>
      <c r="B100" s="2">
        <v>3500.31</v>
      </c>
      <c r="C100" s="3">
        <f t="shared" si="3"/>
        <v>-2.1949766391772749E-3</v>
      </c>
      <c r="D100" s="4">
        <f t="shared" si="4"/>
        <v>3440.8789999999995</v>
      </c>
      <c r="E100" s="2">
        <f t="shared" si="5"/>
        <v>83.275667088291812</v>
      </c>
    </row>
    <row r="101" spans="1:5" x14ac:dyDescent="0.25">
      <c r="A101" s="1">
        <v>44075</v>
      </c>
      <c r="B101" s="2">
        <v>3526.65</v>
      </c>
      <c r="C101" s="3">
        <f t="shared" si="3"/>
        <v>7.525047781482253E-3</v>
      </c>
      <c r="D101" s="4">
        <f t="shared" si="4"/>
        <v>3428.4319999999998</v>
      </c>
      <c r="E101" s="2">
        <f t="shared" si="5"/>
        <v>81.596739493683231</v>
      </c>
    </row>
    <row r="102" spans="1:5" x14ac:dyDescent="0.25">
      <c r="A102" s="1">
        <v>44076</v>
      </c>
      <c r="B102" s="2">
        <v>3580.84</v>
      </c>
      <c r="C102" s="3">
        <f t="shared" si="3"/>
        <v>1.5365857116527031E-2</v>
      </c>
      <c r="D102" s="4">
        <f t="shared" si="4"/>
        <v>3418.5209999999997</v>
      </c>
      <c r="E102" s="2">
        <f t="shared" si="5"/>
        <v>78.213256350825887</v>
      </c>
    </row>
    <row r="103" spans="1:5" x14ac:dyDescent="0.25">
      <c r="A103" s="1">
        <v>44077</v>
      </c>
      <c r="B103" s="2">
        <v>3455.06</v>
      </c>
      <c r="C103" s="3">
        <f t="shared" si="3"/>
        <v>-3.5125836395929498E-2</v>
      </c>
      <c r="D103" s="4">
        <f t="shared" si="4"/>
        <v>3404.4050000000002</v>
      </c>
      <c r="E103" s="2">
        <f t="shared" si="5"/>
        <v>69.699129442196082</v>
      </c>
    </row>
    <row r="104" spans="1:5" x14ac:dyDescent="0.25">
      <c r="A104" s="1">
        <v>44078</v>
      </c>
      <c r="B104" s="2">
        <v>3426.96</v>
      </c>
      <c r="C104" s="3">
        <f t="shared" si="3"/>
        <v>-8.132999137496863E-3</v>
      </c>
      <c r="D104" s="4">
        <f t="shared" si="4"/>
        <v>3382.0219999999999</v>
      </c>
      <c r="E104" s="2">
        <f t="shared" si="5"/>
        <v>38.32319970983631</v>
      </c>
    </row>
    <row r="105" spans="1:5" x14ac:dyDescent="0.25">
      <c r="A105" s="1">
        <v>44082</v>
      </c>
      <c r="B105" s="2">
        <v>3331.84</v>
      </c>
      <c r="C105" s="3">
        <f t="shared" si="3"/>
        <v>-2.775637883138405E-2</v>
      </c>
      <c r="D105" s="4">
        <f t="shared" si="4"/>
        <v>3368.4630000000006</v>
      </c>
      <c r="E105" s="2">
        <f t="shared" si="5"/>
        <v>33.802980356767357</v>
      </c>
    </row>
    <row r="106" spans="1:5" x14ac:dyDescent="0.25">
      <c r="A106" s="1">
        <v>44083</v>
      </c>
      <c r="B106" s="2">
        <v>3398.96</v>
      </c>
      <c r="C106" s="3">
        <f t="shared" si="3"/>
        <v>2.0145024971187059E-2</v>
      </c>
      <c r="D106" s="4">
        <f t="shared" si="4"/>
        <v>3353.8730000000005</v>
      </c>
      <c r="E106" s="2">
        <f t="shared" si="5"/>
        <v>36.762915023158854</v>
      </c>
    </row>
    <row r="107" spans="1:5" x14ac:dyDescent="0.25">
      <c r="A107" s="1">
        <v>44084</v>
      </c>
      <c r="B107" s="2">
        <v>3339.19</v>
      </c>
      <c r="C107" s="3">
        <f t="shared" si="3"/>
        <v>-1.7584790641843383E-2</v>
      </c>
      <c r="D107" s="4">
        <f t="shared" si="4"/>
        <v>3352.2460000000005</v>
      </c>
      <c r="E107" s="2">
        <f t="shared" si="5"/>
        <v>38.039866771585814</v>
      </c>
    </row>
    <row r="108" spans="1:5" x14ac:dyDescent="0.25">
      <c r="A108" s="1">
        <v>44085</v>
      </c>
      <c r="B108" s="2">
        <v>3340.97</v>
      </c>
      <c r="C108" s="3">
        <f t="shared" si="3"/>
        <v>5.3306340759278305E-4</v>
      </c>
      <c r="D108" s="4">
        <f t="shared" si="4"/>
        <v>3336.0420000000004</v>
      </c>
      <c r="E108" s="2">
        <f t="shared" si="5"/>
        <v>47.919210093656538</v>
      </c>
    </row>
    <row r="109" spans="1:5" x14ac:dyDescent="0.25">
      <c r="A109" s="1">
        <v>44088</v>
      </c>
      <c r="B109" s="2">
        <v>3383.54</v>
      </c>
      <c r="C109" s="3">
        <f t="shared" si="3"/>
        <v>1.2741808516688317E-2</v>
      </c>
      <c r="D109" s="4">
        <f t="shared" si="4"/>
        <v>3326.7820000000006</v>
      </c>
      <c r="E109" s="2">
        <f t="shared" si="5"/>
        <v>54.860533500869202</v>
      </c>
    </row>
    <row r="110" spans="1:5" x14ac:dyDescent="0.25">
      <c r="A110" s="1">
        <v>44089</v>
      </c>
      <c r="B110" s="2">
        <v>3401.2</v>
      </c>
      <c r="C110" s="3">
        <f t="shared" si="3"/>
        <v>5.219385613883641E-3</v>
      </c>
      <c r="D110" s="4">
        <f t="shared" si="4"/>
        <v>3322.5310000000004</v>
      </c>
      <c r="E110" s="2">
        <f t="shared" si="5"/>
        <v>55.242110468373603</v>
      </c>
    </row>
    <row r="111" spans="1:5" x14ac:dyDescent="0.25">
      <c r="A111" s="1">
        <v>44090</v>
      </c>
      <c r="B111" s="2">
        <v>3385.49</v>
      </c>
      <c r="C111" s="3">
        <f t="shared" si="3"/>
        <v>-4.61895801481831E-3</v>
      </c>
      <c r="D111" s="4">
        <f t="shared" si="4"/>
        <v>3319.3370000000004</v>
      </c>
      <c r="E111" s="2">
        <f t="shared" si="5"/>
        <v>52.476470927454642</v>
      </c>
    </row>
    <row r="112" spans="1:5" x14ac:dyDescent="0.25">
      <c r="A112" s="1">
        <v>44091</v>
      </c>
      <c r="B112" s="2">
        <v>3357.01</v>
      </c>
      <c r="C112" s="3">
        <f t="shared" si="3"/>
        <v>-8.4123716212422921E-3</v>
      </c>
      <c r="D112" s="4">
        <f t="shared" si="4"/>
        <v>3312.7639999999992</v>
      </c>
      <c r="E112" s="2">
        <f t="shared" si="5"/>
        <v>45.45820018434511</v>
      </c>
    </row>
    <row r="113" spans="1:5" x14ac:dyDescent="0.25">
      <c r="A113" s="1">
        <v>44092</v>
      </c>
      <c r="B113" s="2">
        <v>3319.47</v>
      </c>
      <c r="C113" s="3">
        <f t="shared" si="3"/>
        <v>-1.1182570203842234E-2</v>
      </c>
      <c r="D113" s="4">
        <f t="shared" si="4"/>
        <v>3310.5149999999994</v>
      </c>
      <c r="E113" s="2">
        <f t="shared" si="5"/>
        <v>42.247466492086801</v>
      </c>
    </row>
    <row r="114" spans="1:5" x14ac:dyDescent="0.25">
      <c r="A114" s="1">
        <v>44095</v>
      </c>
      <c r="B114" s="2">
        <v>3281.06</v>
      </c>
      <c r="C114" s="3">
        <f t="shared" si="3"/>
        <v>-1.1571124305988563E-2</v>
      </c>
      <c r="D114" s="4">
        <f t="shared" si="4"/>
        <v>3312.8940000000002</v>
      </c>
      <c r="E114" s="2">
        <f t="shared" si="5"/>
        <v>45.354254530308374</v>
      </c>
    </row>
    <row r="115" spans="1:5" x14ac:dyDescent="0.25">
      <c r="A115" s="1">
        <v>44096</v>
      </c>
      <c r="B115" s="2">
        <v>3315.57</v>
      </c>
      <c r="C115" s="3">
        <f t="shared" si="3"/>
        <v>1.0517942372282195E-2</v>
      </c>
      <c r="D115" s="4">
        <f t="shared" si="4"/>
        <v>3315.7889999999998</v>
      </c>
      <c r="E115" s="2">
        <f t="shared" si="5"/>
        <v>46.588761187651244</v>
      </c>
    </row>
    <row r="116" spans="1:5" x14ac:dyDescent="0.25">
      <c r="A116" s="1">
        <v>44097</v>
      </c>
      <c r="B116" s="2">
        <v>3236.92</v>
      </c>
      <c r="C116" s="3">
        <f t="shared" si="3"/>
        <v>-2.3721411401357861E-2</v>
      </c>
      <c r="D116" s="4">
        <f t="shared" si="4"/>
        <v>3328.5430000000001</v>
      </c>
      <c r="E116" s="2">
        <f t="shared" si="5"/>
        <v>52.427340014538181</v>
      </c>
    </row>
    <row r="117" spans="1:5" x14ac:dyDescent="0.25">
      <c r="A117" s="1">
        <v>44098</v>
      </c>
      <c r="B117" s="2">
        <v>3246.59</v>
      </c>
      <c r="C117" s="3">
        <f t="shared" si="3"/>
        <v>2.9874077827070403E-3</v>
      </c>
      <c r="D117" s="4">
        <f t="shared" si="4"/>
        <v>3333.0830000000001</v>
      </c>
      <c r="E117" s="2">
        <f t="shared" si="5"/>
        <v>53.069158095828072</v>
      </c>
    </row>
    <row r="118" spans="1:5" x14ac:dyDescent="0.25">
      <c r="A118" s="1">
        <v>44099</v>
      </c>
      <c r="B118" s="2">
        <v>3298.46</v>
      </c>
      <c r="C118" s="3">
        <f t="shared" si="3"/>
        <v>1.5976763311659276E-2</v>
      </c>
      <c r="D118" s="4">
        <f t="shared" si="4"/>
        <v>3351.335</v>
      </c>
      <c r="E118" s="2">
        <f t="shared" si="5"/>
        <v>48.002301246919373</v>
      </c>
    </row>
    <row r="119" spans="1:5" x14ac:dyDescent="0.25">
      <c r="A119" s="1">
        <v>44102</v>
      </c>
      <c r="B119" s="2">
        <v>3351.6</v>
      </c>
      <c r="C119" s="3">
        <f t="shared" si="3"/>
        <v>1.6110548559024475E-2</v>
      </c>
      <c r="D119" s="4">
        <f t="shared" si="4"/>
        <v>3371.3589999999995</v>
      </c>
      <c r="E119" s="2">
        <f t="shared" si="5"/>
        <v>41.449226156829518</v>
      </c>
    </row>
    <row r="120" spans="1:5" x14ac:dyDescent="0.25">
      <c r="A120" s="1">
        <v>44103</v>
      </c>
      <c r="B120" s="2">
        <v>3335.47</v>
      </c>
      <c r="C120" s="3">
        <f t="shared" si="3"/>
        <v>-4.8126268051080405E-3</v>
      </c>
      <c r="D120" s="4">
        <f t="shared" si="4"/>
        <v>3389.2269999999999</v>
      </c>
      <c r="E120" s="2">
        <f t="shared" si="5"/>
        <v>44.568021057704591</v>
      </c>
    </row>
    <row r="121" spans="1:5" x14ac:dyDescent="0.25">
      <c r="A121" s="1">
        <v>44104</v>
      </c>
      <c r="B121" s="2">
        <v>3363</v>
      </c>
      <c r="C121" s="3">
        <f t="shared" si="3"/>
        <v>8.2537093722924205E-3</v>
      </c>
      <c r="D121" s="4">
        <f t="shared" si="4"/>
        <v>3407.489</v>
      </c>
      <c r="E121" s="2">
        <f t="shared" si="5"/>
        <v>60.112608901959959</v>
      </c>
    </row>
    <row r="122" spans="1:5" x14ac:dyDescent="0.25">
      <c r="A122" s="1">
        <v>44105</v>
      </c>
      <c r="B122" s="2">
        <v>3380.8</v>
      </c>
      <c r="C122" s="3">
        <f t="shared" si="3"/>
        <v>5.2928932500743925E-3</v>
      </c>
      <c r="D122" s="4">
        <f t="shared" si="4"/>
        <v>3425.1349999999998</v>
      </c>
      <c r="E122" s="2">
        <f t="shared" si="5"/>
        <v>62.243578343472436</v>
      </c>
    </row>
    <row r="123" spans="1:5" x14ac:dyDescent="0.25">
      <c r="A123" s="1">
        <v>44106</v>
      </c>
      <c r="B123" s="2">
        <v>3348.42</v>
      </c>
      <c r="C123" s="3">
        <f t="shared" si="3"/>
        <v>-9.577614765735952E-3</v>
      </c>
      <c r="D123" s="4">
        <f t="shared" si="4"/>
        <v>3437.7019999999998</v>
      </c>
      <c r="E123" s="2">
        <f t="shared" si="5"/>
        <v>61.105870061721518</v>
      </c>
    </row>
    <row r="124" spans="1:5" x14ac:dyDescent="0.25">
      <c r="A124" s="1">
        <v>44109</v>
      </c>
      <c r="B124" s="2">
        <v>3408.6</v>
      </c>
      <c r="C124" s="3">
        <f t="shared" si="3"/>
        <v>1.7972655760030053E-2</v>
      </c>
      <c r="D124" s="4">
        <f t="shared" si="4"/>
        <v>3447.9559999999997</v>
      </c>
      <c r="E124" s="2">
        <f t="shared" si="5"/>
        <v>59.272943102228332</v>
      </c>
    </row>
    <row r="125" spans="1:5" x14ac:dyDescent="0.25">
      <c r="A125" s="1">
        <v>44110</v>
      </c>
      <c r="B125" s="2">
        <v>3360.97</v>
      </c>
      <c r="C125" s="3">
        <f t="shared" si="3"/>
        <v>-1.3973478847620756E-2</v>
      </c>
      <c r="D125" s="4">
        <f t="shared" si="4"/>
        <v>3461.4950000000003</v>
      </c>
      <c r="E125" s="2">
        <f t="shared" si="5"/>
        <v>49.676822211168066</v>
      </c>
    </row>
    <row r="126" spans="1:5" x14ac:dyDescent="0.25">
      <c r="A126" s="1">
        <v>44111</v>
      </c>
      <c r="B126" s="2">
        <v>3419.44</v>
      </c>
      <c r="C126" s="3">
        <f t="shared" si="3"/>
        <v>1.7396763434365751E-2</v>
      </c>
      <c r="D126" s="4">
        <f t="shared" si="4"/>
        <v>3463.3269999999998</v>
      </c>
      <c r="E126" s="2">
        <f t="shared" si="5"/>
        <v>48.001931221566487</v>
      </c>
    </row>
    <row r="127" spans="1:5" x14ac:dyDescent="0.25">
      <c r="A127" s="1">
        <v>44112</v>
      </c>
      <c r="B127" s="2">
        <v>3446.83</v>
      </c>
      <c r="C127" s="3">
        <f t="shared" si="3"/>
        <v>8.0100835224480825E-3</v>
      </c>
      <c r="D127" s="4">
        <f t="shared" si="4"/>
        <v>3471.5419999999999</v>
      </c>
      <c r="E127" s="2">
        <f t="shared" si="5"/>
        <v>35.069016467531512</v>
      </c>
    </row>
    <row r="128" spans="1:5" x14ac:dyDescent="0.25">
      <c r="A128" s="1">
        <v>44113</v>
      </c>
      <c r="B128" s="2">
        <v>3477.14</v>
      </c>
      <c r="C128" s="3">
        <f t="shared" si="3"/>
        <v>8.7935871510924375E-3</v>
      </c>
      <c r="D128" s="4">
        <f t="shared" si="4"/>
        <v>3473.154</v>
      </c>
      <c r="E128" s="2">
        <f t="shared" si="5"/>
        <v>32.943071562924992</v>
      </c>
    </row>
    <row r="129" spans="1:5" x14ac:dyDescent="0.25">
      <c r="A129" s="1">
        <v>44116</v>
      </c>
      <c r="B129" s="2">
        <v>3534.22</v>
      </c>
      <c r="C129" s="3">
        <f t="shared" si="3"/>
        <v>1.6415789988323718E-2</v>
      </c>
      <c r="D129" s="4">
        <f t="shared" si="4"/>
        <v>3473.8199999999997</v>
      </c>
      <c r="E129" s="2">
        <f t="shared" si="5"/>
        <v>32.468051989609698</v>
      </c>
    </row>
    <row r="130" spans="1:5" x14ac:dyDescent="0.25">
      <c r="A130" s="1">
        <v>44117</v>
      </c>
      <c r="B130" s="2">
        <v>3511.93</v>
      </c>
      <c r="C130" s="3">
        <f t="shared" si="3"/>
        <v>-6.3069078891523347E-3</v>
      </c>
      <c r="D130" s="4">
        <f t="shared" si="4"/>
        <v>3472.6449999999995</v>
      </c>
      <c r="E130" s="2">
        <f t="shared" si="5"/>
        <v>32.539176772008197</v>
      </c>
    </row>
    <row r="131" spans="1:5" x14ac:dyDescent="0.25">
      <c r="A131" s="1">
        <v>44118</v>
      </c>
      <c r="B131" s="2">
        <v>3488.67</v>
      </c>
      <c r="C131" s="3">
        <f t="shared" ref="C131:C194" si="6">(B131-B130)/B130</f>
        <v>-6.6231388438834958E-3</v>
      </c>
      <c r="D131" s="4">
        <f t="shared" ref="D131:D194" si="7">AVERAGE(B130:B139)</f>
        <v>3459.3199999999997</v>
      </c>
      <c r="E131" s="2">
        <f t="shared" ref="E131:E194" si="8">_xlfn.STDEV.P(B130:B139)</f>
        <v>31.872008094878517</v>
      </c>
    </row>
    <row r="132" spans="1:5" x14ac:dyDescent="0.25">
      <c r="A132" s="1">
        <v>44119</v>
      </c>
      <c r="B132" s="2">
        <v>3483.34</v>
      </c>
      <c r="C132" s="3">
        <f t="shared" si="6"/>
        <v>-1.5278028589691564E-3</v>
      </c>
      <c r="D132" s="4">
        <f t="shared" si="7"/>
        <v>3447.1950000000006</v>
      </c>
      <c r="E132" s="2">
        <f t="shared" si="8"/>
        <v>32.606334123909178</v>
      </c>
    </row>
    <row r="133" spans="1:5" x14ac:dyDescent="0.25">
      <c r="A133" s="1">
        <v>44120</v>
      </c>
      <c r="B133" s="2">
        <v>3483.81</v>
      </c>
      <c r="C133" s="3">
        <f t="shared" si="6"/>
        <v>1.3492797142966231E-4</v>
      </c>
      <c r="D133" s="4">
        <f t="shared" si="7"/>
        <v>3425.4309999999996</v>
      </c>
      <c r="E133" s="2">
        <f t="shared" si="8"/>
        <v>59.337125722434465</v>
      </c>
    </row>
    <row r="134" spans="1:5" x14ac:dyDescent="0.25">
      <c r="A134" s="1">
        <v>44123</v>
      </c>
      <c r="B134" s="2">
        <v>3426.92</v>
      </c>
      <c r="C134" s="3">
        <f t="shared" si="6"/>
        <v>-1.6329822808936158E-2</v>
      </c>
      <c r="D134" s="4">
        <f t="shared" si="7"/>
        <v>3408.1079999999993</v>
      </c>
      <c r="E134" s="2">
        <f t="shared" si="8"/>
        <v>64.925774820174368</v>
      </c>
    </row>
    <row r="135" spans="1:5" x14ac:dyDescent="0.25">
      <c r="A135" s="1">
        <v>44124</v>
      </c>
      <c r="B135" s="2">
        <v>3443.12</v>
      </c>
      <c r="C135" s="3">
        <f t="shared" si="6"/>
        <v>4.7272769717413357E-3</v>
      </c>
      <c r="D135" s="4">
        <f t="shared" si="7"/>
        <v>3386.7230000000004</v>
      </c>
      <c r="E135" s="2">
        <f t="shared" si="8"/>
        <v>71.36838040056665</v>
      </c>
    </row>
    <row r="136" spans="1:5" x14ac:dyDescent="0.25">
      <c r="A136" s="1">
        <v>44125</v>
      </c>
      <c r="B136" s="2">
        <v>3435.56</v>
      </c>
      <c r="C136" s="3">
        <f t="shared" si="6"/>
        <v>-2.1956829851994546E-3</v>
      </c>
      <c r="D136" s="4">
        <f t="shared" si="7"/>
        <v>3375.0549999999994</v>
      </c>
      <c r="E136" s="2">
        <f t="shared" si="8"/>
        <v>73.353176788738921</v>
      </c>
    </row>
    <row r="137" spans="1:5" x14ac:dyDescent="0.25">
      <c r="A137" s="1">
        <v>44126</v>
      </c>
      <c r="B137" s="2">
        <v>3453.49</v>
      </c>
      <c r="C137" s="3">
        <f t="shared" si="6"/>
        <v>5.2189453829942821E-3</v>
      </c>
      <c r="D137" s="4">
        <f t="shared" si="7"/>
        <v>3367.6589999999997</v>
      </c>
      <c r="E137" s="2">
        <f t="shared" si="8"/>
        <v>69.757998889016221</v>
      </c>
    </row>
    <row r="138" spans="1:5" x14ac:dyDescent="0.25">
      <c r="A138" s="1">
        <v>44127</v>
      </c>
      <c r="B138" s="2">
        <v>3465.39</v>
      </c>
      <c r="C138" s="3">
        <f t="shared" si="6"/>
        <v>3.4457896215133363E-3</v>
      </c>
      <c r="D138" s="4">
        <f t="shared" si="7"/>
        <v>3368.4469999999992</v>
      </c>
      <c r="E138" s="2">
        <f t="shared" si="8"/>
        <v>70.560462590603748</v>
      </c>
    </row>
    <row r="139" spans="1:5" x14ac:dyDescent="0.25">
      <c r="A139" s="1">
        <v>44130</v>
      </c>
      <c r="B139" s="2">
        <v>3400.97</v>
      </c>
      <c r="C139" s="3">
        <f t="shared" si="6"/>
        <v>-1.8589538262648669E-2</v>
      </c>
      <c r="D139" s="4">
        <f t="shared" si="7"/>
        <v>3374.1429999999991</v>
      </c>
      <c r="E139" s="2">
        <f t="shared" si="8"/>
        <v>78.991065830256957</v>
      </c>
    </row>
    <row r="140" spans="1:5" x14ac:dyDescent="0.25">
      <c r="A140" s="1">
        <v>44131</v>
      </c>
      <c r="B140" s="2">
        <v>3390.68</v>
      </c>
      <c r="C140" s="3">
        <f t="shared" si="6"/>
        <v>-3.0256074002416853E-3</v>
      </c>
      <c r="D140" s="4">
        <f t="shared" si="7"/>
        <v>3378.5479999999998</v>
      </c>
      <c r="E140" s="2">
        <f t="shared" si="8"/>
        <v>84.959465487960742</v>
      </c>
    </row>
    <row r="141" spans="1:5" x14ac:dyDescent="0.25">
      <c r="A141" s="1">
        <v>44132</v>
      </c>
      <c r="B141" s="2">
        <v>3271.03</v>
      </c>
      <c r="C141" s="3">
        <f t="shared" si="6"/>
        <v>-3.5287906850543151E-2</v>
      </c>
      <c r="D141" s="4">
        <f t="shared" si="7"/>
        <v>3393.5009999999993</v>
      </c>
      <c r="E141" s="2">
        <f t="shared" si="8"/>
        <v>99.503733543018342</v>
      </c>
    </row>
    <row r="142" spans="1:5" x14ac:dyDescent="0.25">
      <c r="A142" s="1">
        <v>44133</v>
      </c>
      <c r="B142" s="2">
        <v>3310.11</v>
      </c>
      <c r="C142" s="3">
        <f t="shared" si="6"/>
        <v>1.1947307117329992E-2</v>
      </c>
      <c r="D142" s="4">
        <f t="shared" si="7"/>
        <v>3408.9859999999999</v>
      </c>
      <c r="E142" s="2">
        <f t="shared" si="8"/>
        <v>109.41523497210066</v>
      </c>
    </row>
    <row r="143" spans="1:5" x14ac:dyDescent="0.25">
      <c r="A143" s="1">
        <v>44134</v>
      </c>
      <c r="B143" s="2">
        <v>3269.96</v>
      </c>
      <c r="C143" s="3">
        <f t="shared" si="6"/>
        <v>-1.2129506270184401E-2</v>
      </c>
      <c r="D143" s="4">
        <f t="shared" si="7"/>
        <v>3439.1489999999999</v>
      </c>
      <c r="E143" s="2">
        <f t="shared" si="8"/>
        <v>108.80082310809971</v>
      </c>
    </row>
    <row r="144" spans="1:5" x14ac:dyDescent="0.25">
      <c r="A144" s="1">
        <v>44137</v>
      </c>
      <c r="B144" s="2">
        <v>3310.24</v>
      </c>
      <c r="C144" s="3">
        <f t="shared" si="6"/>
        <v>1.2318193494721569E-2</v>
      </c>
      <c r="D144" s="4">
        <f t="shared" si="7"/>
        <v>3461.8389999999999</v>
      </c>
      <c r="E144" s="2">
        <f t="shared" si="8"/>
        <v>103.03084096036493</v>
      </c>
    </row>
    <row r="145" spans="1:5" x14ac:dyDescent="0.25">
      <c r="A145" s="1">
        <v>44138</v>
      </c>
      <c r="B145" s="2">
        <v>3369.16</v>
      </c>
      <c r="C145" s="3">
        <f t="shared" si="6"/>
        <v>1.7799313644932112E-2</v>
      </c>
      <c r="D145" s="4">
        <f t="shared" si="7"/>
        <v>3493.3580000000002</v>
      </c>
      <c r="E145" s="2">
        <f t="shared" si="8"/>
        <v>86.375413376724367</v>
      </c>
    </row>
    <row r="146" spans="1:5" x14ac:dyDescent="0.25">
      <c r="A146" s="1">
        <v>44139</v>
      </c>
      <c r="B146" s="2">
        <v>3443.44</v>
      </c>
      <c r="C146" s="3">
        <f t="shared" si="6"/>
        <v>2.2047038430944271E-2</v>
      </c>
      <c r="D146" s="4">
        <f t="shared" si="7"/>
        <v>3525.0250000000001</v>
      </c>
      <c r="E146" s="2">
        <f t="shared" si="8"/>
        <v>69.916426002764197</v>
      </c>
    </row>
    <row r="147" spans="1:5" x14ac:dyDescent="0.25">
      <c r="A147" s="1">
        <v>44140</v>
      </c>
      <c r="B147" s="2">
        <v>3510.45</v>
      </c>
      <c r="C147" s="3">
        <f t="shared" si="6"/>
        <v>1.9460190971818808E-2</v>
      </c>
      <c r="D147" s="4">
        <f t="shared" si="7"/>
        <v>3549.0620000000004</v>
      </c>
      <c r="E147" s="2">
        <f t="shared" si="8"/>
        <v>50.943585818039928</v>
      </c>
    </row>
    <row r="148" spans="1:5" x14ac:dyDescent="0.25">
      <c r="A148" s="1">
        <v>44141</v>
      </c>
      <c r="B148" s="2">
        <v>3509.44</v>
      </c>
      <c r="C148" s="3">
        <f t="shared" si="6"/>
        <v>-2.8771240154389424E-4</v>
      </c>
      <c r="D148" s="4">
        <f t="shared" si="7"/>
        <v>3561.4970000000003</v>
      </c>
      <c r="E148" s="2">
        <f t="shared" si="8"/>
        <v>36.879436289075784</v>
      </c>
    </row>
    <row r="149" spans="1:5" x14ac:dyDescent="0.25">
      <c r="A149" s="1">
        <v>44144</v>
      </c>
      <c r="B149" s="2">
        <v>3550.5</v>
      </c>
      <c r="C149" s="3">
        <f t="shared" si="6"/>
        <v>1.1699872344305629E-2</v>
      </c>
      <c r="D149" s="4">
        <f t="shared" si="7"/>
        <v>3568.6390000000001</v>
      </c>
      <c r="E149" s="2">
        <f t="shared" si="8"/>
        <v>33.015313855845697</v>
      </c>
    </row>
    <row r="150" spans="1:5" x14ac:dyDescent="0.25">
      <c r="A150" s="1">
        <v>44145</v>
      </c>
      <c r="B150" s="2">
        <v>3545.53</v>
      </c>
      <c r="C150" s="3">
        <f t="shared" si="6"/>
        <v>-1.3998028446697084E-3</v>
      </c>
      <c r="D150" s="4">
        <f t="shared" si="7"/>
        <v>3573.4489999999996</v>
      </c>
      <c r="E150" s="2">
        <f t="shared" si="8"/>
        <v>26.99521196434652</v>
      </c>
    </row>
    <row r="151" spans="1:5" x14ac:dyDescent="0.25">
      <c r="A151" s="1">
        <v>44146</v>
      </c>
      <c r="B151" s="2">
        <v>3572.66</v>
      </c>
      <c r="C151" s="3">
        <f t="shared" si="6"/>
        <v>7.6518884341691233E-3</v>
      </c>
      <c r="D151" s="4">
        <f t="shared" si="7"/>
        <v>3576.1580000000004</v>
      </c>
      <c r="E151" s="2">
        <f t="shared" si="8"/>
        <v>25.893086258690701</v>
      </c>
    </row>
    <row r="152" spans="1:5" x14ac:dyDescent="0.25">
      <c r="A152" s="1">
        <v>44147</v>
      </c>
      <c r="B152" s="2">
        <v>3537.01</v>
      </c>
      <c r="C152" s="3">
        <f t="shared" si="6"/>
        <v>-9.9785593927212875E-3</v>
      </c>
      <c r="D152" s="4">
        <f t="shared" si="7"/>
        <v>3585.1459999999997</v>
      </c>
      <c r="E152" s="2">
        <f t="shared" si="8"/>
        <v>29.102238470605606</v>
      </c>
    </row>
    <row r="153" spans="1:5" x14ac:dyDescent="0.25">
      <c r="A153" s="1">
        <v>44148</v>
      </c>
      <c r="B153" s="2">
        <v>3585.15</v>
      </c>
      <c r="C153" s="3">
        <f t="shared" si="6"/>
        <v>1.3610365817455949E-2</v>
      </c>
      <c r="D153" s="4">
        <f t="shared" si="7"/>
        <v>3590.8449999999998</v>
      </c>
      <c r="E153" s="2">
        <f t="shared" si="8"/>
        <v>31.574234194988751</v>
      </c>
    </row>
    <row r="154" spans="1:5" x14ac:dyDescent="0.25">
      <c r="A154" s="1">
        <v>44151</v>
      </c>
      <c r="B154" s="2">
        <v>3626.91</v>
      </c>
      <c r="C154" s="3">
        <f t="shared" si="6"/>
        <v>1.1648048198820067E-2</v>
      </c>
      <c r="D154" s="4">
        <f t="shared" si="7"/>
        <v>3600.9790000000003</v>
      </c>
      <c r="E154" s="2">
        <f t="shared" si="8"/>
        <v>28.811214639442021</v>
      </c>
    </row>
    <row r="155" spans="1:5" x14ac:dyDescent="0.25">
      <c r="A155" s="1">
        <v>44152</v>
      </c>
      <c r="B155" s="2">
        <v>3609.53</v>
      </c>
      <c r="C155" s="3">
        <f t="shared" si="6"/>
        <v>-4.791957892531013E-3</v>
      </c>
      <c r="D155" s="4">
        <f t="shared" si="7"/>
        <v>3604.6269999999995</v>
      </c>
      <c r="E155" s="2">
        <f t="shared" si="8"/>
        <v>28.885443410133057</v>
      </c>
    </row>
    <row r="156" spans="1:5" x14ac:dyDescent="0.25">
      <c r="A156" s="1">
        <v>44153</v>
      </c>
      <c r="B156" s="2">
        <v>3567.79</v>
      </c>
      <c r="C156" s="3">
        <f t="shared" si="6"/>
        <v>-1.1563832410313873E-2</v>
      </c>
      <c r="D156" s="4">
        <f t="shared" si="7"/>
        <v>3608.1809999999996</v>
      </c>
      <c r="E156" s="2">
        <f t="shared" si="8"/>
        <v>33.263112437052513</v>
      </c>
    </row>
    <row r="157" spans="1:5" x14ac:dyDescent="0.25">
      <c r="A157" s="1">
        <v>44154</v>
      </c>
      <c r="B157" s="2">
        <v>3581.87</v>
      </c>
      <c r="C157" s="3">
        <f t="shared" si="6"/>
        <v>3.9464206133208307E-3</v>
      </c>
      <c r="D157" s="4">
        <f t="shared" si="7"/>
        <v>3614.1289999999999</v>
      </c>
      <c r="E157" s="2">
        <f t="shared" si="8"/>
        <v>37.959065965853277</v>
      </c>
    </row>
    <row r="158" spans="1:5" x14ac:dyDescent="0.25">
      <c r="A158" s="1">
        <v>44155</v>
      </c>
      <c r="B158" s="2">
        <v>3557.54</v>
      </c>
      <c r="C158" s="3">
        <f t="shared" si="6"/>
        <v>-6.7925413261787637E-3</v>
      </c>
      <c r="D158" s="4">
        <f t="shared" si="7"/>
        <v>3624.0219999999999</v>
      </c>
      <c r="E158" s="2">
        <f t="shared" si="8"/>
        <v>37.481599165457148</v>
      </c>
    </row>
    <row r="159" spans="1:5" x14ac:dyDescent="0.25">
      <c r="A159" s="1">
        <v>44158</v>
      </c>
      <c r="B159" s="2">
        <v>3577.59</v>
      </c>
      <c r="C159" s="3">
        <f t="shared" si="6"/>
        <v>5.6359169538501832E-3</v>
      </c>
      <c r="D159" s="4">
        <f t="shared" si="7"/>
        <v>3635.7470000000008</v>
      </c>
      <c r="E159" s="2">
        <f t="shared" si="8"/>
        <v>40.66554439571658</v>
      </c>
    </row>
    <row r="160" spans="1:5" x14ac:dyDescent="0.25">
      <c r="A160" s="1">
        <v>44159</v>
      </c>
      <c r="B160" s="2">
        <v>3635.41</v>
      </c>
      <c r="C160" s="3">
        <f t="shared" si="6"/>
        <v>1.6161717804443691E-2</v>
      </c>
      <c r="D160" s="4">
        <f t="shared" si="7"/>
        <v>3649.1890000000008</v>
      </c>
      <c r="E160" s="2">
        <f t="shared" si="8"/>
        <v>34.312618509813504</v>
      </c>
    </row>
    <row r="161" spans="1:5" x14ac:dyDescent="0.25">
      <c r="A161" s="1">
        <v>44160</v>
      </c>
      <c r="B161" s="2">
        <v>3629.65</v>
      </c>
      <c r="C161" s="3">
        <f t="shared" si="6"/>
        <v>-1.5844155129682109E-3</v>
      </c>
      <c r="D161" s="4">
        <f t="shared" si="7"/>
        <v>3661.6550000000002</v>
      </c>
      <c r="E161" s="2">
        <f t="shared" si="8"/>
        <v>28.122231863776374</v>
      </c>
    </row>
    <row r="162" spans="1:5" x14ac:dyDescent="0.25">
      <c r="A162" s="1">
        <v>44162</v>
      </c>
      <c r="B162" s="2">
        <v>3638.35</v>
      </c>
      <c r="C162" s="3">
        <f t="shared" si="6"/>
        <v>2.3969253233782368E-3</v>
      </c>
      <c r="D162" s="4">
        <f t="shared" si="7"/>
        <v>3665.3959999999997</v>
      </c>
      <c r="E162" s="2">
        <f t="shared" si="8"/>
        <v>26.841210181361024</v>
      </c>
    </row>
    <row r="163" spans="1:5" x14ac:dyDescent="0.25">
      <c r="A163" s="1">
        <v>44165</v>
      </c>
      <c r="B163" s="2">
        <v>3621.63</v>
      </c>
      <c r="C163" s="3">
        <f t="shared" si="6"/>
        <v>-4.5954897137438127E-3</v>
      </c>
      <c r="D163" s="4">
        <f t="shared" si="7"/>
        <v>3669.2409999999995</v>
      </c>
      <c r="E163" s="2">
        <f t="shared" si="8"/>
        <v>24.054522423028889</v>
      </c>
    </row>
    <row r="164" spans="1:5" x14ac:dyDescent="0.25">
      <c r="A164" s="1">
        <v>44166</v>
      </c>
      <c r="B164" s="2">
        <v>3662.45</v>
      </c>
      <c r="C164" s="3">
        <f t="shared" si="6"/>
        <v>1.1271167954760622E-2</v>
      </c>
      <c r="D164" s="4">
        <f t="shared" si="7"/>
        <v>3671.7519999999995</v>
      </c>
      <c r="E164" s="2">
        <f t="shared" si="8"/>
        <v>21.914185725232844</v>
      </c>
    </row>
    <row r="165" spans="1:5" x14ac:dyDescent="0.25">
      <c r="A165" s="1">
        <v>44167</v>
      </c>
      <c r="B165" s="2">
        <v>3669.01</v>
      </c>
      <c r="C165" s="3">
        <f t="shared" si="6"/>
        <v>1.7911507324333167E-3</v>
      </c>
      <c r="D165" s="4">
        <f t="shared" si="7"/>
        <v>3674.3379999999997</v>
      </c>
      <c r="E165" s="2">
        <f t="shared" si="8"/>
        <v>16.768634887789801</v>
      </c>
    </row>
    <row r="166" spans="1:5" x14ac:dyDescent="0.25">
      <c r="A166" s="1">
        <v>44168</v>
      </c>
      <c r="B166" s="2">
        <v>3666.72</v>
      </c>
      <c r="C166" s="3">
        <f t="shared" si="6"/>
        <v>-6.2414656814792498E-4</v>
      </c>
      <c r="D166" s="4">
        <f t="shared" si="7"/>
        <v>3677.5549999999994</v>
      </c>
      <c r="E166" s="2">
        <f t="shared" si="8"/>
        <v>17.258085786088809</v>
      </c>
    </row>
    <row r="167" spans="1:5" x14ac:dyDescent="0.25">
      <c r="A167" s="1">
        <v>44169</v>
      </c>
      <c r="B167" s="2">
        <v>3699.12</v>
      </c>
      <c r="C167" s="3">
        <f t="shared" si="6"/>
        <v>8.8362351093075261E-3</v>
      </c>
      <c r="D167" s="4">
        <f t="shared" si="7"/>
        <v>3680.7709999999997</v>
      </c>
      <c r="E167" s="2">
        <f t="shared" si="8"/>
        <v>18.329320472947206</v>
      </c>
    </row>
    <row r="168" spans="1:5" x14ac:dyDescent="0.25">
      <c r="A168" s="1">
        <v>44172</v>
      </c>
      <c r="B168" s="2">
        <v>3691.96</v>
      </c>
      <c r="C168" s="3">
        <f t="shared" si="6"/>
        <v>-1.9355954929820753E-3</v>
      </c>
      <c r="D168" s="4">
        <f t="shared" si="7"/>
        <v>3686.3470000000002</v>
      </c>
      <c r="E168" s="2">
        <f t="shared" si="8"/>
        <v>21.426460767004926</v>
      </c>
    </row>
    <row r="169" spans="1:5" x14ac:dyDescent="0.25">
      <c r="A169" s="1">
        <v>44173</v>
      </c>
      <c r="B169" s="2">
        <v>3702.25</v>
      </c>
      <c r="C169" s="3">
        <f t="shared" si="6"/>
        <v>2.7871374554437113E-3</v>
      </c>
      <c r="D169" s="4">
        <f t="shared" si="7"/>
        <v>3687.3760000000011</v>
      </c>
      <c r="E169" s="2">
        <f t="shared" si="8"/>
        <v>22.246564319013419</v>
      </c>
    </row>
    <row r="170" spans="1:5" x14ac:dyDescent="0.25">
      <c r="A170" s="1">
        <v>44174</v>
      </c>
      <c r="B170" s="2">
        <v>3672.82</v>
      </c>
      <c r="C170" s="3">
        <f t="shared" si="6"/>
        <v>-7.9492200688769908E-3</v>
      </c>
      <c r="D170" s="4">
        <f t="shared" si="7"/>
        <v>3687.672</v>
      </c>
      <c r="E170" s="2">
        <f t="shared" si="8"/>
        <v>22.325140447486575</v>
      </c>
    </row>
    <row r="171" spans="1:5" x14ac:dyDescent="0.25">
      <c r="A171" s="1">
        <v>44175</v>
      </c>
      <c r="B171" s="2">
        <v>3668.1</v>
      </c>
      <c r="C171" s="3">
        <f t="shared" si="6"/>
        <v>-1.2851160688517962E-3</v>
      </c>
      <c r="D171" s="4">
        <f t="shared" si="7"/>
        <v>3686.1730000000002</v>
      </c>
      <c r="E171" s="2">
        <f t="shared" si="8"/>
        <v>21.792890147935886</v>
      </c>
    </row>
    <row r="172" spans="1:5" x14ac:dyDescent="0.25">
      <c r="A172" s="1">
        <v>44176</v>
      </c>
      <c r="B172" s="2">
        <v>3663.46</v>
      </c>
      <c r="C172" s="3">
        <f t="shared" si="6"/>
        <v>-1.2649600610670027E-3</v>
      </c>
      <c r="D172" s="4">
        <f t="shared" si="7"/>
        <v>3687.8919999999998</v>
      </c>
      <c r="E172" s="2">
        <f t="shared" si="8"/>
        <v>21.345189059832702</v>
      </c>
    </row>
    <row r="173" spans="1:5" x14ac:dyDescent="0.25">
      <c r="A173" s="1">
        <v>44179</v>
      </c>
      <c r="B173" s="2">
        <v>3647.49</v>
      </c>
      <c r="C173" s="3">
        <f t="shared" si="6"/>
        <v>-4.359266922526861E-3</v>
      </c>
      <c r="D173" s="4">
        <f t="shared" si="7"/>
        <v>3691.3880000000004</v>
      </c>
      <c r="E173" s="2">
        <f t="shared" si="8"/>
        <v>20.669532553979082</v>
      </c>
    </row>
    <row r="174" spans="1:5" x14ac:dyDescent="0.25">
      <c r="A174" s="1">
        <v>44180</v>
      </c>
      <c r="B174" s="2">
        <v>3694.62</v>
      </c>
      <c r="C174" s="3">
        <f t="shared" si="6"/>
        <v>1.2921214314501236E-2</v>
      </c>
      <c r="D174" s="4">
        <f t="shared" si="7"/>
        <v>3698.578</v>
      </c>
      <c r="E174" s="2">
        <f t="shared" si="8"/>
        <v>22.156033850849798</v>
      </c>
    </row>
    <row r="175" spans="1:5" x14ac:dyDescent="0.25">
      <c r="A175" s="1">
        <v>44181</v>
      </c>
      <c r="B175" s="2">
        <v>3701.17</v>
      </c>
      <c r="C175" s="3">
        <f t="shared" si="6"/>
        <v>1.772848087218762E-3</v>
      </c>
      <c r="D175" s="4">
        <f t="shared" si="7"/>
        <v>3706.5330000000004</v>
      </c>
      <c r="E175" s="2">
        <f t="shared" si="8"/>
        <v>15.735881958123576</v>
      </c>
    </row>
    <row r="176" spans="1:5" x14ac:dyDescent="0.25">
      <c r="A176" s="1">
        <v>44182</v>
      </c>
      <c r="B176" s="2">
        <v>3722.48</v>
      </c>
      <c r="C176" s="3">
        <f t="shared" si="6"/>
        <v>5.7576388007035467E-3</v>
      </c>
      <c r="D176" s="4">
        <f t="shared" si="7"/>
        <v>3710.2750000000001</v>
      </c>
      <c r="E176" s="2">
        <f t="shared" si="8"/>
        <v>16.866658382738365</v>
      </c>
    </row>
    <row r="177" spans="1:5" x14ac:dyDescent="0.25">
      <c r="A177" s="1">
        <v>44183</v>
      </c>
      <c r="B177" s="2">
        <v>3709.41</v>
      </c>
      <c r="C177" s="3">
        <f t="shared" si="6"/>
        <v>-3.5111001267972329E-3</v>
      </c>
      <c r="D177" s="4">
        <f t="shared" si="7"/>
        <v>3715.7650000000003</v>
      </c>
      <c r="E177" s="2">
        <f t="shared" si="8"/>
        <v>21.348821161834657</v>
      </c>
    </row>
    <row r="178" spans="1:5" x14ac:dyDescent="0.25">
      <c r="A178" s="1">
        <v>44186</v>
      </c>
      <c r="B178" s="2">
        <v>3694.92</v>
      </c>
      <c r="C178" s="3">
        <f t="shared" si="6"/>
        <v>-3.9062815919512217E-3</v>
      </c>
      <c r="D178" s="4">
        <f t="shared" si="7"/>
        <v>3713.5820000000008</v>
      </c>
      <c r="E178" s="2">
        <f t="shared" si="8"/>
        <v>21.664345732100919</v>
      </c>
    </row>
    <row r="179" spans="1:5" x14ac:dyDescent="0.25">
      <c r="A179" s="1">
        <v>44187</v>
      </c>
      <c r="B179" s="2">
        <v>3687.26</v>
      </c>
      <c r="C179" s="3">
        <f t="shared" si="6"/>
        <v>-2.0731166033364332E-3</v>
      </c>
      <c r="D179" s="4">
        <f t="shared" si="7"/>
        <v>3715.3270000000002</v>
      </c>
      <c r="E179" s="2">
        <f t="shared" si="8"/>
        <v>21.958798259467642</v>
      </c>
    </row>
    <row r="180" spans="1:5" x14ac:dyDescent="0.25">
      <c r="A180" s="1">
        <v>44188</v>
      </c>
      <c r="B180" s="2">
        <v>3690.01</v>
      </c>
      <c r="C180" s="3">
        <f t="shared" si="6"/>
        <v>7.4581125280018224E-4</v>
      </c>
      <c r="D180" s="4">
        <f t="shared" si="7"/>
        <v>3720.6489999999999</v>
      </c>
      <c r="E180" s="2">
        <f t="shared" si="8"/>
        <v>22.801093592194167</v>
      </c>
    </row>
    <row r="181" spans="1:5" x14ac:dyDescent="0.25">
      <c r="A181" s="1">
        <v>44189</v>
      </c>
      <c r="B181" s="2">
        <v>3703.06</v>
      </c>
      <c r="C181" s="3">
        <f t="shared" si="6"/>
        <v>3.5365757816373739E-3</v>
      </c>
      <c r="D181" s="4">
        <f t="shared" si="7"/>
        <v>3732.3020000000006</v>
      </c>
      <c r="E181" s="2">
        <f t="shared" si="8"/>
        <v>31.046054757408353</v>
      </c>
    </row>
    <row r="182" spans="1:5" x14ac:dyDescent="0.25">
      <c r="A182" s="1">
        <v>44193</v>
      </c>
      <c r="B182" s="2">
        <v>3735.36</v>
      </c>
      <c r="C182" s="3">
        <f t="shared" si="6"/>
        <v>8.7225159732762046E-3</v>
      </c>
      <c r="D182" s="4">
        <f t="shared" si="7"/>
        <v>3745.7690000000002</v>
      </c>
      <c r="E182" s="2">
        <f t="shared" si="8"/>
        <v>38.17074257857707</v>
      </c>
    </row>
    <row r="183" spans="1:5" x14ac:dyDescent="0.25">
      <c r="A183" s="1">
        <v>44194</v>
      </c>
      <c r="B183" s="2">
        <v>3727.04</v>
      </c>
      <c r="C183" s="3">
        <f t="shared" si="6"/>
        <v>-2.2273622890431346E-3</v>
      </c>
      <c r="D183" s="4">
        <f t="shared" si="7"/>
        <v>3755.424</v>
      </c>
      <c r="E183" s="2">
        <f t="shared" si="8"/>
        <v>38.357085707858424</v>
      </c>
    </row>
    <row r="184" spans="1:5" x14ac:dyDescent="0.25">
      <c r="A184" s="1">
        <v>44195</v>
      </c>
      <c r="B184" s="2">
        <v>3732.04</v>
      </c>
      <c r="C184" s="3">
        <f t="shared" si="6"/>
        <v>1.3415471795312098E-3</v>
      </c>
      <c r="D184" s="4">
        <f t="shared" si="7"/>
        <v>3762.0070000000001</v>
      </c>
      <c r="E184" s="2">
        <f t="shared" si="8"/>
        <v>39.964063869931913</v>
      </c>
    </row>
    <row r="185" spans="1:5" x14ac:dyDescent="0.25">
      <c r="A185" s="1">
        <v>44196</v>
      </c>
      <c r="B185" s="2">
        <v>3756.07</v>
      </c>
      <c r="C185" s="3">
        <f t="shared" si="6"/>
        <v>6.4388377402172002E-3</v>
      </c>
      <c r="D185" s="4">
        <f t="shared" si="7"/>
        <v>3770.2870000000012</v>
      </c>
      <c r="E185" s="2">
        <f t="shared" si="8"/>
        <v>40.436350985221189</v>
      </c>
    </row>
    <row r="186" spans="1:5" x14ac:dyDescent="0.25">
      <c r="A186" s="1">
        <v>44200</v>
      </c>
      <c r="B186" s="2">
        <v>3700.65</v>
      </c>
      <c r="C186" s="3">
        <f t="shared" si="6"/>
        <v>-1.4754783590295193E-2</v>
      </c>
      <c r="D186" s="4">
        <f t="shared" si="7"/>
        <v>3776.6370000000002</v>
      </c>
      <c r="E186" s="2">
        <f t="shared" si="8"/>
        <v>38.887839757435707</v>
      </c>
    </row>
    <row r="187" spans="1:5" x14ac:dyDescent="0.25">
      <c r="A187" s="1">
        <v>44201</v>
      </c>
      <c r="B187" s="2">
        <v>3726.86</v>
      </c>
      <c r="C187" s="3">
        <f t="shared" si="6"/>
        <v>7.0825395538621693E-3</v>
      </c>
      <c r="D187" s="4">
        <f t="shared" si="7"/>
        <v>3777.8549999999996</v>
      </c>
      <c r="E187" s="2">
        <f t="shared" si="8"/>
        <v>38.412427481220163</v>
      </c>
    </row>
    <row r="188" spans="1:5" x14ac:dyDescent="0.25">
      <c r="A188" s="1">
        <v>44202</v>
      </c>
      <c r="B188" s="2">
        <v>3748.14</v>
      </c>
      <c r="C188" s="3">
        <f t="shared" si="6"/>
        <v>5.7099005597204466E-3</v>
      </c>
      <c r="D188" s="4">
        <f t="shared" si="7"/>
        <v>3787.6809999999996</v>
      </c>
      <c r="E188" s="2">
        <f t="shared" si="8"/>
        <v>28.761683000130557</v>
      </c>
    </row>
    <row r="189" spans="1:5" x14ac:dyDescent="0.25">
      <c r="A189" s="1">
        <v>44203</v>
      </c>
      <c r="B189" s="2">
        <v>3803.79</v>
      </c>
      <c r="C189" s="3">
        <f t="shared" si="6"/>
        <v>1.4847364292689199E-2</v>
      </c>
      <c r="D189" s="4">
        <f t="shared" si="7"/>
        <v>3800.1799999999994</v>
      </c>
      <c r="E189" s="2">
        <f t="shared" si="8"/>
        <v>26.699364411910629</v>
      </c>
    </row>
    <row r="190" spans="1:5" x14ac:dyDescent="0.25">
      <c r="A190" s="1">
        <v>44204</v>
      </c>
      <c r="B190" s="2">
        <v>3824.68</v>
      </c>
      <c r="C190" s="3">
        <f t="shared" si="6"/>
        <v>5.4918909824148735E-3</v>
      </c>
      <c r="D190" s="4">
        <f t="shared" si="7"/>
        <v>3810.6730000000002</v>
      </c>
      <c r="E190" s="2">
        <f t="shared" si="8"/>
        <v>24.732004791362957</v>
      </c>
    </row>
    <row r="191" spans="1:5" x14ac:dyDescent="0.25">
      <c r="A191" s="1">
        <v>44207</v>
      </c>
      <c r="B191" s="2">
        <v>3799.61</v>
      </c>
      <c r="C191" s="3">
        <f t="shared" si="6"/>
        <v>-6.5547967411651985E-3</v>
      </c>
      <c r="D191" s="4">
        <f t="shared" si="7"/>
        <v>3814.4410000000003</v>
      </c>
      <c r="E191" s="2">
        <f t="shared" si="8"/>
        <v>26.221788440150288</v>
      </c>
    </row>
    <row r="192" spans="1:5" x14ac:dyDescent="0.25">
      <c r="A192" s="1">
        <v>44208</v>
      </c>
      <c r="B192" s="2">
        <v>3801.19</v>
      </c>
      <c r="C192" s="3">
        <f t="shared" si="6"/>
        <v>4.1583215119444551E-4</v>
      </c>
      <c r="D192" s="4">
        <f t="shared" si="7"/>
        <v>3817.5089999999996</v>
      </c>
      <c r="E192" s="2">
        <f t="shared" si="8"/>
        <v>28.898482814846879</v>
      </c>
    </row>
    <row r="193" spans="1:5" x14ac:dyDescent="0.25">
      <c r="A193" s="1">
        <v>44209</v>
      </c>
      <c r="B193" s="2">
        <v>3809.84</v>
      </c>
      <c r="C193" s="3">
        <f t="shared" si="6"/>
        <v>2.2756031663768691E-3</v>
      </c>
      <c r="D193" s="4">
        <f t="shared" si="7"/>
        <v>3822.5099999999998</v>
      </c>
      <c r="E193" s="2">
        <f t="shared" si="8"/>
        <v>29.684786002260488</v>
      </c>
    </row>
    <row r="194" spans="1:5" x14ac:dyDescent="0.25">
      <c r="A194" s="1">
        <v>44210</v>
      </c>
      <c r="B194" s="2">
        <v>3795.54</v>
      </c>
      <c r="C194" s="3">
        <f t="shared" si="6"/>
        <v>-3.7534384646074853E-3</v>
      </c>
      <c r="D194" s="4">
        <f t="shared" si="7"/>
        <v>3817.4679999999998</v>
      </c>
      <c r="E194" s="2">
        <f t="shared" si="8"/>
        <v>36.400182362180558</v>
      </c>
    </row>
    <row r="195" spans="1:5" x14ac:dyDescent="0.25">
      <c r="A195" s="1">
        <v>44211</v>
      </c>
      <c r="B195" s="2">
        <v>3768.25</v>
      </c>
      <c r="C195" s="3">
        <f t="shared" ref="C195:C258" si="9">(B195-B194)/B194</f>
        <v>-7.1900177576840092E-3</v>
      </c>
      <c r="D195" s="4">
        <f t="shared" ref="D195:D258" si="10">AVERAGE(B194:B203)</f>
        <v>3815.2220000000002</v>
      </c>
      <c r="E195" s="2">
        <f t="shared" ref="E195:E258" si="11">_xlfn.STDEV.P(B194:B203)</f>
        <v>37.47851245714002</v>
      </c>
    </row>
    <row r="196" spans="1:5" x14ac:dyDescent="0.25">
      <c r="A196" s="1">
        <v>44215</v>
      </c>
      <c r="B196" s="2">
        <v>3798.91</v>
      </c>
      <c r="C196" s="3">
        <f t="shared" si="9"/>
        <v>8.1364028395143253E-3</v>
      </c>
      <c r="D196" s="4">
        <f t="shared" si="10"/>
        <v>3807.0919999999996</v>
      </c>
      <c r="E196" s="2">
        <f t="shared" si="11"/>
        <v>48.161606243978234</v>
      </c>
    </row>
    <row r="197" spans="1:5" x14ac:dyDescent="0.25">
      <c r="A197" s="1">
        <v>44216</v>
      </c>
      <c r="B197" s="2">
        <v>3851.85</v>
      </c>
      <c r="C197" s="3">
        <f t="shared" si="9"/>
        <v>1.3935576257400164E-2</v>
      </c>
      <c r="D197" s="4">
        <f t="shared" si="10"/>
        <v>3807.6529999999998</v>
      </c>
      <c r="E197" s="2">
        <f t="shared" si="11"/>
        <v>47.736695329693724</v>
      </c>
    </row>
    <row r="198" spans="1:5" x14ac:dyDescent="0.25">
      <c r="A198" s="1">
        <v>44217</v>
      </c>
      <c r="B198" s="2">
        <v>3853.07</v>
      </c>
      <c r="C198" s="3">
        <f t="shared" si="9"/>
        <v>3.1673092150531686E-4</v>
      </c>
      <c r="D198" s="4">
        <f t="shared" si="10"/>
        <v>3810.393</v>
      </c>
      <c r="E198" s="2">
        <f t="shared" si="11"/>
        <v>47.942140555048255</v>
      </c>
    </row>
    <row r="199" spans="1:5" x14ac:dyDescent="0.25">
      <c r="A199" s="1">
        <v>44218</v>
      </c>
      <c r="B199" s="2">
        <v>3841.47</v>
      </c>
      <c r="C199" s="3">
        <f t="shared" si="9"/>
        <v>-3.0105863636010672E-3</v>
      </c>
      <c r="D199" s="4">
        <f t="shared" si="10"/>
        <v>3808.2249999999999</v>
      </c>
      <c r="E199" s="2">
        <f t="shared" si="11"/>
        <v>46.486485186557218</v>
      </c>
    </row>
    <row r="200" spans="1:5" x14ac:dyDescent="0.25">
      <c r="A200" s="1">
        <v>44221</v>
      </c>
      <c r="B200" s="2">
        <v>3855.36</v>
      </c>
      <c r="C200" s="3">
        <f t="shared" si="9"/>
        <v>3.6158033252896228E-3</v>
      </c>
      <c r="D200" s="4">
        <f t="shared" si="10"/>
        <v>3810.0920000000006</v>
      </c>
      <c r="E200" s="2">
        <f t="shared" si="11"/>
        <v>48.57793466173711</v>
      </c>
    </row>
    <row r="201" spans="1:5" x14ac:dyDescent="0.25">
      <c r="A201" s="1">
        <v>44222</v>
      </c>
      <c r="B201" s="2">
        <v>3849.62</v>
      </c>
      <c r="C201" s="3">
        <f t="shared" si="9"/>
        <v>-1.4888363213812034E-3</v>
      </c>
      <c r="D201" s="4">
        <f t="shared" si="10"/>
        <v>3814.6280000000006</v>
      </c>
      <c r="E201" s="2">
        <f t="shared" si="11"/>
        <v>53.194497986163945</v>
      </c>
    </row>
    <row r="202" spans="1:5" x14ac:dyDescent="0.25">
      <c r="A202" s="1">
        <v>44223</v>
      </c>
      <c r="B202" s="2">
        <v>3750.77</v>
      </c>
      <c r="C202" s="3">
        <f t="shared" si="9"/>
        <v>-2.5677859113367011E-2</v>
      </c>
      <c r="D202" s="4">
        <f t="shared" si="10"/>
        <v>3820.6509999999994</v>
      </c>
      <c r="E202" s="2">
        <f t="shared" si="11"/>
        <v>60.388749357806731</v>
      </c>
    </row>
    <row r="203" spans="1:5" x14ac:dyDescent="0.25">
      <c r="A203" s="1">
        <v>44224</v>
      </c>
      <c r="B203" s="2">
        <v>3787.38</v>
      </c>
      <c r="C203" s="3">
        <f t="shared" si="9"/>
        <v>9.7606624773046938E-3</v>
      </c>
      <c r="D203" s="4">
        <f t="shared" si="10"/>
        <v>3826.8120000000004</v>
      </c>
      <c r="E203" s="2">
        <f t="shared" si="11"/>
        <v>65.919483887542711</v>
      </c>
    </row>
    <row r="204" spans="1:5" x14ac:dyDescent="0.25">
      <c r="A204" s="1">
        <v>44225</v>
      </c>
      <c r="B204" s="2">
        <v>3714.24</v>
      </c>
      <c r="C204" s="3">
        <f t="shared" si="9"/>
        <v>-1.9311502938707054E-2</v>
      </c>
      <c r="D204" s="4">
        <f t="shared" si="10"/>
        <v>3842.7229999999995</v>
      </c>
      <c r="E204" s="2">
        <f t="shared" si="11"/>
        <v>64.838330646308322</v>
      </c>
    </row>
    <row r="205" spans="1:5" x14ac:dyDescent="0.25">
      <c r="A205" s="1">
        <v>44228</v>
      </c>
      <c r="B205" s="2">
        <v>3773.86</v>
      </c>
      <c r="C205" s="3">
        <f t="shared" si="9"/>
        <v>1.605173602136651E-2</v>
      </c>
      <c r="D205" s="4">
        <f t="shared" si="10"/>
        <v>3855.6229999999996</v>
      </c>
      <c r="E205" s="2">
        <f t="shared" si="11"/>
        <v>65.374687157951342</v>
      </c>
    </row>
    <row r="206" spans="1:5" x14ac:dyDescent="0.25">
      <c r="A206" s="1">
        <v>44229</v>
      </c>
      <c r="B206" s="2">
        <v>3826.31</v>
      </c>
      <c r="C206" s="3">
        <f t="shared" si="9"/>
        <v>1.3898236818535879E-2</v>
      </c>
      <c r="D206" s="4">
        <f t="shared" si="10"/>
        <v>3877.6819999999998</v>
      </c>
      <c r="E206" s="2">
        <f t="shared" si="11"/>
        <v>49.149871373178584</v>
      </c>
    </row>
    <row r="207" spans="1:5" x14ac:dyDescent="0.25">
      <c r="A207" s="1">
        <v>44230</v>
      </c>
      <c r="B207" s="2">
        <v>3830.17</v>
      </c>
      <c r="C207" s="3">
        <f t="shared" si="9"/>
        <v>1.0088048276276954E-3</v>
      </c>
      <c r="D207" s="4">
        <f t="shared" si="10"/>
        <v>3893.5550000000003</v>
      </c>
      <c r="E207" s="2">
        <f t="shared" si="11"/>
        <v>37.247091228712115</v>
      </c>
    </row>
    <row r="208" spans="1:5" x14ac:dyDescent="0.25">
      <c r="A208" s="1">
        <v>44231</v>
      </c>
      <c r="B208" s="2">
        <v>3871.74</v>
      </c>
      <c r="C208" s="3">
        <f t="shared" si="9"/>
        <v>1.0853304161434011E-2</v>
      </c>
      <c r="D208" s="4">
        <f t="shared" si="10"/>
        <v>3904.0570000000007</v>
      </c>
      <c r="E208" s="2">
        <f t="shared" si="11"/>
        <v>31.1056242663606</v>
      </c>
    </row>
    <row r="209" spans="1:5" x14ac:dyDescent="0.25">
      <c r="A209" s="1">
        <v>44232</v>
      </c>
      <c r="B209" s="2">
        <v>3886.83</v>
      </c>
      <c r="C209" s="3">
        <f t="shared" si="9"/>
        <v>3.8974724542454159E-3</v>
      </c>
      <c r="D209" s="4">
        <f t="shared" si="10"/>
        <v>3912.4370000000004</v>
      </c>
      <c r="E209" s="2">
        <f t="shared" si="11"/>
        <v>19.006139560678861</v>
      </c>
    </row>
    <row r="210" spans="1:5" x14ac:dyDescent="0.25">
      <c r="A210" s="1">
        <v>44235</v>
      </c>
      <c r="B210" s="2">
        <v>3915.59</v>
      </c>
      <c r="C210" s="3">
        <f t="shared" si="9"/>
        <v>7.399345996609118E-3</v>
      </c>
      <c r="D210" s="4">
        <f t="shared" si="10"/>
        <v>3915.9339999999997</v>
      </c>
      <c r="E210" s="2">
        <f t="shared" si="11"/>
        <v>13.662342551700284</v>
      </c>
    </row>
    <row r="211" spans="1:5" x14ac:dyDescent="0.25">
      <c r="A211" s="1">
        <v>44236</v>
      </c>
      <c r="B211" s="2">
        <v>3911.23</v>
      </c>
      <c r="C211" s="3">
        <f t="shared" si="9"/>
        <v>-1.1134975827397984E-3</v>
      </c>
      <c r="D211" s="4">
        <f t="shared" si="10"/>
        <v>3914.9010000000003</v>
      </c>
      <c r="E211" s="2">
        <f t="shared" si="11"/>
        <v>16.012253713952944</v>
      </c>
    </row>
    <row r="212" spans="1:5" x14ac:dyDescent="0.25">
      <c r="A212" s="1">
        <v>44237</v>
      </c>
      <c r="B212" s="2">
        <v>3909.88</v>
      </c>
      <c r="C212" s="3">
        <f t="shared" si="9"/>
        <v>-3.4515996246702675E-4</v>
      </c>
      <c r="D212" s="4">
        <f t="shared" si="10"/>
        <v>3911.4790000000007</v>
      </c>
      <c r="E212" s="2">
        <f t="shared" si="11"/>
        <v>18.89623002082692</v>
      </c>
    </row>
    <row r="213" spans="1:5" x14ac:dyDescent="0.25">
      <c r="A213" s="1">
        <v>44238</v>
      </c>
      <c r="B213" s="2">
        <v>3916.38</v>
      </c>
      <c r="C213" s="3">
        <f t="shared" si="9"/>
        <v>1.6624551137119298E-3</v>
      </c>
      <c r="D213" s="4">
        <f t="shared" si="10"/>
        <v>3912.8990000000003</v>
      </c>
      <c r="E213" s="2">
        <f t="shared" si="11"/>
        <v>19.352207858536456</v>
      </c>
    </row>
    <row r="214" spans="1:5" x14ac:dyDescent="0.25">
      <c r="A214" s="1">
        <v>44239</v>
      </c>
      <c r="B214" s="2">
        <v>3934.83</v>
      </c>
      <c r="C214" s="3">
        <f t="shared" si="9"/>
        <v>4.7109831017418677E-3</v>
      </c>
      <c r="D214" s="4">
        <f t="shared" si="10"/>
        <v>3904.8449999999998</v>
      </c>
      <c r="E214" s="2">
        <f t="shared" si="11"/>
        <v>31.732321771342193</v>
      </c>
    </row>
    <row r="215" spans="1:5" x14ac:dyDescent="0.25">
      <c r="A215" s="1">
        <v>44243</v>
      </c>
      <c r="B215" s="2">
        <v>3932.59</v>
      </c>
      <c r="C215" s="3">
        <f t="shared" si="9"/>
        <v>-5.6927491149548568E-4</v>
      </c>
      <c r="D215" s="4">
        <f t="shared" si="10"/>
        <v>3894.3220000000001</v>
      </c>
      <c r="E215" s="2">
        <f t="shared" si="11"/>
        <v>41.961606213299262</v>
      </c>
    </row>
    <row r="216" spans="1:5" x14ac:dyDescent="0.25">
      <c r="A216" s="1">
        <v>44244</v>
      </c>
      <c r="B216" s="2">
        <v>3931.33</v>
      </c>
      <c r="C216" s="3">
        <f t="shared" si="9"/>
        <v>-3.2039953313216436E-4</v>
      </c>
      <c r="D216" s="4">
        <f t="shared" si="10"/>
        <v>3891.0209999999997</v>
      </c>
      <c r="E216" s="2">
        <f t="shared" si="11"/>
        <v>39.892505423951455</v>
      </c>
    </row>
    <row r="217" spans="1:5" x14ac:dyDescent="0.25">
      <c r="A217" s="1">
        <v>44245</v>
      </c>
      <c r="B217" s="2">
        <v>3913.97</v>
      </c>
      <c r="C217" s="3">
        <f t="shared" si="9"/>
        <v>-4.4158083905447079E-3</v>
      </c>
      <c r="D217" s="4">
        <f t="shared" si="10"/>
        <v>3884.7910000000002</v>
      </c>
      <c r="E217" s="2">
        <f t="shared" si="11"/>
        <v>37.719734211682812</v>
      </c>
    </row>
    <row r="218" spans="1:5" x14ac:dyDescent="0.25">
      <c r="A218" s="1">
        <v>44246</v>
      </c>
      <c r="B218" s="2">
        <v>3906.71</v>
      </c>
      <c r="C218" s="3">
        <f t="shared" si="9"/>
        <v>-1.8548941356218275E-3</v>
      </c>
      <c r="D218" s="4">
        <f t="shared" si="10"/>
        <v>3873.63</v>
      </c>
      <c r="E218" s="2">
        <f t="shared" si="11"/>
        <v>38.794923379225764</v>
      </c>
    </row>
    <row r="219" spans="1:5" x14ac:dyDescent="0.25">
      <c r="A219" s="1">
        <v>44249</v>
      </c>
      <c r="B219" s="2">
        <v>3876.5</v>
      </c>
      <c r="C219" s="3">
        <f t="shared" si="9"/>
        <v>-7.732849379657061E-3</v>
      </c>
      <c r="D219" s="4">
        <f t="shared" si="10"/>
        <v>3859.0800000000004</v>
      </c>
      <c r="E219" s="2">
        <f t="shared" si="11"/>
        <v>47.291379552726127</v>
      </c>
    </row>
    <row r="220" spans="1:5" x14ac:dyDescent="0.25">
      <c r="A220" s="1">
        <v>44250</v>
      </c>
      <c r="B220" s="2">
        <v>3881.37</v>
      </c>
      <c r="C220" s="3">
        <f t="shared" si="9"/>
        <v>1.2562878885592392E-3</v>
      </c>
      <c r="D220" s="4">
        <f t="shared" si="10"/>
        <v>3852.6030000000005</v>
      </c>
      <c r="E220" s="2">
        <f t="shared" si="11"/>
        <v>44.688245893075752</v>
      </c>
    </row>
    <row r="221" spans="1:5" x14ac:dyDescent="0.25">
      <c r="A221" s="1">
        <v>44251</v>
      </c>
      <c r="B221" s="2">
        <v>3925.43</v>
      </c>
      <c r="C221" s="3">
        <f t="shared" si="9"/>
        <v>1.1351661913190432E-2</v>
      </c>
      <c r="D221" s="4">
        <f t="shared" si="10"/>
        <v>3847.0880000000006</v>
      </c>
      <c r="E221" s="2">
        <f t="shared" si="11"/>
        <v>44.801701262340494</v>
      </c>
    </row>
    <row r="222" spans="1:5" x14ac:dyDescent="0.25">
      <c r="A222" s="1">
        <v>44252</v>
      </c>
      <c r="B222" s="2">
        <v>3829.34</v>
      </c>
      <c r="C222" s="3">
        <f t="shared" si="9"/>
        <v>-2.4478846903396492E-2</v>
      </c>
      <c r="D222" s="4">
        <f t="shared" si="10"/>
        <v>3846.4950000000003</v>
      </c>
      <c r="E222" s="2">
        <f t="shared" si="11"/>
        <v>44.381289131795207</v>
      </c>
    </row>
    <row r="223" spans="1:5" x14ac:dyDescent="0.25">
      <c r="A223" s="1">
        <v>44253</v>
      </c>
      <c r="B223" s="2">
        <v>3811.15</v>
      </c>
      <c r="C223" s="3">
        <f t="shared" si="9"/>
        <v>-4.7501658249202352E-3</v>
      </c>
      <c r="D223" s="4">
        <f t="shared" si="10"/>
        <v>3843.8329999999996</v>
      </c>
      <c r="E223" s="2">
        <f t="shared" si="11"/>
        <v>40.164973310087049</v>
      </c>
    </row>
    <row r="224" spans="1:5" x14ac:dyDescent="0.25">
      <c r="A224" s="1">
        <v>44256</v>
      </c>
      <c r="B224" s="2">
        <v>3901.82</v>
      </c>
      <c r="C224" s="3">
        <f t="shared" si="9"/>
        <v>2.3790719336683173E-2</v>
      </c>
      <c r="D224" s="4">
        <f t="shared" si="10"/>
        <v>3854.8330000000001</v>
      </c>
      <c r="E224" s="2">
        <f t="shared" si="11"/>
        <v>48.819863590551009</v>
      </c>
    </row>
    <row r="225" spans="1:5" x14ac:dyDescent="0.25">
      <c r="A225" s="1">
        <v>44257</v>
      </c>
      <c r="B225" s="2">
        <v>3870.29</v>
      </c>
      <c r="C225" s="3">
        <f t="shared" si="9"/>
        <v>-8.0808443239309344E-3</v>
      </c>
      <c r="D225" s="4">
        <f t="shared" si="10"/>
        <v>3868.0519999999988</v>
      </c>
      <c r="E225" s="2">
        <f t="shared" si="11"/>
        <v>52.926038733311707</v>
      </c>
    </row>
    <row r="226" spans="1:5" x14ac:dyDescent="0.25">
      <c r="A226" s="1">
        <v>44258</v>
      </c>
      <c r="B226" s="2">
        <v>3819.72</v>
      </c>
      <c r="C226" s="3">
        <f t="shared" si="9"/>
        <v>-1.3066204341276795E-2</v>
      </c>
      <c r="D226" s="4">
        <f t="shared" si="10"/>
        <v>3874.7640000000001</v>
      </c>
      <c r="E226" s="2">
        <f t="shared" si="11"/>
        <v>60.497319808401521</v>
      </c>
    </row>
    <row r="227" spans="1:5" x14ac:dyDescent="0.25">
      <c r="A227" s="1">
        <v>44259</v>
      </c>
      <c r="B227" s="2">
        <v>3768.47</v>
      </c>
      <c r="C227" s="3">
        <f t="shared" si="9"/>
        <v>-1.3417213827191523E-2</v>
      </c>
      <c r="D227" s="4">
        <f t="shared" si="10"/>
        <v>3884.0059999999999</v>
      </c>
      <c r="E227" s="2">
        <f t="shared" si="11"/>
        <v>65.923890692221832</v>
      </c>
    </row>
    <row r="228" spans="1:5" x14ac:dyDescent="0.25">
      <c r="A228" s="1">
        <v>44260</v>
      </c>
      <c r="B228" s="2">
        <v>3841.94</v>
      </c>
      <c r="C228" s="3">
        <f t="shared" si="9"/>
        <v>1.9495975820425865E-2</v>
      </c>
      <c r="D228" s="4">
        <f t="shared" si="10"/>
        <v>3899.4460000000008</v>
      </c>
      <c r="E228" s="2">
        <f t="shared" si="11"/>
        <v>67.129353370936073</v>
      </c>
    </row>
    <row r="229" spans="1:5" x14ac:dyDescent="0.25">
      <c r="A229" s="1">
        <v>44263</v>
      </c>
      <c r="B229" s="2">
        <v>3821.35</v>
      </c>
      <c r="C229" s="3">
        <f t="shared" si="9"/>
        <v>-5.3592716179847021E-3</v>
      </c>
      <c r="D229" s="4">
        <f t="shared" si="10"/>
        <v>3914.1449999999995</v>
      </c>
      <c r="E229" s="2">
        <f t="shared" si="11"/>
        <v>50.994735463575076</v>
      </c>
    </row>
    <row r="230" spans="1:5" x14ac:dyDescent="0.25">
      <c r="A230" s="1">
        <v>44264</v>
      </c>
      <c r="B230" s="2">
        <v>3875.44</v>
      </c>
      <c r="C230" s="3">
        <f t="shared" si="9"/>
        <v>1.415468355424134E-2</v>
      </c>
      <c r="D230" s="4">
        <f t="shared" si="10"/>
        <v>3921.2609999999995</v>
      </c>
      <c r="E230" s="2">
        <f t="shared" si="11"/>
        <v>45.039744548565139</v>
      </c>
    </row>
    <row r="231" spans="1:5" x14ac:dyDescent="0.25">
      <c r="A231" s="1">
        <v>44265</v>
      </c>
      <c r="B231" s="2">
        <v>3898.81</v>
      </c>
      <c r="C231" s="3">
        <f t="shared" si="9"/>
        <v>6.0302830130255893E-3</v>
      </c>
      <c r="D231" s="4">
        <f t="shared" si="10"/>
        <v>3933.184999999999</v>
      </c>
      <c r="E231" s="2">
        <f t="shared" si="11"/>
        <v>30.422640335776258</v>
      </c>
    </row>
    <row r="232" spans="1:5" x14ac:dyDescent="0.25">
      <c r="A232" s="1">
        <v>44266</v>
      </c>
      <c r="B232" s="2">
        <v>3939.34</v>
      </c>
      <c r="C232" s="3">
        <f t="shared" si="9"/>
        <v>1.0395479646353683E-2</v>
      </c>
      <c r="D232" s="4">
        <f t="shared" si="10"/>
        <v>3936.6929999999993</v>
      </c>
      <c r="E232" s="2">
        <f t="shared" si="11"/>
        <v>25.12275265571034</v>
      </c>
    </row>
    <row r="233" spans="1:5" x14ac:dyDescent="0.25">
      <c r="A233" s="1">
        <v>44267</v>
      </c>
      <c r="B233" s="2">
        <v>3943.34</v>
      </c>
      <c r="C233" s="3">
        <f t="shared" si="9"/>
        <v>1.0153985185335614E-3</v>
      </c>
      <c r="D233" s="4">
        <f t="shared" si="10"/>
        <v>3935.7259999999997</v>
      </c>
      <c r="E233" s="2">
        <f t="shared" si="11"/>
        <v>26.698955485187088</v>
      </c>
    </row>
    <row r="234" spans="1:5" x14ac:dyDescent="0.25">
      <c r="A234" s="1">
        <v>44270</v>
      </c>
      <c r="B234" s="2">
        <v>3968.94</v>
      </c>
      <c r="C234" s="3">
        <f t="shared" si="9"/>
        <v>6.4919585934765725E-3</v>
      </c>
      <c r="D234" s="4">
        <f t="shared" si="10"/>
        <v>3932.7439999999997</v>
      </c>
      <c r="E234" s="2">
        <f t="shared" si="11"/>
        <v>27.77249077774627</v>
      </c>
    </row>
    <row r="235" spans="1:5" x14ac:dyDescent="0.25">
      <c r="A235" s="1">
        <v>44271</v>
      </c>
      <c r="B235" s="2">
        <v>3962.71</v>
      </c>
      <c r="C235" s="3">
        <f t="shared" si="9"/>
        <v>-1.5696886322292647E-3</v>
      </c>
      <c r="D235" s="4">
        <f t="shared" si="10"/>
        <v>3935.864</v>
      </c>
      <c r="E235" s="2">
        <f t="shared" si="11"/>
        <v>30.414468333344264</v>
      </c>
    </row>
    <row r="236" spans="1:5" x14ac:dyDescent="0.25">
      <c r="A236" s="1">
        <v>44272</v>
      </c>
      <c r="B236" s="2">
        <v>3974.12</v>
      </c>
      <c r="C236" s="3">
        <f t="shared" si="9"/>
        <v>2.8793426720602451E-3</v>
      </c>
      <c r="D236" s="4">
        <f t="shared" si="10"/>
        <v>3936.0790000000006</v>
      </c>
      <c r="E236" s="2">
        <f t="shared" si="11"/>
        <v>30.654177349914352</v>
      </c>
    </row>
    <row r="237" spans="1:5" x14ac:dyDescent="0.25">
      <c r="A237" s="1">
        <v>44273</v>
      </c>
      <c r="B237" s="2">
        <v>3915.46</v>
      </c>
      <c r="C237" s="3">
        <f t="shared" si="9"/>
        <v>-1.4760500437832742E-2</v>
      </c>
      <c r="D237" s="4">
        <f t="shared" si="10"/>
        <v>3935.6630000000005</v>
      </c>
      <c r="E237" s="2">
        <f t="shared" si="11"/>
        <v>30.3163174049884</v>
      </c>
    </row>
    <row r="238" spans="1:5" x14ac:dyDescent="0.25">
      <c r="A238" s="1">
        <v>44274</v>
      </c>
      <c r="B238" s="2">
        <v>3913.1</v>
      </c>
      <c r="C238" s="3">
        <f t="shared" si="9"/>
        <v>-6.0273888636332065E-4</v>
      </c>
      <c r="D238" s="4">
        <f t="shared" si="10"/>
        <v>3935.54</v>
      </c>
      <c r="E238" s="2">
        <f t="shared" si="11"/>
        <v>30.16214249684532</v>
      </c>
    </row>
    <row r="239" spans="1:5" x14ac:dyDescent="0.25">
      <c r="A239" s="1">
        <v>44277</v>
      </c>
      <c r="B239" s="2">
        <v>3940.59</v>
      </c>
      <c r="C239" s="3">
        <f t="shared" si="9"/>
        <v>7.0251207482559192E-3</v>
      </c>
      <c r="D239" s="4">
        <f t="shared" si="10"/>
        <v>3945.9810000000007</v>
      </c>
      <c r="E239" s="2">
        <f t="shared" si="11"/>
        <v>38.361108026228862</v>
      </c>
    </row>
    <row r="240" spans="1:5" x14ac:dyDescent="0.25">
      <c r="A240" s="1">
        <v>44278</v>
      </c>
      <c r="B240" s="2">
        <v>3910.52</v>
      </c>
      <c r="C240" s="3">
        <f t="shared" si="9"/>
        <v>-7.6308370066411786E-3</v>
      </c>
      <c r="D240" s="4">
        <f t="shared" si="10"/>
        <v>3962.4619999999995</v>
      </c>
      <c r="E240" s="2">
        <f t="shared" si="11"/>
        <v>53.219933633930779</v>
      </c>
    </row>
    <row r="241" spans="1:5" x14ac:dyDescent="0.25">
      <c r="A241" s="1">
        <v>44279</v>
      </c>
      <c r="B241" s="2">
        <v>3889.14</v>
      </c>
      <c r="C241" s="3">
        <f t="shared" si="9"/>
        <v>-5.4673035811094459E-3</v>
      </c>
      <c r="D241" s="4">
        <f t="shared" si="10"/>
        <v>3975.797</v>
      </c>
      <c r="E241" s="2">
        <f t="shared" si="11"/>
        <v>62.043816138274408</v>
      </c>
    </row>
    <row r="242" spans="1:5" x14ac:dyDescent="0.25">
      <c r="A242" s="1">
        <v>44280</v>
      </c>
      <c r="B242" s="2">
        <v>3909.52</v>
      </c>
      <c r="C242" s="3">
        <f t="shared" si="9"/>
        <v>5.2402330592367747E-3</v>
      </c>
      <c r="D242" s="4">
        <f t="shared" si="10"/>
        <v>3992.7399999999993</v>
      </c>
      <c r="E242" s="2">
        <f t="shared" si="11"/>
        <v>64.969577034178059</v>
      </c>
    </row>
    <row r="243" spans="1:5" x14ac:dyDescent="0.25">
      <c r="A243" s="1">
        <v>44281</v>
      </c>
      <c r="B243" s="2">
        <v>3974.54</v>
      </c>
      <c r="C243" s="3">
        <f t="shared" si="9"/>
        <v>1.6631197691788245E-2</v>
      </c>
      <c r="D243" s="4">
        <f t="shared" si="10"/>
        <v>4013.5429999999992</v>
      </c>
      <c r="E243" s="2">
        <f t="shared" si="11"/>
        <v>61.689120766955305</v>
      </c>
    </row>
    <row r="244" spans="1:5" x14ac:dyDescent="0.25">
      <c r="A244" s="1">
        <v>44284</v>
      </c>
      <c r="B244" s="2">
        <v>3971.09</v>
      </c>
      <c r="C244" s="3">
        <f t="shared" si="9"/>
        <v>-8.6802497899123368E-4</v>
      </c>
      <c r="D244" s="4">
        <f t="shared" si="10"/>
        <v>4035.471</v>
      </c>
      <c r="E244" s="2">
        <f t="shared" si="11"/>
        <v>59.758259588110491</v>
      </c>
    </row>
    <row r="245" spans="1:5" x14ac:dyDescent="0.25">
      <c r="A245" s="1">
        <v>44285</v>
      </c>
      <c r="B245" s="2">
        <v>3958.55</v>
      </c>
      <c r="C245" s="3">
        <f t="shared" si="9"/>
        <v>-3.1578231669390426E-3</v>
      </c>
      <c r="D245" s="4">
        <f t="shared" si="10"/>
        <v>4050.8160000000003</v>
      </c>
      <c r="E245" s="2">
        <f t="shared" si="11"/>
        <v>61.808562707767244</v>
      </c>
    </row>
    <row r="246" spans="1:5" x14ac:dyDescent="0.25">
      <c r="A246" s="1">
        <v>44286</v>
      </c>
      <c r="B246" s="2">
        <v>3972.89</v>
      </c>
      <c r="C246" s="3">
        <f t="shared" si="9"/>
        <v>3.6225385557842366E-3</v>
      </c>
      <c r="D246" s="4">
        <f t="shared" si="10"/>
        <v>4067.8660000000004</v>
      </c>
      <c r="E246" s="2">
        <f t="shared" si="11"/>
        <v>60.975112332819862</v>
      </c>
    </row>
    <row r="247" spans="1:5" x14ac:dyDescent="0.25">
      <c r="A247" s="1">
        <v>44287</v>
      </c>
      <c r="B247" s="2">
        <v>4019.87</v>
      </c>
      <c r="C247" s="3">
        <f t="shared" si="9"/>
        <v>1.1825144919693225E-2</v>
      </c>
      <c r="D247" s="4">
        <f t="shared" si="10"/>
        <v>4084.4770000000003</v>
      </c>
      <c r="E247" s="2">
        <f t="shared" si="11"/>
        <v>50.691183266915417</v>
      </c>
    </row>
    <row r="248" spans="1:5" x14ac:dyDescent="0.25">
      <c r="A248" s="1">
        <v>44291</v>
      </c>
      <c r="B248" s="2">
        <v>4077.91</v>
      </c>
      <c r="C248" s="3">
        <f t="shared" si="9"/>
        <v>1.4438277854756489E-2</v>
      </c>
      <c r="D248" s="4">
        <f t="shared" si="10"/>
        <v>4104.2299999999996</v>
      </c>
      <c r="E248" s="2">
        <f t="shared" si="11"/>
        <v>40.900722732000766</v>
      </c>
    </row>
    <row r="249" spans="1:5" x14ac:dyDescent="0.25">
      <c r="A249" s="1">
        <v>44292</v>
      </c>
      <c r="B249" s="2">
        <v>4073.94</v>
      </c>
      <c r="C249" s="3">
        <f t="shared" si="9"/>
        <v>-9.7353791525555983E-4</v>
      </c>
      <c r="D249" s="4">
        <f t="shared" si="10"/>
        <v>4120.79</v>
      </c>
      <c r="E249" s="2">
        <f t="shared" si="11"/>
        <v>36.701067014461671</v>
      </c>
    </row>
    <row r="250" spans="1:5" x14ac:dyDescent="0.25">
      <c r="A250" s="1">
        <v>44293</v>
      </c>
      <c r="B250" s="2">
        <v>4079.95</v>
      </c>
      <c r="C250" s="3">
        <f t="shared" si="9"/>
        <v>1.4752303666720088E-3</v>
      </c>
      <c r="D250" s="4">
        <f t="shared" si="10"/>
        <v>4129.3249999999998</v>
      </c>
      <c r="E250" s="2">
        <f t="shared" si="11"/>
        <v>35.645795614630437</v>
      </c>
    </row>
    <row r="251" spans="1:5" x14ac:dyDescent="0.25">
      <c r="A251" s="1">
        <v>44294</v>
      </c>
      <c r="B251" s="2">
        <v>4097.17</v>
      </c>
      <c r="C251" s="3">
        <f t="shared" si="9"/>
        <v>4.2206399588230878E-3</v>
      </c>
      <c r="D251" s="4">
        <f t="shared" si="10"/>
        <v>4135.4250000000011</v>
      </c>
      <c r="E251" s="2">
        <f t="shared" si="11"/>
        <v>30.492880234572898</v>
      </c>
    </row>
    <row r="252" spans="1:5" x14ac:dyDescent="0.25">
      <c r="A252" s="1">
        <v>44295</v>
      </c>
      <c r="B252" s="2">
        <v>4128.8</v>
      </c>
      <c r="C252" s="3">
        <f t="shared" si="9"/>
        <v>7.7199628035937266E-3</v>
      </c>
      <c r="D252" s="4">
        <f t="shared" si="10"/>
        <v>4144.7720000000008</v>
      </c>
      <c r="E252" s="2">
        <f t="shared" si="11"/>
        <v>26.058852161981431</v>
      </c>
    </row>
    <row r="253" spans="1:5" x14ac:dyDescent="0.25">
      <c r="A253" s="1">
        <v>44298</v>
      </c>
      <c r="B253" s="2">
        <v>4127.99</v>
      </c>
      <c r="C253" s="3">
        <f t="shared" si="9"/>
        <v>-1.9618291028880065E-4</v>
      </c>
      <c r="D253" s="4">
        <f t="shared" si="10"/>
        <v>4148.5529999999999</v>
      </c>
      <c r="E253" s="2">
        <f t="shared" si="11"/>
        <v>21.160366277548366</v>
      </c>
    </row>
    <row r="254" spans="1:5" x14ac:dyDescent="0.25">
      <c r="A254" s="1">
        <v>44299</v>
      </c>
      <c r="B254" s="2">
        <v>4141.59</v>
      </c>
      <c r="C254" s="3">
        <f t="shared" si="9"/>
        <v>3.2945816244710777E-3</v>
      </c>
      <c r="D254" s="4">
        <f t="shared" si="10"/>
        <v>4153.6899999999996</v>
      </c>
      <c r="E254" s="2">
        <f t="shared" si="11"/>
        <v>21.961732627459238</v>
      </c>
    </row>
    <row r="255" spans="1:5" x14ac:dyDescent="0.25">
      <c r="A255" s="1">
        <v>44300</v>
      </c>
      <c r="B255" s="2">
        <v>4124.66</v>
      </c>
      <c r="C255" s="3">
        <f t="shared" si="9"/>
        <v>-4.0878020277237224E-3</v>
      </c>
      <c r="D255" s="4">
        <f t="shared" si="10"/>
        <v>4159.6530000000002</v>
      </c>
      <c r="E255" s="2">
        <f t="shared" si="11"/>
        <v>22.267371218893491</v>
      </c>
    </row>
    <row r="256" spans="1:5" x14ac:dyDescent="0.25">
      <c r="A256" s="1">
        <v>44301</v>
      </c>
      <c r="B256" s="2">
        <v>4170.42</v>
      </c>
      <c r="C256" s="3">
        <f t="shared" si="9"/>
        <v>1.1094247768300956E-2</v>
      </c>
      <c r="D256" s="4">
        <f t="shared" si="10"/>
        <v>4164.1660000000002</v>
      </c>
      <c r="E256" s="2">
        <f t="shared" si="11"/>
        <v>22.717915925542293</v>
      </c>
    </row>
    <row r="257" spans="1:5" x14ac:dyDescent="0.25">
      <c r="A257" s="1">
        <v>44302</v>
      </c>
      <c r="B257" s="2">
        <v>4185.47</v>
      </c>
      <c r="C257" s="3">
        <f t="shared" si="9"/>
        <v>3.6087492386858355E-3</v>
      </c>
      <c r="D257" s="4">
        <f t="shared" si="10"/>
        <v>4170.0180000000009</v>
      </c>
      <c r="E257" s="2">
        <f t="shared" si="11"/>
        <v>19.024684386344173</v>
      </c>
    </row>
    <row r="258" spans="1:5" x14ac:dyDescent="0.25">
      <c r="A258" s="1">
        <v>44305</v>
      </c>
      <c r="B258" s="2">
        <v>4163.26</v>
      </c>
      <c r="C258" s="3">
        <f t="shared" si="9"/>
        <v>-5.3064530387268421E-3</v>
      </c>
      <c r="D258" s="4">
        <f t="shared" si="10"/>
        <v>4174.1229999999996</v>
      </c>
      <c r="E258" s="2">
        <f t="shared" si="11"/>
        <v>22.735396653676609</v>
      </c>
    </row>
    <row r="259" spans="1:5" x14ac:dyDescent="0.25">
      <c r="A259" s="1">
        <v>44306</v>
      </c>
      <c r="B259" s="2">
        <v>4134.9399999999996</v>
      </c>
      <c r="C259" s="3">
        <f t="shared" ref="C259:C322" si="12">(B259-B258)/B258</f>
        <v>-6.8023616108531812E-3</v>
      </c>
      <c r="D259" s="4">
        <f t="shared" ref="D259:D322" si="13">AVERAGE(B258:B267)</f>
        <v>4173.6929999999993</v>
      </c>
      <c r="E259" s="2">
        <f t="shared" ref="E259:E322" si="14">_xlfn.STDEV.P(B258:B267)</f>
        <v>22.556682845667027</v>
      </c>
    </row>
    <row r="260" spans="1:5" x14ac:dyDescent="0.25">
      <c r="A260" s="1">
        <v>44307</v>
      </c>
      <c r="B260" s="2">
        <v>4173.42</v>
      </c>
      <c r="C260" s="3">
        <f t="shared" si="12"/>
        <v>9.3060600637495296E-3</v>
      </c>
      <c r="D260" s="4">
        <f t="shared" si="13"/>
        <v>4176.6329999999998</v>
      </c>
      <c r="E260" s="2">
        <f t="shared" si="14"/>
        <v>22.918339839526094</v>
      </c>
    </row>
    <row r="261" spans="1:5" x14ac:dyDescent="0.25">
      <c r="A261" s="1">
        <v>44308</v>
      </c>
      <c r="B261" s="2">
        <v>4134.9799999999996</v>
      </c>
      <c r="C261" s="3">
        <f t="shared" si="12"/>
        <v>-9.2106713438859511E-3</v>
      </c>
      <c r="D261" s="4">
        <f t="shared" si="13"/>
        <v>4179.6050000000005</v>
      </c>
      <c r="E261" s="2">
        <f t="shared" si="14"/>
        <v>18.892383782890022</v>
      </c>
    </row>
    <row r="262" spans="1:5" x14ac:dyDescent="0.25">
      <c r="A262" s="1">
        <v>44309</v>
      </c>
      <c r="B262" s="2">
        <v>4180.17</v>
      </c>
      <c r="C262" s="3">
        <f t="shared" si="12"/>
        <v>1.0928710658818305E-2</v>
      </c>
      <c r="D262" s="4">
        <f t="shared" si="13"/>
        <v>4179.0219999999999</v>
      </c>
      <c r="E262" s="2">
        <f t="shared" si="14"/>
        <v>19.162277422060399</v>
      </c>
    </row>
    <row r="263" spans="1:5" x14ac:dyDescent="0.25">
      <c r="A263" s="1">
        <v>44312</v>
      </c>
      <c r="B263" s="2">
        <v>4187.62</v>
      </c>
      <c r="C263" s="3">
        <f t="shared" si="12"/>
        <v>1.7822241679165724E-3</v>
      </c>
      <c r="D263" s="4">
        <f t="shared" si="13"/>
        <v>4185.6860000000006</v>
      </c>
      <c r="E263" s="2">
        <f t="shared" si="14"/>
        <v>13.411978377554915</v>
      </c>
    </row>
    <row r="264" spans="1:5" x14ac:dyDescent="0.25">
      <c r="A264" s="1">
        <v>44313</v>
      </c>
      <c r="B264" s="2">
        <v>4186.72</v>
      </c>
      <c r="C264" s="3">
        <f t="shared" si="12"/>
        <v>-2.1491921425526581E-4</v>
      </c>
      <c r="D264" s="4">
        <f t="shared" si="13"/>
        <v>4190.929000000001</v>
      </c>
      <c r="E264" s="2">
        <f t="shared" si="14"/>
        <v>19.220869621325754</v>
      </c>
    </row>
    <row r="265" spans="1:5" x14ac:dyDescent="0.25">
      <c r="A265" s="1">
        <v>44314</v>
      </c>
      <c r="B265" s="2">
        <v>4183.18</v>
      </c>
      <c r="C265" s="3">
        <f t="shared" si="12"/>
        <v>-8.455306301830462E-4</v>
      </c>
      <c r="D265" s="4">
        <f t="shared" si="13"/>
        <v>4191.01</v>
      </c>
      <c r="E265" s="2">
        <f t="shared" si="14"/>
        <v>19.208456991648315</v>
      </c>
    </row>
    <row r="266" spans="1:5" x14ac:dyDescent="0.25">
      <c r="A266" s="1">
        <v>44315</v>
      </c>
      <c r="B266" s="2">
        <v>4211.47</v>
      </c>
      <c r="C266" s="3">
        <f t="shared" si="12"/>
        <v>6.7627976802336889E-3</v>
      </c>
      <c r="D266" s="4">
        <f t="shared" si="13"/>
        <v>4187.5480000000007</v>
      </c>
      <c r="E266" s="2">
        <f t="shared" si="14"/>
        <v>22.506394113673593</v>
      </c>
    </row>
    <row r="267" spans="1:5" x14ac:dyDescent="0.25">
      <c r="A267" s="1">
        <v>44316</v>
      </c>
      <c r="B267" s="2">
        <v>4181.17</v>
      </c>
      <c r="C267" s="3">
        <f t="shared" si="12"/>
        <v>-7.1946375018699365E-3</v>
      </c>
      <c r="D267" s="4">
        <f t="shared" si="13"/>
        <v>4175.5339999999997</v>
      </c>
      <c r="E267" s="2">
        <f t="shared" si="14"/>
        <v>43.709470873027108</v>
      </c>
    </row>
    <row r="268" spans="1:5" x14ac:dyDescent="0.25">
      <c r="A268" s="1">
        <v>44319</v>
      </c>
      <c r="B268" s="2">
        <v>4192.66</v>
      </c>
      <c r="C268" s="3">
        <f t="shared" si="12"/>
        <v>2.7480346410214801E-3</v>
      </c>
      <c r="D268" s="4">
        <f t="shared" si="13"/>
        <v>4165.6370000000006</v>
      </c>
      <c r="E268" s="2">
        <f t="shared" si="14"/>
        <v>45.615305994808416</v>
      </c>
    </row>
    <row r="269" spans="1:5" x14ac:dyDescent="0.25">
      <c r="A269" s="1">
        <v>44320</v>
      </c>
      <c r="B269" s="2">
        <v>4164.66</v>
      </c>
      <c r="C269" s="3">
        <f t="shared" si="12"/>
        <v>-6.6783378571121915E-3</v>
      </c>
      <c r="D269" s="4">
        <f t="shared" si="13"/>
        <v>4164.9049999999997</v>
      </c>
      <c r="E269" s="2">
        <f t="shared" si="14"/>
        <v>45.418479113682409</v>
      </c>
    </row>
    <row r="270" spans="1:5" x14ac:dyDescent="0.25">
      <c r="A270" s="1">
        <v>44321</v>
      </c>
      <c r="B270" s="2">
        <v>4167.59</v>
      </c>
      <c r="C270" s="3">
        <f t="shared" si="12"/>
        <v>7.0353882429785174E-4</v>
      </c>
      <c r="D270" s="4">
        <f t="shared" si="13"/>
        <v>4161.9679999999998</v>
      </c>
      <c r="E270" s="2">
        <f t="shared" si="14"/>
        <v>44.468405593184997</v>
      </c>
    </row>
    <row r="271" spans="1:5" x14ac:dyDescent="0.25">
      <c r="A271" s="1">
        <v>44322</v>
      </c>
      <c r="B271" s="2">
        <v>4201.62</v>
      </c>
      <c r="C271" s="3">
        <f t="shared" si="12"/>
        <v>8.1653905494541799E-3</v>
      </c>
      <c r="D271" s="4">
        <f t="shared" si="13"/>
        <v>4158.2849999999999</v>
      </c>
      <c r="E271" s="2">
        <f t="shared" si="14"/>
        <v>45.603620744410293</v>
      </c>
    </row>
    <row r="272" spans="1:5" x14ac:dyDescent="0.25">
      <c r="A272" s="1">
        <v>44323</v>
      </c>
      <c r="B272" s="2">
        <v>4232.6000000000004</v>
      </c>
      <c r="C272" s="3">
        <f t="shared" si="12"/>
        <v>7.3733464711231555E-3</v>
      </c>
      <c r="D272" s="4">
        <f t="shared" si="13"/>
        <v>4153.0940000000001</v>
      </c>
      <c r="E272" s="2">
        <f t="shared" si="14"/>
        <v>47.176308079373982</v>
      </c>
    </row>
    <row r="273" spans="1:5" x14ac:dyDescent="0.25">
      <c r="A273" s="1">
        <v>44326</v>
      </c>
      <c r="B273" s="2">
        <v>4188.43</v>
      </c>
      <c r="C273" s="3">
        <f t="shared" si="12"/>
        <v>-1.0435666020885524E-2</v>
      </c>
      <c r="D273" s="4">
        <f t="shared" si="13"/>
        <v>4148.844000000001</v>
      </c>
      <c r="E273" s="2">
        <f t="shared" si="14"/>
        <v>44.448796879105842</v>
      </c>
    </row>
    <row r="274" spans="1:5" x14ac:dyDescent="0.25">
      <c r="A274" s="1">
        <v>44327</v>
      </c>
      <c r="B274" s="2">
        <v>4152.1000000000004</v>
      </c>
      <c r="C274" s="3">
        <f t="shared" si="12"/>
        <v>-8.6738945141735507E-3</v>
      </c>
      <c r="D274" s="4">
        <f t="shared" si="13"/>
        <v>4141.17</v>
      </c>
      <c r="E274" s="2">
        <f t="shared" si="14"/>
        <v>34.931660996866491</v>
      </c>
    </row>
    <row r="275" spans="1:5" x14ac:dyDescent="0.25">
      <c r="A275" s="1">
        <v>44328</v>
      </c>
      <c r="B275" s="2">
        <v>4063.04</v>
      </c>
      <c r="C275" s="3">
        <f t="shared" si="12"/>
        <v>-2.1449387057151898E-2</v>
      </c>
      <c r="D275" s="4">
        <f t="shared" si="13"/>
        <v>4142.0320000000011</v>
      </c>
      <c r="E275" s="2">
        <f t="shared" si="14"/>
        <v>36.171599024649197</v>
      </c>
    </row>
    <row r="276" spans="1:5" x14ac:dyDescent="0.25">
      <c r="A276" s="1">
        <v>44329</v>
      </c>
      <c r="B276" s="2">
        <v>4112.5</v>
      </c>
      <c r="C276" s="3">
        <f t="shared" si="12"/>
        <v>1.2173151138064119E-2</v>
      </c>
      <c r="D276" s="4">
        <f t="shared" si="13"/>
        <v>4145.6350000000002</v>
      </c>
      <c r="E276" s="2">
        <f t="shared" si="14"/>
        <v>38.701021498146567</v>
      </c>
    </row>
    <row r="277" spans="1:5" x14ac:dyDescent="0.25">
      <c r="A277" s="1">
        <v>44330</v>
      </c>
      <c r="B277" s="2">
        <v>4173.8500000000004</v>
      </c>
      <c r="C277" s="3">
        <f t="shared" si="12"/>
        <v>1.4917933130699177E-2</v>
      </c>
      <c r="D277" s="4">
        <f t="shared" si="13"/>
        <v>4158.9299999999994</v>
      </c>
      <c r="E277" s="2">
        <f t="shared" si="14"/>
        <v>29.872750793992832</v>
      </c>
    </row>
    <row r="278" spans="1:5" x14ac:dyDescent="0.25">
      <c r="A278" s="1">
        <v>44333</v>
      </c>
      <c r="B278" s="2">
        <v>4163.29</v>
      </c>
      <c r="C278" s="3">
        <f t="shared" si="12"/>
        <v>-2.5300382141189549E-3</v>
      </c>
      <c r="D278" s="4">
        <f t="shared" si="13"/>
        <v>4167.7679999999991</v>
      </c>
      <c r="E278" s="2">
        <f t="shared" si="14"/>
        <v>27.833015575032469</v>
      </c>
    </row>
    <row r="279" spans="1:5" x14ac:dyDescent="0.25">
      <c r="A279" s="1">
        <v>44334</v>
      </c>
      <c r="B279" s="2">
        <v>4127.83</v>
      </c>
      <c r="C279" s="3">
        <f t="shared" si="12"/>
        <v>-8.5173024218827033E-3</v>
      </c>
      <c r="D279" s="4">
        <f t="shared" si="13"/>
        <v>4170.7939999999999</v>
      </c>
      <c r="E279" s="2">
        <f t="shared" si="14"/>
        <v>29.898078600471926</v>
      </c>
    </row>
    <row r="280" spans="1:5" x14ac:dyDescent="0.25">
      <c r="A280" s="1">
        <v>44335</v>
      </c>
      <c r="B280" s="2">
        <v>4115.68</v>
      </c>
      <c r="C280" s="3">
        <f t="shared" si="12"/>
        <v>-2.9434351705374582E-3</v>
      </c>
      <c r="D280" s="4">
        <f t="shared" si="13"/>
        <v>4174.6689999999999</v>
      </c>
      <c r="E280" s="2">
        <f t="shared" si="14"/>
        <v>31.15894300196971</v>
      </c>
    </row>
    <row r="281" spans="1:5" x14ac:dyDescent="0.25">
      <c r="A281" s="1">
        <v>44336</v>
      </c>
      <c r="B281" s="2">
        <v>4159.12</v>
      </c>
      <c r="C281" s="3">
        <f t="shared" si="12"/>
        <v>1.0554756443649555E-2</v>
      </c>
      <c r="D281" s="4">
        <f t="shared" si="13"/>
        <v>4182.6980000000003</v>
      </c>
      <c r="E281" s="2">
        <f t="shared" si="14"/>
        <v>28.2652195462904</v>
      </c>
    </row>
    <row r="282" spans="1:5" x14ac:dyDescent="0.25">
      <c r="A282" s="1">
        <v>44337</v>
      </c>
      <c r="B282" s="2">
        <v>4155.8599999999997</v>
      </c>
      <c r="C282" s="3">
        <f t="shared" si="12"/>
        <v>-7.8381965415766277E-4</v>
      </c>
      <c r="D282" s="4">
        <f t="shared" si="13"/>
        <v>4190.415</v>
      </c>
      <c r="E282" s="2">
        <f t="shared" si="14"/>
        <v>17.335963342139426</v>
      </c>
    </row>
    <row r="283" spans="1:5" x14ac:dyDescent="0.25">
      <c r="A283" s="1">
        <v>44340</v>
      </c>
      <c r="B283" s="2">
        <v>4197.05</v>
      </c>
      <c r="C283" s="3">
        <f t="shared" si="12"/>
        <v>9.9113059631461397E-3</v>
      </c>
      <c r="D283" s="4">
        <f t="shared" si="13"/>
        <v>4197.4920000000002</v>
      </c>
      <c r="E283" s="2">
        <f t="shared" si="14"/>
        <v>17.559657058154741</v>
      </c>
    </row>
    <row r="284" spans="1:5" x14ac:dyDescent="0.25">
      <c r="A284" s="1">
        <v>44341</v>
      </c>
      <c r="B284" s="2">
        <v>4188.13</v>
      </c>
      <c r="C284" s="3">
        <f t="shared" si="12"/>
        <v>-2.1253022956600641E-3</v>
      </c>
      <c r="D284" s="4">
        <f t="shared" si="13"/>
        <v>4204.558</v>
      </c>
      <c r="E284" s="2">
        <f t="shared" si="14"/>
        <v>13.013582750342135</v>
      </c>
    </row>
    <row r="285" spans="1:5" x14ac:dyDescent="0.25">
      <c r="A285" s="1">
        <v>44342</v>
      </c>
      <c r="B285" s="2">
        <v>4195.99</v>
      </c>
      <c r="C285" s="3">
        <f t="shared" si="12"/>
        <v>1.8767325751587636E-3</v>
      </c>
      <c r="D285" s="4">
        <f t="shared" si="13"/>
        <v>4207.5789999999997</v>
      </c>
      <c r="E285" s="2">
        <f t="shared" si="14"/>
        <v>14.357157413638785</v>
      </c>
    </row>
    <row r="286" spans="1:5" x14ac:dyDescent="0.25">
      <c r="A286" s="1">
        <v>44343</v>
      </c>
      <c r="B286" s="2">
        <v>4200.88</v>
      </c>
      <c r="C286" s="3">
        <f t="shared" si="12"/>
        <v>1.1653983922746069E-3</v>
      </c>
      <c r="D286" s="4">
        <f t="shared" si="13"/>
        <v>4210.7209999999995</v>
      </c>
      <c r="E286" s="2">
        <f t="shared" si="14"/>
        <v>13.143817139628936</v>
      </c>
    </row>
    <row r="287" spans="1:5" x14ac:dyDescent="0.25">
      <c r="A287" s="1">
        <v>44344</v>
      </c>
      <c r="B287" s="2">
        <v>4204.1099999999997</v>
      </c>
      <c r="C287" s="3">
        <f t="shared" si="12"/>
        <v>7.6888651901495957E-4</v>
      </c>
      <c r="D287" s="4">
        <f t="shared" si="13"/>
        <v>4215.04</v>
      </c>
      <c r="E287" s="2">
        <f t="shared" si="14"/>
        <v>14.608127874577328</v>
      </c>
    </row>
    <row r="288" spans="1:5" x14ac:dyDescent="0.25">
      <c r="A288" s="1">
        <v>44348</v>
      </c>
      <c r="B288" s="2">
        <v>4202.04</v>
      </c>
      <c r="C288" s="3">
        <f t="shared" si="12"/>
        <v>-4.9237531843831605E-4</v>
      </c>
      <c r="D288" s="4">
        <f t="shared" si="13"/>
        <v>4219.6960000000008</v>
      </c>
      <c r="E288" s="2">
        <f t="shared" si="14"/>
        <v>16.632633706061107</v>
      </c>
    </row>
    <row r="289" spans="1:5" x14ac:dyDescent="0.25">
      <c r="A289" s="1">
        <v>44349</v>
      </c>
      <c r="B289" s="2">
        <v>4208.12</v>
      </c>
      <c r="C289" s="3">
        <f t="shared" si="12"/>
        <v>1.4469162597214513E-3</v>
      </c>
      <c r="D289" s="4">
        <f t="shared" si="13"/>
        <v>4224.8000000000011</v>
      </c>
      <c r="E289" s="2">
        <f t="shared" si="14"/>
        <v>18.761661973289986</v>
      </c>
    </row>
    <row r="290" spans="1:5" x14ac:dyDescent="0.25">
      <c r="A290" s="1">
        <v>44350</v>
      </c>
      <c r="B290" s="2">
        <v>4192.8500000000004</v>
      </c>
      <c r="C290" s="3">
        <f t="shared" si="12"/>
        <v>-3.6286988013648678E-3</v>
      </c>
      <c r="D290" s="4">
        <f t="shared" si="13"/>
        <v>4229.2550000000001</v>
      </c>
      <c r="E290" s="2">
        <f t="shared" si="14"/>
        <v>18.106120097911504</v>
      </c>
    </row>
    <row r="291" spans="1:5" x14ac:dyDescent="0.25">
      <c r="A291" s="1">
        <v>44351</v>
      </c>
      <c r="B291" s="2">
        <v>4229.8900000000003</v>
      </c>
      <c r="C291" s="3">
        <f t="shared" si="12"/>
        <v>8.8340865998068046E-3</v>
      </c>
      <c r="D291" s="4">
        <f t="shared" si="13"/>
        <v>4230.8130000000001</v>
      </c>
      <c r="E291" s="2">
        <f t="shared" si="14"/>
        <v>16.84699382679279</v>
      </c>
    </row>
    <row r="292" spans="1:5" x14ac:dyDescent="0.25">
      <c r="A292" s="1">
        <v>44354</v>
      </c>
      <c r="B292" s="2">
        <v>4226.5200000000004</v>
      </c>
      <c r="C292" s="3">
        <f t="shared" si="12"/>
        <v>-7.9671102558219963E-4</v>
      </c>
      <c r="D292" s="4">
        <f t="shared" si="13"/>
        <v>4233.7139999999999</v>
      </c>
      <c r="E292" s="2">
        <f t="shared" si="14"/>
        <v>11.802630384791243</v>
      </c>
    </row>
    <row r="293" spans="1:5" x14ac:dyDescent="0.25">
      <c r="A293" s="1">
        <v>44355</v>
      </c>
      <c r="B293" s="2">
        <v>4227.26</v>
      </c>
      <c r="C293" s="3">
        <f t="shared" si="12"/>
        <v>1.750849398559055E-4</v>
      </c>
      <c r="D293" s="4">
        <f t="shared" si="13"/>
        <v>4227.37</v>
      </c>
      <c r="E293" s="2">
        <f t="shared" si="14"/>
        <v>23.452889374232761</v>
      </c>
    </row>
    <row r="294" spans="1:5" x14ac:dyDescent="0.25">
      <c r="A294" s="1">
        <v>44356</v>
      </c>
      <c r="B294" s="2">
        <v>4219.55</v>
      </c>
      <c r="C294" s="3">
        <f t="shared" si="12"/>
        <v>-1.8238764589828958E-3</v>
      </c>
      <c r="D294" s="4">
        <f t="shared" si="13"/>
        <v>4227.1970000000001</v>
      </c>
      <c r="E294" s="2">
        <f t="shared" si="14"/>
        <v>23.46489891305735</v>
      </c>
    </row>
    <row r="295" spans="1:5" x14ac:dyDescent="0.25">
      <c r="A295" s="1">
        <v>44357</v>
      </c>
      <c r="B295" s="2">
        <v>4239.18</v>
      </c>
      <c r="C295" s="3">
        <f t="shared" si="12"/>
        <v>4.6521548506357566E-3</v>
      </c>
      <c r="D295" s="4">
        <f t="shared" si="13"/>
        <v>4229.1149999999998</v>
      </c>
      <c r="E295" s="2">
        <f t="shared" si="14"/>
        <v>24.165091868230068</v>
      </c>
    </row>
    <row r="296" spans="1:5" x14ac:dyDescent="0.25">
      <c r="A296" s="1">
        <v>44358</v>
      </c>
      <c r="B296" s="2">
        <v>4247.4399999999996</v>
      </c>
      <c r="C296" s="3">
        <f t="shared" si="12"/>
        <v>1.9484900381675956E-3</v>
      </c>
      <c r="D296" s="4">
        <f t="shared" si="13"/>
        <v>4231.3440000000001</v>
      </c>
      <c r="E296" s="2">
        <f t="shared" si="14"/>
        <v>24.207991738266937</v>
      </c>
    </row>
    <row r="297" spans="1:5" x14ac:dyDescent="0.25">
      <c r="A297" s="1">
        <v>44361</v>
      </c>
      <c r="B297" s="2">
        <v>4255.1499999999996</v>
      </c>
      <c r="C297" s="3">
        <f t="shared" si="12"/>
        <v>1.8152110447705058E-3</v>
      </c>
      <c r="D297" s="4">
        <f t="shared" si="13"/>
        <v>4234.0750000000007</v>
      </c>
      <c r="E297" s="2">
        <f t="shared" si="14"/>
        <v>26.380908722028501</v>
      </c>
    </row>
    <row r="298" spans="1:5" x14ac:dyDescent="0.25">
      <c r="A298" s="1">
        <v>44362</v>
      </c>
      <c r="B298" s="2">
        <v>4246.59</v>
      </c>
      <c r="C298" s="3">
        <f t="shared" si="12"/>
        <v>-2.0116799642784606E-3</v>
      </c>
      <c r="D298" s="4">
        <f t="shared" si="13"/>
        <v>4237.4009999999998</v>
      </c>
      <c r="E298" s="2">
        <f t="shared" si="14"/>
        <v>29.739146070457366</v>
      </c>
    </row>
    <row r="299" spans="1:5" x14ac:dyDescent="0.25">
      <c r="A299" s="1">
        <v>44363</v>
      </c>
      <c r="B299" s="2">
        <v>4223.7</v>
      </c>
      <c r="C299" s="3">
        <f t="shared" si="12"/>
        <v>-5.3902072015429622E-3</v>
      </c>
      <c r="D299" s="4">
        <f t="shared" si="13"/>
        <v>4240.9470000000001</v>
      </c>
      <c r="E299" s="2">
        <f t="shared" si="14"/>
        <v>33.518051270919656</v>
      </c>
    </row>
    <row r="300" spans="1:5" x14ac:dyDescent="0.25">
      <c r="A300" s="1">
        <v>44364</v>
      </c>
      <c r="B300" s="2">
        <v>4221.8599999999997</v>
      </c>
      <c r="C300" s="3">
        <f t="shared" si="12"/>
        <v>-4.3563700073398812E-4</v>
      </c>
      <c r="D300" s="4">
        <f t="shared" si="13"/>
        <v>4245.4679999999998</v>
      </c>
      <c r="E300" s="2">
        <f t="shared" si="14"/>
        <v>36.857003893425755</v>
      </c>
    </row>
    <row r="301" spans="1:5" x14ac:dyDescent="0.25">
      <c r="A301" s="1">
        <v>44365</v>
      </c>
      <c r="B301" s="2">
        <v>4166.45</v>
      </c>
      <c r="C301" s="3">
        <f t="shared" si="12"/>
        <v>-1.3124547000611072E-2</v>
      </c>
      <c r="D301" s="4">
        <f t="shared" si="13"/>
        <v>4252.848</v>
      </c>
      <c r="E301" s="2">
        <f t="shared" si="14"/>
        <v>39.080975627535231</v>
      </c>
    </row>
    <row r="302" spans="1:5" x14ac:dyDescent="0.25">
      <c r="A302" s="1">
        <v>44368</v>
      </c>
      <c r="B302" s="2">
        <v>4224.79</v>
      </c>
      <c r="C302" s="3">
        <f t="shared" si="12"/>
        <v>1.400232812106233E-2</v>
      </c>
      <c r="D302" s="4">
        <f t="shared" si="13"/>
        <v>4262.6560000000009</v>
      </c>
      <c r="E302" s="2">
        <f t="shared" si="14"/>
        <v>42.252027454312753</v>
      </c>
    </row>
    <row r="303" spans="1:5" x14ac:dyDescent="0.25">
      <c r="A303" s="1">
        <v>44369</v>
      </c>
      <c r="B303" s="2">
        <v>4246.4399999999996</v>
      </c>
      <c r="C303" s="3">
        <f t="shared" si="12"/>
        <v>5.1245150646540153E-3</v>
      </c>
      <c r="D303" s="4">
        <f t="shared" si="13"/>
        <v>4281.2449999999999</v>
      </c>
      <c r="E303" s="2">
        <f t="shared" si="14"/>
        <v>36.310404087533939</v>
      </c>
    </row>
    <row r="304" spans="1:5" x14ac:dyDescent="0.25">
      <c r="A304" s="1">
        <v>44370</v>
      </c>
      <c r="B304" s="2">
        <v>4241.84</v>
      </c>
      <c r="C304" s="3">
        <f t="shared" si="12"/>
        <v>-1.08326033100655E-3</v>
      </c>
      <c r="D304" s="4">
        <f t="shared" si="13"/>
        <v>4293.1200000000008</v>
      </c>
      <c r="E304" s="2">
        <f t="shared" si="14"/>
        <v>35.309769469652494</v>
      </c>
    </row>
    <row r="305" spans="1:5" x14ac:dyDescent="0.25">
      <c r="A305" s="1">
        <v>44371</v>
      </c>
      <c r="B305" s="2">
        <v>4266.49</v>
      </c>
      <c r="C305" s="3">
        <f t="shared" si="12"/>
        <v>5.8111574222506355E-3</v>
      </c>
      <c r="D305" s="4">
        <f t="shared" si="13"/>
        <v>4304.2889999999998</v>
      </c>
      <c r="E305" s="2">
        <f t="shared" si="14"/>
        <v>36.424731007929246</v>
      </c>
    </row>
    <row r="306" spans="1:5" x14ac:dyDescent="0.25">
      <c r="A306" s="1">
        <v>44372</v>
      </c>
      <c r="B306" s="2">
        <v>4280.7</v>
      </c>
      <c r="C306" s="3">
        <f t="shared" si="12"/>
        <v>3.3306066579319388E-3</v>
      </c>
      <c r="D306" s="4">
        <f t="shared" si="13"/>
        <v>4312.1869999999999</v>
      </c>
      <c r="E306" s="2">
        <f t="shared" si="14"/>
        <v>30.028690630795154</v>
      </c>
    </row>
    <row r="307" spans="1:5" x14ac:dyDescent="0.25">
      <c r="A307" s="1">
        <v>44375</v>
      </c>
      <c r="B307" s="2">
        <v>4290.6099999999997</v>
      </c>
      <c r="C307" s="3">
        <f t="shared" si="12"/>
        <v>2.3150419323942008E-3</v>
      </c>
      <c r="D307" s="4">
        <f t="shared" si="13"/>
        <v>4322.4930000000004</v>
      </c>
      <c r="E307" s="2">
        <f t="shared" si="14"/>
        <v>30.261170185569593</v>
      </c>
    </row>
    <row r="308" spans="1:5" x14ac:dyDescent="0.25">
      <c r="A308" s="1">
        <v>44376</v>
      </c>
      <c r="B308" s="2">
        <v>4291.8</v>
      </c>
      <c r="C308" s="3">
        <f t="shared" si="12"/>
        <v>2.7734984069876064E-4</v>
      </c>
      <c r="D308" s="4">
        <f t="shared" si="13"/>
        <v>4332.8860000000004</v>
      </c>
      <c r="E308" s="2">
        <f t="shared" si="14"/>
        <v>31.924272333132457</v>
      </c>
    </row>
    <row r="309" spans="1:5" x14ac:dyDescent="0.25">
      <c r="A309" s="1">
        <v>44377</v>
      </c>
      <c r="B309" s="2">
        <v>4297.5</v>
      </c>
      <c r="C309" s="3">
        <f t="shared" si="12"/>
        <v>1.3281140780091844E-3</v>
      </c>
      <c r="D309" s="4">
        <f t="shared" si="13"/>
        <v>4340.7460000000001</v>
      </c>
      <c r="E309" s="2">
        <f t="shared" si="14"/>
        <v>30.176097229429853</v>
      </c>
    </row>
    <row r="310" spans="1:5" x14ac:dyDescent="0.25">
      <c r="A310" s="1">
        <v>44378</v>
      </c>
      <c r="B310" s="2">
        <v>4319.9399999999996</v>
      </c>
      <c r="C310" s="3">
        <f t="shared" si="12"/>
        <v>5.2216404886561022E-3</v>
      </c>
      <c r="D310" s="4">
        <f t="shared" si="13"/>
        <v>4348.9960000000001</v>
      </c>
      <c r="E310" s="2">
        <f t="shared" si="14"/>
        <v>26.74977278408187</v>
      </c>
    </row>
    <row r="311" spans="1:5" x14ac:dyDescent="0.25">
      <c r="A311" s="1">
        <v>44379</v>
      </c>
      <c r="B311" s="2">
        <v>4352.34</v>
      </c>
      <c r="C311" s="3">
        <f t="shared" si="12"/>
        <v>7.500104168113573E-3</v>
      </c>
      <c r="D311" s="4">
        <f t="shared" si="13"/>
        <v>4355.2490000000007</v>
      </c>
      <c r="E311" s="2">
        <f t="shared" si="14"/>
        <v>20.577692995085883</v>
      </c>
    </row>
    <row r="312" spans="1:5" x14ac:dyDescent="0.25">
      <c r="A312" s="1">
        <v>44383</v>
      </c>
      <c r="B312" s="2">
        <v>4343.54</v>
      </c>
      <c r="C312" s="3">
        <f t="shared" si="12"/>
        <v>-2.0219008625245688E-3</v>
      </c>
      <c r="D312" s="4">
        <f t="shared" si="13"/>
        <v>4355.9710000000005</v>
      </c>
      <c r="E312" s="2">
        <f t="shared" si="14"/>
        <v>19.420267995061359</v>
      </c>
    </row>
    <row r="313" spans="1:5" x14ac:dyDescent="0.25">
      <c r="A313" s="1">
        <v>44384</v>
      </c>
      <c r="B313" s="2">
        <v>4358.13</v>
      </c>
      <c r="C313" s="3">
        <f t="shared" si="12"/>
        <v>3.3590113133527368E-3</v>
      </c>
      <c r="D313" s="4">
        <f t="shared" si="13"/>
        <v>4346.5859999999993</v>
      </c>
      <c r="E313" s="2">
        <f t="shared" si="14"/>
        <v>35.185291017696706</v>
      </c>
    </row>
    <row r="314" spans="1:5" x14ac:dyDescent="0.25">
      <c r="A314" s="1">
        <v>44385</v>
      </c>
      <c r="B314" s="2">
        <v>4320.82</v>
      </c>
      <c r="C314" s="3">
        <f t="shared" si="12"/>
        <v>-8.5610112594164001E-3</v>
      </c>
      <c r="D314" s="4">
        <f t="shared" si="13"/>
        <v>4344.5379999999996</v>
      </c>
      <c r="E314" s="2">
        <f t="shared" si="14"/>
        <v>35.891919090514044</v>
      </c>
    </row>
    <row r="315" spans="1:5" x14ac:dyDescent="0.25">
      <c r="A315" s="1">
        <v>44386</v>
      </c>
      <c r="B315" s="2">
        <v>4369.55</v>
      </c>
      <c r="C315" s="3">
        <f t="shared" si="12"/>
        <v>1.1277951870246961E-2</v>
      </c>
      <c r="D315" s="4">
        <f t="shared" si="13"/>
        <v>4344.5939999999991</v>
      </c>
      <c r="E315" s="2">
        <f t="shared" si="14"/>
        <v>35.913512554469037</v>
      </c>
    </row>
    <row r="316" spans="1:5" x14ac:dyDescent="0.25">
      <c r="A316" s="1">
        <v>44389</v>
      </c>
      <c r="B316" s="2">
        <v>4384.63</v>
      </c>
      <c r="C316" s="3">
        <f t="shared" si="12"/>
        <v>3.4511562975592285E-3</v>
      </c>
      <c r="D316" s="4">
        <f t="shared" si="13"/>
        <v>4349.2599999999993</v>
      </c>
      <c r="E316" s="2">
        <f t="shared" si="14"/>
        <v>35.550884939759264</v>
      </c>
    </row>
    <row r="317" spans="1:5" x14ac:dyDescent="0.25">
      <c r="A317" s="1">
        <v>44390</v>
      </c>
      <c r="B317" s="2">
        <v>4369.21</v>
      </c>
      <c r="C317" s="3">
        <f t="shared" si="12"/>
        <v>-3.5168303824952328E-3</v>
      </c>
      <c r="D317" s="4">
        <f t="shared" si="13"/>
        <v>4353.4840000000004</v>
      </c>
      <c r="E317" s="2">
        <f t="shared" si="14"/>
        <v>39.948152948540709</v>
      </c>
    </row>
    <row r="318" spans="1:5" x14ac:dyDescent="0.25">
      <c r="A318" s="1">
        <v>44391</v>
      </c>
      <c r="B318" s="2">
        <v>4374.3</v>
      </c>
      <c r="C318" s="3">
        <f t="shared" si="12"/>
        <v>1.1649703264434864E-3</v>
      </c>
      <c r="D318" s="4">
        <f t="shared" si="13"/>
        <v>4357.2510000000002</v>
      </c>
      <c r="E318" s="2">
        <f t="shared" si="14"/>
        <v>44.251796449409866</v>
      </c>
    </row>
    <row r="319" spans="1:5" x14ac:dyDescent="0.25">
      <c r="A319" s="1">
        <v>44392</v>
      </c>
      <c r="B319" s="2">
        <v>4360.03</v>
      </c>
      <c r="C319" s="3">
        <f t="shared" si="12"/>
        <v>-3.2622362435133475E-3</v>
      </c>
      <c r="D319" s="4">
        <f t="shared" si="13"/>
        <v>4360.4760000000006</v>
      </c>
      <c r="E319" s="2">
        <f t="shared" si="14"/>
        <v>46.140683393291923</v>
      </c>
    </row>
    <row r="320" spans="1:5" x14ac:dyDescent="0.25">
      <c r="A320" s="1">
        <v>44393</v>
      </c>
      <c r="B320" s="2">
        <v>4327.16</v>
      </c>
      <c r="C320" s="3">
        <f t="shared" si="12"/>
        <v>-7.5389389522548915E-3</v>
      </c>
      <c r="D320" s="4">
        <f t="shared" si="13"/>
        <v>4363.1099999999997</v>
      </c>
      <c r="E320" s="2">
        <f t="shared" si="14"/>
        <v>47.583916400397385</v>
      </c>
    </row>
    <row r="321" spans="1:5" x14ac:dyDescent="0.25">
      <c r="A321" s="1">
        <v>44396</v>
      </c>
      <c r="B321" s="2">
        <v>4258.49</v>
      </c>
      <c r="C321" s="3">
        <f t="shared" si="12"/>
        <v>-1.5869531055010693E-2</v>
      </c>
      <c r="D321" s="4">
        <f t="shared" si="13"/>
        <v>4369.0219999999999</v>
      </c>
      <c r="E321" s="2">
        <f t="shared" si="14"/>
        <v>50.42198802110051</v>
      </c>
    </row>
    <row r="322" spans="1:5" x14ac:dyDescent="0.25">
      <c r="A322" s="1">
        <v>44397</v>
      </c>
      <c r="B322" s="2">
        <v>4323.0600000000004</v>
      </c>
      <c r="C322" s="3">
        <f t="shared" si="12"/>
        <v>1.5162651550197517E-2</v>
      </c>
      <c r="D322" s="4">
        <f t="shared" si="13"/>
        <v>4375.8320000000003</v>
      </c>
      <c r="E322" s="2">
        <f t="shared" si="14"/>
        <v>48.883548725517095</v>
      </c>
    </row>
    <row r="323" spans="1:5" x14ac:dyDescent="0.25">
      <c r="A323" s="1">
        <v>44398</v>
      </c>
      <c r="B323" s="2">
        <v>4358.6899999999996</v>
      </c>
      <c r="C323" s="3">
        <f t="shared" ref="C323:C386" si="15">(B323-B322)/B322</f>
        <v>8.2418472100778614E-3</v>
      </c>
      <c r="D323" s="4">
        <f t="shared" ref="D323:D386" si="16">AVERAGE(B322:B331)</f>
        <v>4388.6990000000005</v>
      </c>
      <c r="E323" s="2">
        <f t="shared" ref="E323:E386" si="17">_xlfn.STDEV.P(B322:B331)</f>
        <v>29.325066223284114</v>
      </c>
    </row>
    <row r="324" spans="1:5" x14ac:dyDescent="0.25">
      <c r="A324" s="1">
        <v>44399</v>
      </c>
      <c r="B324" s="2">
        <v>4367.4799999999996</v>
      </c>
      <c r="C324" s="3">
        <f t="shared" si="15"/>
        <v>2.0166609692361614E-3</v>
      </c>
      <c r="D324" s="4">
        <f t="shared" si="16"/>
        <v>4398.7079999999996</v>
      </c>
      <c r="E324" s="2">
        <f t="shared" si="17"/>
        <v>21.157002056057085</v>
      </c>
    </row>
    <row r="325" spans="1:5" x14ac:dyDescent="0.25">
      <c r="A325" s="1">
        <v>44400</v>
      </c>
      <c r="B325" s="2">
        <v>4411.79</v>
      </c>
      <c r="C325" s="3">
        <f t="shared" si="15"/>
        <v>1.0145438559535569E-2</v>
      </c>
      <c r="D325" s="4">
        <f t="shared" si="16"/>
        <v>4403.1050000000005</v>
      </c>
      <c r="E325" s="2">
        <f t="shared" si="17"/>
        <v>16.422634532863508</v>
      </c>
    </row>
    <row r="326" spans="1:5" x14ac:dyDescent="0.25">
      <c r="A326" s="1">
        <v>44403</v>
      </c>
      <c r="B326" s="2">
        <v>4422.3</v>
      </c>
      <c r="C326" s="3">
        <f t="shared" si="15"/>
        <v>2.3822530084161345E-3</v>
      </c>
      <c r="D326" s="4">
        <f t="shared" si="16"/>
        <v>4409.2669999999989</v>
      </c>
      <c r="E326" s="2">
        <f t="shared" si="17"/>
        <v>13.129837051540274</v>
      </c>
    </row>
    <row r="327" spans="1:5" x14ac:dyDescent="0.25">
      <c r="A327" s="1">
        <v>44404</v>
      </c>
      <c r="B327" s="2">
        <v>4401.46</v>
      </c>
      <c r="C327" s="3">
        <f t="shared" si="15"/>
        <v>-4.7124799312575228E-3</v>
      </c>
      <c r="D327" s="4">
        <f t="shared" si="16"/>
        <v>4411.74</v>
      </c>
      <c r="E327" s="2">
        <f t="shared" si="17"/>
        <v>15.489123280547608</v>
      </c>
    </row>
    <row r="328" spans="1:5" x14ac:dyDescent="0.25">
      <c r="A328" s="1">
        <v>44405</v>
      </c>
      <c r="B328" s="2">
        <v>4400.6400000000003</v>
      </c>
      <c r="C328" s="3">
        <f t="shared" si="15"/>
        <v>-1.8630181803304106E-4</v>
      </c>
      <c r="D328" s="4">
        <f t="shared" si="16"/>
        <v>4412.7450000000008</v>
      </c>
      <c r="E328" s="2">
        <f t="shared" si="17"/>
        <v>16.438636348554066</v>
      </c>
    </row>
    <row r="329" spans="1:5" x14ac:dyDescent="0.25">
      <c r="A329" s="1">
        <v>44406</v>
      </c>
      <c r="B329" s="2">
        <v>4419.1499999999996</v>
      </c>
      <c r="C329" s="3">
        <f t="shared" si="15"/>
        <v>4.2062063699823907E-3</v>
      </c>
      <c r="D329" s="4">
        <f t="shared" si="16"/>
        <v>4416.2739999999994</v>
      </c>
      <c r="E329" s="2">
        <f t="shared" si="17"/>
        <v>17.397235527519953</v>
      </c>
    </row>
    <row r="330" spans="1:5" x14ac:dyDescent="0.25">
      <c r="A330" s="1">
        <v>44407</v>
      </c>
      <c r="B330" s="2">
        <v>4395.26</v>
      </c>
      <c r="C330" s="3">
        <f t="shared" si="15"/>
        <v>-5.4060169942182143E-3</v>
      </c>
      <c r="D330" s="4">
        <f t="shared" si="16"/>
        <v>4420.4510000000009</v>
      </c>
      <c r="E330" s="2">
        <f t="shared" si="17"/>
        <v>18.140654040028505</v>
      </c>
    </row>
    <row r="331" spans="1:5" x14ac:dyDescent="0.25">
      <c r="A331" s="1">
        <v>44410</v>
      </c>
      <c r="B331" s="2">
        <v>4387.16</v>
      </c>
      <c r="C331" s="3">
        <f t="shared" si="15"/>
        <v>-1.8428943907755999E-3</v>
      </c>
      <c r="D331" s="4">
        <f t="shared" si="16"/>
        <v>4424.6190000000006</v>
      </c>
      <c r="E331" s="2">
        <f t="shared" si="17"/>
        <v>21.785045535871653</v>
      </c>
    </row>
    <row r="332" spans="1:5" x14ac:dyDescent="0.25">
      <c r="A332" s="1">
        <v>44411</v>
      </c>
      <c r="B332" s="2">
        <v>4423.1499999999996</v>
      </c>
      <c r="C332" s="3">
        <f t="shared" si="15"/>
        <v>8.2034847144849474E-3</v>
      </c>
      <c r="D332" s="4">
        <f t="shared" si="16"/>
        <v>4431.8930000000009</v>
      </c>
      <c r="E332" s="2">
        <f t="shared" si="17"/>
        <v>22.883906156947994</v>
      </c>
    </row>
    <row r="333" spans="1:5" x14ac:dyDescent="0.25">
      <c r="A333" s="1">
        <v>44412</v>
      </c>
      <c r="B333" s="2">
        <v>4402.66</v>
      </c>
      <c r="C333" s="3">
        <f t="shared" si="15"/>
        <v>-4.6324452030792043E-3</v>
      </c>
      <c r="D333" s="4">
        <f t="shared" si="16"/>
        <v>4441.1479999999992</v>
      </c>
      <c r="E333" s="2">
        <f t="shared" si="17"/>
        <v>21.600012870366548</v>
      </c>
    </row>
    <row r="334" spans="1:5" x14ac:dyDescent="0.25">
      <c r="A334" s="1">
        <v>44413</v>
      </c>
      <c r="B334" s="2">
        <v>4429.1000000000004</v>
      </c>
      <c r="C334" s="3">
        <f t="shared" si="15"/>
        <v>6.0054603353428401E-3</v>
      </c>
      <c r="D334" s="4">
        <f t="shared" si="16"/>
        <v>4443.6410000000005</v>
      </c>
      <c r="E334" s="2">
        <f t="shared" si="17"/>
        <v>20.802835599984888</v>
      </c>
    </row>
    <row r="335" spans="1:5" x14ac:dyDescent="0.25">
      <c r="A335" s="1">
        <v>44414</v>
      </c>
      <c r="B335" s="2">
        <v>4436.5200000000004</v>
      </c>
      <c r="C335" s="3">
        <f t="shared" si="15"/>
        <v>1.6752839177259652E-3</v>
      </c>
      <c r="D335" s="4">
        <f t="shared" si="16"/>
        <v>4443.402</v>
      </c>
      <c r="E335" s="2">
        <f t="shared" si="17"/>
        <v>21.280530444516504</v>
      </c>
    </row>
    <row r="336" spans="1:5" x14ac:dyDescent="0.25">
      <c r="A336" s="1">
        <v>44417</v>
      </c>
      <c r="B336" s="2">
        <v>4432.3500000000004</v>
      </c>
      <c r="C336" s="3">
        <f t="shared" si="15"/>
        <v>-9.3992588785806722E-4</v>
      </c>
      <c r="D336" s="4">
        <f t="shared" si="16"/>
        <v>4441.0720000000001</v>
      </c>
      <c r="E336" s="2">
        <f t="shared" si="17"/>
        <v>23.840478099232698</v>
      </c>
    </row>
    <row r="337" spans="1:5" x14ac:dyDescent="0.25">
      <c r="A337" s="1">
        <v>44418</v>
      </c>
      <c r="B337" s="2">
        <v>4436.75</v>
      </c>
      <c r="C337" s="3">
        <f t="shared" si="15"/>
        <v>9.9270138865379222E-4</v>
      </c>
      <c r="D337" s="4">
        <f t="shared" si="16"/>
        <v>4441.5869999999995</v>
      </c>
      <c r="E337" s="2">
        <f t="shared" si="17"/>
        <v>23.792159653969925</v>
      </c>
    </row>
    <row r="338" spans="1:5" x14ac:dyDescent="0.25">
      <c r="A338" s="1">
        <v>44419</v>
      </c>
      <c r="B338" s="2">
        <v>4442.41</v>
      </c>
      <c r="C338" s="3">
        <f t="shared" si="15"/>
        <v>1.2757085704625806E-3</v>
      </c>
      <c r="D338" s="4">
        <f t="shared" si="16"/>
        <v>4446.3049999999994</v>
      </c>
      <c r="E338" s="2">
        <f t="shared" si="17"/>
        <v>26.062276282013297</v>
      </c>
    </row>
    <row r="339" spans="1:5" x14ac:dyDescent="0.25">
      <c r="A339" s="1">
        <v>44420</v>
      </c>
      <c r="B339" s="2">
        <v>4460.83</v>
      </c>
      <c r="C339" s="3">
        <f t="shared" si="15"/>
        <v>4.1463980136907837E-3</v>
      </c>
      <c r="D339" s="4">
        <f t="shared" si="16"/>
        <v>4451.2529999999997</v>
      </c>
      <c r="E339" s="2">
        <f t="shared" si="17"/>
        <v>28.373055898157844</v>
      </c>
    </row>
    <row r="340" spans="1:5" x14ac:dyDescent="0.25">
      <c r="A340" s="1">
        <v>44421</v>
      </c>
      <c r="B340" s="2">
        <v>4468</v>
      </c>
      <c r="C340" s="3">
        <f t="shared" si="15"/>
        <v>1.6073241975148285E-3</v>
      </c>
      <c r="D340" s="4">
        <f t="shared" si="16"/>
        <v>4456.6309999999994</v>
      </c>
      <c r="E340" s="2">
        <f t="shared" si="17"/>
        <v>31.148369925246268</v>
      </c>
    </row>
    <row r="341" spans="1:5" x14ac:dyDescent="0.25">
      <c r="A341" s="1">
        <v>44424</v>
      </c>
      <c r="B341" s="2">
        <v>4479.71</v>
      </c>
      <c r="C341" s="3">
        <f t="shared" si="15"/>
        <v>2.6208594449418166E-3</v>
      </c>
      <c r="D341" s="4">
        <f t="shared" si="16"/>
        <v>4457.5479999999998</v>
      </c>
      <c r="E341" s="2">
        <f t="shared" si="17"/>
        <v>31.392513693554175</v>
      </c>
    </row>
    <row r="342" spans="1:5" x14ac:dyDescent="0.25">
      <c r="A342" s="1">
        <v>44425</v>
      </c>
      <c r="B342" s="2">
        <v>4448.08</v>
      </c>
      <c r="C342" s="3">
        <f t="shared" si="15"/>
        <v>-7.0607249129966245E-3</v>
      </c>
      <c r="D342" s="4">
        <f t="shared" si="16"/>
        <v>4461.6849999999995</v>
      </c>
      <c r="E342" s="2">
        <f t="shared" si="17"/>
        <v>35.014321141498456</v>
      </c>
    </row>
    <row r="343" spans="1:5" x14ac:dyDescent="0.25">
      <c r="A343" s="1">
        <v>44426</v>
      </c>
      <c r="B343" s="2">
        <v>4400.2700000000004</v>
      </c>
      <c r="C343" s="3">
        <f t="shared" si="15"/>
        <v>-1.0748457761550936E-2</v>
      </c>
      <c r="D343" s="4">
        <f t="shared" si="16"/>
        <v>4466.5929999999998</v>
      </c>
      <c r="E343" s="2">
        <f t="shared" si="17"/>
        <v>40.245897443093327</v>
      </c>
    </row>
    <row r="344" spans="1:5" x14ac:dyDescent="0.25">
      <c r="A344" s="1">
        <v>44427</v>
      </c>
      <c r="B344" s="2">
        <v>4405.8</v>
      </c>
      <c r="C344" s="3">
        <f t="shared" si="15"/>
        <v>1.2567410636164927E-3</v>
      </c>
      <c r="D344" s="4">
        <f t="shared" si="16"/>
        <v>4474.0529999999999</v>
      </c>
      <c r="E344" s="2">
        <f t="shared" si="17"/>
        <v>42.946276916631426</v>
      </c>
    </row>
    <row r="345" spans="1:5" x14ac:dyDescent="0.25">
      <c r="A345" s="1">
        <v>44428</v>
      </c>
      <c r="B345" s="2">
        <v>4441.67</v>
      </c>
      <c r="C345" s="3">
        <f t="shared" si="15"/>
        <v>8.1415406963547803E-3</v>
      </c>
      <c r="D345" s="4">
        <f t="shared" si="16"/>
        <v>4486.4349999999995</v>
      </c>
      <c r="E345" s="2">
        <f t="shared" si="17"/>
        <v>37.377075928970136</v>
      </c>
    </row>
    <row r="346" spans="1:5" x14ac:dyDescent="0.25">
      <c r="A346" s="1">
        <v>44431</v>
      </c>
      <c r="B346" s="2">
        <v>4479.53</v>
      </c>
      <c r="C346" s="3">
        <f t="shared" si="15"/>
        <v>8.5238209952562156E-3</v>
      </c>
      <c r="D346" s="4">
        <f t="shared" si="16"/>
        <v>4499.55</v>
      </c>
      <c r="E346" s="2">
        <f t="shared" si="17"/>
        <v>28.810046511590397</v>
      </c>
    </row>
    <row r="347" spans="1:5" x14ac:dyDescent="0.25">
      <c r="A347" s="1">
        <v>44432</v>
      </c>
      <c r="B347" s="2">
        <v>4486.2299999999996</v>
      </c>
      <c r="C347" s="3">
        <f t="shared" si="15"/>
        <v>1.4956926284676781E-3</v>
      </c>
      <c r="D347" s="4">
        <f t="shared" si="16"/>
        <v>4508.9259999999995</v>
      </c>
      <c r="E347" s="2">
        <f t="shared" si="17"/>
        <v>23.148162000470059</v>
      </c>
    </row>
    <row r="348" spans="1:5" x14ac:dyDescent="0.25">
      <c r="A348" s="1">
        <v>44433</v>
      </c>
      <c r="B348" s="2">
        <v>4496.1899999999996</v>
      </c>
      <c r="C348" s="3">
        <f t="shared" si="15"/>
        <v>2.2201269217137858E-3</v>
      </c>
      <c r="D348" s="4">
        <f t="shared" si="16"/>
        <v>4512.9759999999997</v>
      </c>
      <c r="E348" s="2">
        <f t="shared" si="17"/>
        <v>21.103371863283002</v>
      </c>
    </row>
    <row r="349" spans="1:5" x14ac:dyDescent="0.25">
      <c r="A349" s="1">
        <v>44434</v>
      </c>
      <c r="B349" s="2">
        <v>4470</v>
      </c>
      <c r="C349" s="3">
        <f t="shared" si="15"/>
        <v>-5.8249317755698941E-3</v>
      </c>
      <c r="D349" s="4">
        <f t="shared" si="16"/>
        <v>4515.76</v>
      </c>
      <c r="E349" s="2">
        <f t="shared" si="17"/>
        <v>19.13599958193986</v>
      </c>
    </row>
    <row r="350" spans="1:5" x14ac:dyDescent="0.25">
      <c r="A350" s="1">
        <v>44435</v>
      </c>
      <c r="B350" s="2">
        <v>4509.37</v>
      </c>
      <c r="C350" s="3">
        <f t="shared" si="15"/>
        <v>8.8076062639820783E-3</v>
      </c>
      <c r="D350" s="4">
        <f t="shared" si="16"/>
        <v>4515.4690000000001</v>
      </c>
      <c r="E350" s="2">
        <f t="shared" si="17"/>
        <v>19.450921546291891</v>
      </c>
    </row>
    <row r="351" spans="1:5" x14ac:dyDescent="0.25">
      <c r="A351" s="1">
        <v>44438</v>
      </c>
      <c r="B351" s="2">
        <v>4528.79</v>
      </c>
      <c r="C351" s="3">
        <f t="shared" si="15"/>
        <v>4.306588281733385E-3</v>
      </c>
      <c r="D351" s="4">
        <f t="shared" si="16"/>
        <v>4514.3270000000002</v>
      </c>
      <c r="E351" s="2">
        <f t="shared" si="17"/>
        <v>22.224468970033971</v>
      </c>
    </row>
    <row r="352" spans="1:5" x14ac:dyDescent="0.25">
      <c r="A352" s="1">
        <v>44439</v>
      </c>
      <c r="B352" s="2">
        <v>4522.68</v>
      </c>
      <c r="C352" s="3">
        <f t="shared" si="15"/>
        <v>-1.3491462399448137E-3</v>
      </c>
      <c r="D352" s="4">
        <f t="shared" si="16"/>
        <v>4510.2630000000008</v>
      </c>
      <c r="E352" s="2">
        <f t="shared" si="17"/>
        <v>26.131635635757782</v>
      </c>
    </row>
    <row r="353" spans="1:5" x14ac:dyDescent="0.25">
      <c r="A353" s="1">
        <v>44440</v>
      </c>
      <c r="B353" s="2">
        <v>4524.09</v>
      </c>
      <c r="C353" s="3">
        <f t="shared" si="15"/>
        <v>3.1176205258825617E-4</v>
      </c>
      <c r="D353" s="4">
        <f t="shared" si="16"/>
        <v>4501.6890000000003</v>
      </c>
      <c r="E353" s="2">
        <f t="shared" si="17"/>
        <v>32.043449705048964</v>
      </c>
    </row>
    <row r="354" spans="1:5" x14ac:dyDescent="0.25">
      <c r="A354" s="1">
        <v>44441</v>
      </c>
      <c r="B354" s="2">
        <v>4536.95</v>
      </c>
      <c r="C354" s="3">
        <f t="shared" si="15"/>
        <v>2.8425606033477832E-3</v>
      </c>
      <c r="D354" s="4">
        <f t="shared" si="16"/>
        <v>4497.491</v>
      </c>
      <c r="E354" s="2">
        <f t="shared" si="17"/>
        <v>31.767138193422483</v>
      </c>
    </row>
    <row r="355" spans="1:5" x14ac:dyDescent="0.25">
      <c r="A355" s="1">
        <v>44442</v>
      </c>
      <c r="B355" s="2">
        <v>4535.43</v>
      </c>
      <c r="C355" s="3">
        <f t="shared" si="15"/>
        <v>-3.3502683520857118E-4</v>
      </c>
      <c r="D355" s="4">
        <f t="shared" si="16"/>
        <v>4492.4569999999994</v>
      </c>
      <c r="E355" s="2">
        <f t="shared" si="17"/>
        <v>31.135554290874591</v>
      </c>
    </row>
    <row r="356" spans="1:5" x14ac:dyDescent="0.25">
      <c r="A356" s="1">
        <v>44446</v>
      </c>
      <c r="B356" s="2">
        <v>4520.03</v>
      </c>
      <c r="C356" s="3">
        <f t="shared" si="15"/>
        <v>-3.3954884101398421E-3</v>
      </c>
      <c r="D356" s="4">
        <f t="shared" si="16"/>
        <v>4482.0609999999997</v>
      </c>
      <c r="E356" s="2">
        <f t="shared" si="17"/>
        <v>31.890682479370067</v>
      </c>
    </row>
    <row r="357" spans="1:5" x14ac:dyDescent="0.25">
      <c r="A357" s="1">
        <v>44447</v>
      </c>
      <c r="B357" s="2">
        <v>4514.07</v>
      </c>
      <c r="C357" s="3">
        <f t="shared" si="15"/>
        <v>-1.3185753191903675E-3</v>
      </c>
      <c r="D357" s="4">
        <f t="shared" si="16"/>
        <v>4464.2910000000002</v>
      </c>
      <c r="E357" s="2">
        <f t="shared" si="17"/>
        <v>44.297149671282483</v>
      </c>
    </row>
    <row r="358" spans="1:5" x14ac:dyDescent="0.25">
      <c r="A358" s="1">
        <v>44448</v>
      </c>
      <c r="B358" s="2">
        <v>4493.28</v>
      </c>
      <c r="C358" s="3">
        <f t="shared" si="15"/>
        <v>-4.6055998245485702E-3</v>
      </c>
      <c r="D358" s="4">
        <f t="shared" si="16"/>
        <v>4447.7069999999994</v>
      </c>
      <c r="E358" s="2">
        <f t="shared" si="17"/>
        <v>50.8797388063265</v>
      </c>
    </row>
    <row r="359" spans="1:5" x14ac:dyDescent="0.25">
      <c r="A359" s="1">
        <v>44449</v>
      </c>
      <c r="B359" s="2">
        <v>4458.58</v>
      </c>
      <c r="C359" s="3">
        <f t="shared" si="15"/>
        <v>-7.7226435922087694E-3</v>
      </c>
      <c r="D359" s="4">
        <f t="shared" si="16"/>
        <v>4435.8639999999996</v>
      </c>
      <c r="E359" s="2">
        <f t="shared" si="17"/>
        <v>47.740796432401538</v>
      </c>
    </row>
    <row r="360" spans="1:5" x14ac:dyDescent="0.25">
      <c r="A360" s="1">
        <v>44452</v>
      </c>
      <c r="B360" s="2">
        <v>4468.7299999999996</v>
      </c>
      <c r="C360" s="3">
        <f t="shared" si="15"/>
        <v>2.2765095613400759E-3</v>
      </c>
      <c r="D360" s="4">
        <f t="shared" si="16"/>
        <v>4431.4339999999993</v>
      </c>
      <c r="E360" s="2">
        <f t="shared" si="17"/>
        <v>44.125978561387214</v>
      </c>
    </row>
    <row r="361" spans="1:5" x14ac:dyDescent="0.25">
      <c r="A361" s="1">
        <v>44453</v>
      </c>
      <c r="B361" s="2">
        <v>4443.05</v>
      </c>
      <c r="C361" s="3">
        <f t="shared" si="15"/>
        <v>-5.7465991456184156E-3</v>
      </c>
      <c r="D361" s="4">
        <f t="shared" si="16"/>
        <v>4431.1239999999989</v>
      </c>
      <c r="E361" s="2">
        <f t="shared" si="17"/>
        <v>43.944696653862593</v>
      </c>
    </row>
    <row r="362" spans="1:5" x14ac:dyDescent="0.25">
      <c r="A362" s="1">
        <v>44454</v>
      </c>
      <c r="B362" s="2">
        <v>4480.7</v>
      </c>
      <c r="C362" s="3">
        <f t="shared" si="15"/>
        <v>8.4739086888510444E-3</v>
      </c>
      <c r="D362" s="4">
        <f t="shared" si="16"/>
        <v>4428.5619999999999</v>
      </c>
      <c r="E362" s="2">
        <f t="shared" si="17"/>
        <v>42.397143960413217</v>
      </c>
    </row>
    <row r="363" spans="1:5" x14ac:dyDescent="0.25">
      <c r="A363" s="1">
        <v>44455</v>
      </c>
      <c r="B363" s="2">
        <v>4473.75</v>
      </c>
      <c r="C363" s="3">
        <f t="shared" si="15"/>
        <v>-1.5510969268194297E-3</v>
      </c>
      <c r="D363" s="4">
        <f t="shared" si="16"/>
        <v>4419.5199999999986</v>
      </c>
      <c r="E363" s="2">
        <f t="shared" si="17"/>
        <v>47.658542780911773</v>
      </c>
    </row>
    <row r="364" spans="1:5" x14ac:dyDescent="0.25">
      <c r="A364" s="1">
        <v>44456</v>
      </c>
      <c r="B364" s="2">
        <v>4432.99</v>
      </c>
      <c r="C364" s="3">
        <f t="shared" si="15"/>
        <v>-9.1109248393406467E-3</v>
      </c>
      <c r="D364" s="4">
        <f t="shared" si="16"/>
        <v>4407.3959999999988</v>
      </c>
      <c r="E364" s="2">
        <f t="shared" si="17"/>
        <v>45.943078303483269</v>
      </c>
    </row>
    <row r="365" spans="1:5" x14ac:dyDescent="0.25">
      <c r="A365" s="1">
        <v>44459</v>
      </c>
      <c r="B365" s="2">
        <v>4357.7299999999996</v>
      </c>
      <c r="C365" s="3">
        <f t="shared" si="15"/>
        <v>-1.6977254629493913E-2</v>
      </c>
      <c r="D365" s="4">
        <f t="shared" si="16"/>
        <v>4390.7749999999996</v>
      </c>
      <c r="E365" s="2">
        <f t="shared" si="17"/>
        <v>48.901385921055351</v>
      </c>
    </row>
    <row r="366" spans="1:5" x14ac:dyDescent="0.25">
      <c r="A366" s="1">
        <v>44460</v>
      </c>
      <c r="B366" s="2">
        <v>4354.1899999999996</v>
      </c>
      <c r="C366" s="3">
        <f t="shared" si="15"/>
        <v>-8.1234954896241022E-4</v>
      </c>
      <c r="D366" s="4">
        <f t="shared" si="16"/>
        <v>4383.18</v>
      </c>
      <c r="E366" s="2">
        <f t="shared" si="17"/>
        <v>47.6367076948018</v>
      </c>
    </row>
    <row r="367" spans="1:5" x14ac:dyDescent="0.25">
      <c r="A367" s="1">
        <v>44461</v>
      </c>
      <c r="B367" s="2">
        <v>4395.6400000000003</v>
      </c>
      <c r="C367" s="3">
        <f t="shared" si="15"/>
        <v>9.5195662109372192E-3</v>
      </c>
      <c r="D367" s="4">
        <f t="shared" si="16"/>
        <v>4377.4529999999995</v>
      </c>
      <c r="E367" s="2">
        <f t="shared" si="17"/>
        <v>53.441060814695518</v>
      </c>
    </row>
    <row r="368" spans="1:5" x14ac:dyDescent="0.25">
      <c r="A368" s="1">
        <v>44462</v>
      </c>
      <c r="B368" s="2">
        <v>4448.9799999999996</v>
      </c>
      <c r="C368" s="3">
        <f t="shared" si="15"/>
        <v>1.2134751708510987E-2</v>
      </c>
      <c r="D368" s="4">
        <f t="shared" si="16"/>
        <v>4376.6059999999998</v>
      </c>
      <c r="E368" s="2">
        <f t="shared" si="17"/>
        <v>53.868461867775487</v>
      </c>
    </row>
    <row r="369" spans="1:5" x14ac:dyDescent="0.25">
      <c r="A369" s="1">
        <v>44463</v>
      </c>
      <c r="B369" s="2">
        <v>4455.4799999999996</v>
      </c>
      <c r="C369" s="3">
        <f t="shared" si="15"/>
        <v>1.4610090402744002E-3</v>
      </c>
      <c r="D369" s="4">
        <f t="shared" si="16"/>
        <v>4373.3970000000008</v>
      </c>
      <c r="E369" s="2">
        <f t="shared" si="17"/>
        <v>53.594123754381684</v>
      </c>
    </row>
    <row r="370" spans="1:5" x14ac:dyDescent="0.25">
      <c r="A370" s="1">
        <v>44466</v>
      </c>
      <c r="B370" s="2">
        <v>4443.1099999999997</v>
      </c>
      <c r="C370" s="3">
        <f t="shared" si="15"/>
        <v>-2.776356307288977E-3</v>
      </c>
      <c r="D370" s="4">
        <f t="shared" si="16"/>
        <v>4368.4750000000004</v>
      </c>
      <c r="E370" s="2">
        <f t="shared" si="17"/>
        <v>48.43888732206787</v>
      </c>
    </row>
    <row r="371" spans="1:5" x14ac:dyDescent="0.25">
      <c r="A371" s="1">
        <v>44467</v>
      </c>
      <c r="B371" s="2">
        <v>4352.63</v>
      </c>
      <c r="C371" s="3">
        <f t="shared" si="15"/>
        <v>-2.0364114325326081E-2</v>
      </c>
      <c r="D371" s="4">
        <f t="shared" si="16"/>
        <v>4362.0609999999997</v>
      </c>
      <c r="E371" s="2">
        <f t="shared" si="17"/>
        <v>40.006002412138059</v>
      </c>
    </row>
    <row r="372" spans="1:5" x14ac:dyDescent="0.25">
      <c r="A372" s="1">
        <v>44468</v>
      </c>
      <c r="B372" s="2">
        <v>4359.46</v>
      </c>
      <c r="C372" s="3">
        <f t="shared" si="15"/>
        <v>1.5691662282344069E-3</v>
      </c>
      <c r="D372" s="4">
        <f t="shared" si="16"/>
        <v>4353.8690000000006</v>
      </c>
      <c r="E372" s="2">
        <f t="shared" si="17"/>
        <v>29.606640961108745</v>
      </c>
    </row>
    <row r="373" spans="1:5" x14ac:dyDescent="0.25">
      <c r="A373" s="1">
        <v>44469</v>
      </c>
      <c r="B373" s="2">
        <v>4307.54</v>
      </c>
      <c r="C373" s="3">
        <f t="shared" si="15"/>
        <v>-1.1909731939276899E-2</v>
      </c>
      <c r="D373" s="4">
        <f t="shared" si="16"/>
        <v>4353.6710000000003</v>
      </c>
      <c r="E373" s="2">
        <f t="shared" si="17"/>
        <v>29.620882312989977</v>
      </c>
    </row>
    <row r="374" spans="1:5" x14ac:dyDescent="0.25">
      <c r="A374" s="1">
        <v>44470</v>
      </c>
      <c r="B374" s="2">
        <v>4357.04</v>
      </c>
      <c r="C374" s="3">
        <f t="shared" si="15"/>
        <v>1.1491477734391324E-2</v>
      </c>
      <c r="D374" s="4">
        <f t="shared" si="16"/>
        <v>4354.1050000000005</v>
      </c>
      <c r="E374" s="2">
        <f t="shared" si="17"/>
        <v>29.734100373140649</v>
      </c>
    </row>
    <row r="375" spans="1:5" x14ac:dyDescent="0.25">
      <c r="A375" s="1">
        <v>44473</v>
      </c>
      <c r="B375" s="2">
        <v>4300.46</v>
      </c>
      <c r="C375" s="3">
        <f t="shared" si="15"/>
        <v>-1.298588032242071E-2</v>
      </c>
      <c r="D375" s="4">
        <f t="shared" si="16"/>
        <v>4367.1770000000006</v>
      </c>
      <c r="E375" s="2">
        <f t="shared" si="17"/>
        <v>34.707578725690524</v>
      </c>
    </row>
    <row r="376" spans="1:5" x14ac:dyDescent="0.25">
      <c r="A376" s="1">
        <v>44474</v>
      </c>
      <c r="B376" s="2">
        <v>4345.72</v>
      </c>
      <c r="C376" s="3">
        <f t="shared" si="15"/>
        <v>1.0524455523362668E-2</v>
      </c>
      <c r="D376" s="4">
        <f t="shared" si="16"/>
        <v>4378.6100000000006</v>
      </c>
      <c r="E376" s="2">
        <f t="shared" si="17"/>
        <v>46.359948015501502</v>
      </c>
    </row>
    <row r="377" spans="1:5" x14ac:dyDescent="0.25">
      <c r="A377" s="1">
        <v>44475</v>
      </c>
      <c r="B377" s="2">
        <v>4363.55</v>
      </c>
      <c r="C377" s="3">
        <f t="shared" si="15"/>
        <v>4.102887438675277E-3</v>
      </c>
      <c r="D377" s="4">
        <f t="shared" si="16"/>
        <v>4397.21</v>
      </c>
      <c r="E377" s="2">
        <f t="shared" si="17"/>
        <v>48.535603220728618</v>
      </c>
    </row>
    <row r="378" spans="1:5" x14ac:dyDescent="0.25">
      <c r="A378" s="1">
        <v>44476</v>
      </c>
      <c r="B378" s="2">
        <v>4399.76</v>
      </c>
      <c r="C378" s="3">
        <f t="shared" si="15"/>
        <v>8.298289236974489E-3</v>
      </c>
      <c r="D378" s="4">
        <f t="shared" si="16"/>
        <v>4414.6009999999997</v>
      </c>
      <c r="E378" s="2">
        <f t="shared" si="17"/>
        <v>57.330633425769911</v>
      </c>
    </row>
    <row r="379" spans="1:5" x14ac:dyDescent="0.25">
      <c r="A379" s="1">
        <v>44477</v>
      </c>
      <c r="B379" s="2">
        <v>4391.34</v>
      </c>
      <c r="C379" s="3">
        <f t="shared" si="15"/>
        <v>-1.9137407494954435E-3</v>
      </c>
      <c r="D379" s="4">
        <f t="shared" si="16"/>
        <v>4431.8649999999998</v>
      </c>
      <c r="E379" s="2">
        <f t="shared" si="17"/>
        <v>64.857720164988848</v>
      </c>
    </row>
    <row r="380" spans="1:5" x14ac:dyDescent="0.25">
      <c r="A380" s="1">
        <v>44480</v>
      </c>
      <c r="B380" s="2">
        <v>4361.1899999999996</v>
      </c>
      <c r="C380" s="3">
        <f t="shared" si="15"/>
        <v>-6.8657858421348706E-3</v>
      </c>
      <c r="D380" s="4">
        <f t="shared" si="16"/>
        <v>4446.8670000000002</v>
      </c>
      <c r="E380" s="2">
        <f t="shared" si="17"/>
        <v>72.586400110489009</v>
      </c>
    </row>
    <row r="381" spans="1:5" x14ac:dyDescent="0.25">
      <c r="A381" s="1">
        <v>44481</v>
      </c>
      <c r="B381" s="2">
        <v>4350.6499999999996</v>
      </c>
      <c r="C381" s="3">
        <f t="shared" si="15"/>
        <v>-2.4167715692276566E-3</v>
      </c>
      <c r="D381" s="4">
        <f t="shared" si="16"/>
        <v>4462.223</v>
      </c>
      <c r="E381" s="2">
        <f t="shared" si="17"/>
        <v>75.40358665872597</v>
      </c>
    </row>
    <row r="382" spans="1:5" x14ac:dyDescent="0.25">
      <c r="A382" s="1">
        <v>44482</v>
      </c>
      <c r="B382" s="2">
        <v>4363.8</v>
      </c>
      <c r="C382" s="3">
        <f t="shared" si="15"/>
        <v>3.0225368623080567E-3</v>
      </c>
      <c r="D382" s="4">
        <f t="shared" si="16"/>
        <v>4482.7520000000004</v>
      </c>
      <c r="E382" s="2">
        <f t="shared" si="17"/>
        <v>73.009907108556064</v>
      </c>
    </row>
    <row r="383" spans="1:5" x14ac:dyDescent="0.25">
      <c r="A383" s="1">
        <v>44483</v>
      </c>
      <c r="B383" s="2">
        <v>4438.26</v>
      </c>
      <c r="C383" s="3">
        <f t="shared" si="15"/>
        <v>1.7063110133370005E-2</v>
      </c>
      <c r="D383" s="4">
        <f t="shared" si="16"/>
        <v>4505.1659999999993</v>
      </c>
      <c r="E383" s="2">
        <f t="shared" si="17"/>
        <v>62.690227659500323</v>
      </c>
    </row>
    <row r="384" spans="1:5" x14ac:dyDescent="0.25">
      <c r="A384" s="1">
        <v>44484</v>
      </c>
      <c r="B384" s="2">
        <v>4471.37</v>
      </c>
      <c r="C384" s="3">
        <f t="shared" si="15"/>
        <v>7.4601307719691212E-3</v>
      </c>
      <c r="D384" s="4">
        <f t="shared" si="16"/>
        <v>4523.9539999999997</v>
      </c>
      <c r="E384" s="2">
        <f t="shared" si="17"/>
        <v>42.367396946236752</v>
      </c>
    </row>
    <row r="385" spans="1:5" x14ac:dyDescent="0.25">
      <c r="A385" s="1">
        <v>44487</v>
      </c>
      <c r="B385" s="2">
        <v>4486.46</v>
      </c>
      <c r="C385" s="3">
        <f t="shared" si="15"/>
        <v>3.3748045900921075E-3</v>
      </c>
      <c r="D385" s="4">
        <f t="shared" si="16"/>
        <v>4539.7699999999986</v>
      </c>
      <c r="E385" s="2">
        <f t="shared" si="17"/>
        <v>36.546359873453873</v>
      </c>
    </row>
    <row r="386" spans="1:5" x14ac:dyDescent="0.25">
      <c r="A386" s="1">
        <v>44488</v>
      </c>
      <c r="B386" s="2">
        <v>4519.63</v>
      </c>
      <c r="C386" s="3">
        <f t="shared" si="15"/>
        <v>7.3933569005407542E-3</v>
      </c>
      <c r="D386" s="4">
        <f t="shared" si="16"/>
        <v>4553.1710000000003</v>
      </c>
      <c r="E386" s="2">
        <f t="shared" si="17"/>
        <v>33.446387383393159</v>
      </c>
    </row>
    <row r="387" spans="1:5" x14ac:dyDescent="0.25">
      <c r="A387" s="1">
        <v>44489</v>
      </c>
      <c r="B387" s="2">
        <v>4536.1899999999996</v>
      </c>
      <c r="C387" s="3">
        <f t="shared" ref="C387:C450" si="18">(B387-B386)/B386</f>
        <v>3.6640167447334164E-3</v>
      </c>
      <c r="D387" s="4">
        <f t="shared" ref="D387:D450" si="19">AVERAGE(B386:B395)</f>
        <v>4565.8919999999998</v>
      </c>
      <c r="E387" s="2">
        <f t="shared" ref="E387:E450" si="20">_xlfn.STDEV.P(B386:B395)</f>
        <v>29.627928310970461</v>
      </c>
    </row>
    <row r="388" spans="1:5" x14ac:dyDescent="0.25">
      <c r="A388" s="1">
        <v>44490</v>
      </c>
      <c r="B388" s="2">
        <v>4549.78</v>
      </c>
      <c r="C388" s="3">
        <f t="shared" si="18"/>
        <v>2.9959062561312789E-3</v>
      </c>
      <c r="D388" s="4">
        <f t="shared" si="19"/>
        <v>4576.9939999999997</v>
      </c>
      <c r="E388" s="2">
        <f t="shared" si="20"/>
        <v>30.98229048989122</v>
      </c>
    </row>
    <row r="389" spans="1:5" x14ac:dyDescent="0.25">
      <c r="A389" s="1">
        <v>44491</v>
      </c>
      <c r="B389" s="2">
        <v>4544.8999999999996</v>
      </c>
      <c r="C389" s="3">
        <f t="shared" si="18"/>
        <v>-1.0725793335062594E-3</v>
      </c>
      <c r="D389" s="4">
        <f t="shared" si="19"/>
        <v>4589.4320000000007</v>
      </c>
      <c r="E389" s="2">
        <f t="shared" si="20"/>
        <v>36.567699079925696</v>
      </c>
    </row>
    <row r="390" spans="1:5" x14ac:dyDescent="0.25">
      <c r="A390" s="1">
        <v>44494</v>
      </c>
      <c r="B390" s="2">
        <v>4566.4799999999996</v>
      </c>
      <c r="C390" s="3">
        <f t="shared" si="18"/>
        <v>4.7481792778718852E-3</v>
      </c>
      <c r="D390" s="4">
        <f t="shared" si="19"/>
        <v>4602.46</v>
      </c>
      <c r="E390" s="2">
        <f t="shared" si="20"/>
        <v>42.796999427530025</v>
      </c>
    </row>
    <row r="391" spans="1:5" x14ac:dyDescent="0.25">
      <c r="A391" s="1">
        <v>44495</v>
      </c>
      <c r="B391" s="2">
        <v>4574.79</v>
      </c>
      <c r="C391" s="3">
        <f t="shared" si="18"/>
        <v>1.8197824144637446E-3</v>
      </c>
      <c r="D391" s="4">
        <f t="shared" si="19"/>
        <v>4617.723</v>
      </c>
      <c r="E391" s="2">
        <f t="shared" si="20"/>
        <v>46.59548391207025</v>
      </c>
    </row>
    <row r="392" spans="1:5" x14ac:dyDescent="0.25">
      <c r="A392" s="1">
        <v>44496</v>
      </c>
      <c r="B392" s="2">
        <v>4551.68</v>
      </c>
      <c r="C392" s="3">
        <f t="shared" si="18"/>
        <v>-5.0515979968478713E-3</v>
      </c>
      <c r="D392" s="4">
        <f t="shared" si="19"/>
        <v>4631.2449999999999</v>
      </c>
      <c r="E392" s="2">
        <f t="shared" si="20"/>
        <v>49.304399245908989</v>
      </c>
    </row>
    <row r="393" spans="1:5" x14ac:dyDescent="0.25">
      <c r="A393" s="1">
        <v>44497</v>
      </c>
      <c r="B393" s="2">
        <v>4596.42</v>
      </c>
      <c r="C393" s="3">
        <f t="shared" si="18"/>
        <v>9.8293377390325717E-3</v>
      </c>
      <c r="D393" s="4">
        <f t="shared" si="19"/>
        <v>4642.2910000000002</v>
      </c>
      <c r="E393" s="2">
        <f t="shared" si="20"/>
        <v>47.768681884682458</v>
      </c>
    </row>
    <row r="394" spans="1:5" x14ac:dyDescent="0.25">
      <c r="A394" s="1">
        <v>44498</v>
      </c>
      <c r="B394" s="2">
        <v>4605.38</v>
      </c>
      <c r="C394" s="3">
        <f t="shared" si="18"/>
        <v>1.9493431844783628E-3</v>
      </c>
      <c r="D394" s="4">
        <f t="shared" si="19"/>
        <v>4651.7939999999999</v>
      </c>
      <c r="E394" s="2">
        <f t="shared" si="20"/>
        <v>37.046691944085865</v>
      </c>
    </row>
    <row r="395" spans="1:5" x14ac:dyDescent="0.25">
      <c r="A395" s="1">
        <v>44501</v>
      </c>
      <c r="B395" s="2">
        <v>4613.67</v>
      </c>
      <c r="C395" s="3">
        <f t="shared" si="18"/>
        <v>1.8000686154019784E-3</v>
      </c>
      <c r="D395" s="4">
        <f t="shared" si="19"/>
        <v>4657.0789999999997</v>
      </c>
      <c r="E395" s="2">
        <f t="shared" si="20"/>
        <v>32.226312680789242</v>
      </c>
    </row>
    <row r="396" spans="1:5" x14ac:dyDescent="0.25">
      <c r="A396" s="1">
        <v>44502</v>
      </c>
      <c r="B396" s="2">
        <v>4630.6499999999996</v>
      </c>
      <c r="C396" s="3">
        <f t="shared" si="18"/>
        <v>3.6803672564356712E-3</v>
      </c>
      <c r="D396" s="4">
        <f t="shared" si="19"/>
        <v>4664.826</v>
      </c>
      <c r="E396" s="2">
        <f t="shared" si="20"/>
        <v>27.886466323290229</v>
      </c>
    </row>
    <row r="397" spans="1:5" x14ac:dyDescent="0.25">
      <c r="A397" s="1">
        <v>44503</v>
      </c>
      <c r="B397" s="2">
        <v>4660.57</v>
      </c>
      <c r="C397" s="3">
        <f t="shared" si="18"/>
        <v>6.4612959303769609E-3</v>
      </c>
      <c r="D397" s="4">
        <f t="shared" si="19"/>
        <v>4671.7389999999996</v>
      </c>
      <c r="E397" s="2">
        <f t="shared" si="20"/>
        <v>22.371371638770853</v>
      </c>
    </row>
    <row r="398" spans="1:5" x14ac:dyDescent="0.25">
      <c r="A398" s="1">
        <v>44504</v>
      </c>
      <c r="B398" s="2">
        <v>4680.0600000000004</v>
      </c>
      <c r="C398" s="3">
        <f t="shared" si="18"/>
        <v>4.1818919145084595E-3</v>
      </c>
      <c r="D398" s="4">
        <f t="shared" si="19"/>
        <v>4678.764000000001</v>
      </c>
      <c r="E398" s="2">
        <f t="shared" si="20"/>
        <v>19.165944902352074</v>
      </c>
    </row>
    <row r="399" spans="1:5" x14ac:dyDescent="0.25">
      <c r="A399" s="1">
        <v>44505</v>
      </c>
      <c r="B399" s="2">
        <v>4697.53</v>
      </c>
      <c r="C399" s="3">
        <f t="shared" si="18"/>
        <v>3.7328581257503844E-3</v>
      </c>
      <c r="D399" s="4">
        <f t="shared" si="19"/>
        <v>4681.5740000000005</v>
      </c>
      <c r="E399" s="2">
        <f t="shared" si="20"/>
        <v>18.334341111695128</v>
      </c>
    </row>
    <row r="400" spans="1:5" x14ac:dyDescent="0.25">
      <c r="A400" s="1">
        <v>44508</v>
      </c>
      <c r="B400" s="2">
        <v>4701.7</v>
      </c>
      <c r="C400" s="3">
        <f t="shared" si="18"/>
        <v>8.8770055752705637E-4</v>
      </c>
      <c r="D400" s="4">
        <f t="shared" si="19"/>
        <v>4684.021999999999</v>
      </c>
      <c r="E400" s="2">
        <f t="shared" si="20"/>
        <v>19.561949187133521</v>
      </c>
    </row>
    <row r="401" spans="1:5" x14ac:dyDescent="0.25">
      <c r="A401" s="1">
        <v>44509</v>
      </c>
      <c r="B401" s="2">
        <v>4685.25</v>
      </c>
      <c r="C401" s="3">
        <f t="shared" si="18"/>
        <v>-3.4987345002870916E-3</v>
      </c>
      <c r="D401" s="4">
        <f t="shared" si="19"/>
        <v>4684.0649999999996</v>
      </c>
      <c r="E401" s="2">
        <f t="shared" si="20"/>
        <v>19.592043920938792</v>
      </c>
    </row>
    <row r="402" spans="1:5" x14ac:dyDescent="0.25">
      <c r="A402" s="1">
        <v>44510</v>
      </c>
      <c r="B402" s="2">
        <v>4646.71</v>
      </c>
      <c r="C402" s="3">
        <f t="shared" si="18"/>
        <v>-8.2258150578944488E-3</v>
      </c>
      <c r="D402" s="4">
        <f t="shared" si="19"/>
        <v>4682.1890000000003</v>
      </c>
      <c r="E402" s="2">
        <f t="shared" si="20"/>
        <v>18.691068696037568</v>
      </c>
    </row>
    <row r="403" spans="1:5" x14ac:dyDescent="0.25">
      <c r="A403" s="1">
        <v>44511</v>
      </c>
      <c r="B403" s="2">
        <v>4649.2700000000004</v>
      </c>
      <c r="C403" s="3">
        <f t="shared" si="18"/>
        <v>5.5092743037555604E-4</v>
      </c>
      <c r="D403" s="4">
        <f t="shared" si="19"/>
        <v>4682.7339999999995</v>
      </c>
      <c r="E403" s="2">
        <f t="shared" si="20"/>
        <v>18.851147551276426</v>
      </c>
    </row>
    <row r="404" spans="1:5" x14ac:dyDescent="0.25">
      <c r="A404" s="1">
        <v>44512</v>
      </c>
      <c r="B404" s="2">
        <v>4682.8500000000004</v>
      </c>
      <c r="C404" s="3">
        <f t="shared" si="18"/>
        <v>7.2226392530440097E-3</v>
      </c>
      <c r="D404" s="4">
        <f t="shared" si="19"/>
        <v>4688.2089999999998</v>
      </c>
      <c r="E404" s="2">
        <f t="shared" si="20"/>
        <v>15.188271428967663</v>
      </c>
    </row>
    <row r="405" spans="1:5" x14ac:dyDescent="0.25">
      <c r="A405" s="1">
        <v>44515</v>
      </c>
      <c r="B405" s="2">
        <v>4682.8</v>
      </c>
      <c r="C405" s="3">
        <f t="shared" si="18"/>
        <v>-1.0677258507144559E-5</v>
      </c>
      <c r="D405" s="4">
        <f t="shared" si="19"/>
        <v>4682.7440000000006</v>
      </c>
      <c r="E405" s="2">
        <f t="shared" si="20"/>
        <v>30.415175225535041</v>
      </c>
    </row>
    <row r="406" spans="1:5" x14ac:dyDescent="0.25">
      <c r="A406" s="1">
        <v>44516</v>
      </c>
      <c r="B406" s="2">
        <v>4700.8999999999996</v>
      </c>
      <c r="C406" s="3">
        <f t="shared" si="18"/>
        <v>3.8652088494062213E-3</v>
      </c>
      <c r="D406" s="4">
        <f t="shared" si="19"/>
        <v>4679.9859999999999</v>
      </c>
      <c r="E406" s="2">
        <f t="shared" si="20"/>
        <v>31.511224412897665</v>
      </c>
    </row>
    <row r="407" spans="1:5" x14ac:dyDescent="0.25">
      <c r="A407" s="1">
        <v>44517</v>
      </c>
      <c r="B407" s="2">
        <v>4688.67</v>
      </c>
      <c r="C407" s="3">
        <f t="shared" si="18"/>
        <v>-2.6016294752067826E-3</v>
      </c>
      <c r="D407" s="4">
        <f t="shared" si="19"/>
        <v>4668.4059999999999</v>
      </c>
      <c r="E407" s="2">
        <f t="shared" si="20"/>
        <v>46.202301068236814</v>
      </c>
    </row>
    <row r="408" spans="1:5" x14ac:dyDescent="0.25">
      <c r="A408" s="1">
        <v>44518</v>
      </c>
      <c r="B408" s="2">
        <v>4704.54</v>
      </c>
      <c r="C408" s="3">
        <f t="shared" si="18"/>
        <v>3.384755165110765E-3</v>
      </c>
      <c r="D408" s="4">
        <f t="shared" si="19"/>
        <v>4649.62</v>
      </c>
      <c r="E408" s="2">
        <f t="shared" si="20"/>
        <v>63.953203359956881</v>
      </c>
    </row>
    <row r="409" spans="1:5" x14ac:dyDescent="0.25">
      <c r="A409" s="1">
        <v>44519</v>
      </c>
      <c r="B409" s="2">
        <v>4697.96</v>
      </c>
      <c r="C409" s="3">
        <f t="shared" si="18"/>
        <v>-1.3986489646171415E-3</v>
      </c>
      <c r="D409" s="4">
        <f t="shared" si="19"/>
        <v>4638.4629999999997</v>
      </c>
      <c r="E409" s="2">
        <f t="shared" si="20"/>
        <v>65.870770156420633</v>
      </c>
    </row>
    <row r="410" spans="1:5" x14ac:dyDescent="0.25">
      <c r="A410" s="1">
        <v>44522</v>
      </c>
      <c r="B410" s="2">
        <v>4682.9399999999996</v>
      </c>
      <c r="C410" s="3">
        <f t="shared" si="18"/>
        <v>-3.1971323723489421E-3</v>
      </c>
      <c r="D410" s="4">
        <f t="shared" si="19"/>
        <v>4621.8519999999999</v>
      </c>
      <c r="E410" s="2">
        <f t="shared" si="20"/>
        <v>68.022615033531238</v>
      </c>
    </row>
    <row r="411" spans="1:5" x14ac:dyDescent="0.25">
      <c r="A411" s="1">
        <v>44523</v>
      </c>
      <c r="B411" s="2">
        <v>4690.7</v>
      </c>
      <c r="C411" s="3">
        <f t="shared" si="18"/>
        <v>1.6570786727996129E-3</v>
      </c>
      <c r="D411" s="4">
        <f t="shared" si="19"/>
        <v>4611.223</v>
      </c>
      <c r="E411" s="2">
        <f t="shared" si="20"/>
        <v>63.450398430585047</v>
      </c>
    </row>
    <row r="412" spans="1:5" x14ac:dyDescent="0.25">
      <c r="A412" s="1">
        <v>44524</v>
      </c>
      <c r="B412" s="2">
        <v>4701.46</v>
      </c>
      <c r="C412" s="3">
        <f t="shared" si="18"/>
        <v>2.2939006971241433E-3</v>
      </c>
      <c r="D412" s="4">
        <f t="shared" si="19"/>
        <v>4611.6040000000003</v>
      </c>
      <c r="E412" s="2">
        <f t="shared" si="20"/>
        <v>63.88981032997355</v>
      </c>
    </row>
    <row r="413" spans="1:5" x14ac:dyDescent="0.25">
      <c r="A413" s="1">
        <v>44526</v>
      </c>
      <c r="B413" s="2">
        <v>4594.62</v>
      </c>
      <c r="C413" s="3">
        <f t="shared" si="18"/>
        <v>-2.2724855683128251E-2</v>
      </c>
      <c r="D413" s="4">
        <f t="shared" si="19"/>
        <v>4612.6549999999997</v>
      </c>
      <c r="E413" s="2">
        <f t="shared" si="20"/>
        <v>65.254188103140166</v>
      </c>
    </row>
    <row r="414" spans="1:5" x14ac:dyDescent="0.25">
      <c r="A414" s="1">
        <v>44529</v>
      </c>
      <c r="B414" s="2">
        <v>4655.2700000000004</v>
      </c>
      <c r="C414" s="3">
        <f t="shared" si="18"/>
        <v>1.3200221128189174E-2</v>
      </c>
      <c r="D414" s="4">
        <f t="shared" si="19"/>
        <v>4609.253999999999</v>
      </c>
      <c r="E414" s="2">
        <f t="shared" si="20"/>
        <v>61.303822588807598</v>
      </c>
    </row>
    <row r="415" spans="1:5" x14ac:dyDescent="0.25">
      <c r="A415" s="1">
        <v>44530</v>
      </c>
      <c r="B415" s="2">
        <v>4567</v>
      </c>
      <c r="C415" s="3">
        <f t="shared" si="18"/>
        <v>-1.8961306218543805E-2</v>
      </c>
      <c r="D415" s="4">
        <f t="shared" si="19"/>
        <v>4620.9940000000006</v>
      </c>
      <c r="E415" s="2">
        <f t="shared" si="20"/>
        <v>68.227565866004653</v>
      </c>
    </row>
    <row r="416" spans="1:5" x14ac:dyDescent="0.25">
      <c r="A416" s="1">
        <v>44531</v>
      </c>
      <c r="B416" s="2">
        <v>4513.04</v>
      </c>
      <c r="C416" s="3">
        <f t="shared" si="18"/>
        <v>-1.1815195971097009E-2</v>
      </c>
      <c r="D416" s="4">
        <f t="shared" si="19"/>
        <v>4622.3639999999996</v>
      </c>
      <c r="E416" s="2">
        <f t="shared" si="20"/>
        <v>69.034839639127156</v>
      </c>
    </row>
    <row r="417" spans="1:5" x14ac:dyDescent="0.25">
      <c r="A417" s="1">
        <v>44532</v>
      </c>
      <c r="B417" s="2">
        <v>4577.1000000000004</v>
      </c>
      <c r="C417" s="3">
        <f t="shared" si="18"/>
        <v>1.4194423271231897E-2</v>
      </c>
      <c r="D417" s="4">
        <f t="shared" si="19"/>
        <v>4629.0729999999994</v>
      </c>
      <c r="E417" s="2">
        <f t="shared" si="20"/>
        <v>66.543452427718236</v>
      </c>
    </row>
    <row r="418" spans="1:5" x14ac:dyDescent="0.25">
      <c r="A418" s="1">
        <v>44533</v>
      </c>
      <c r="B418" s="2">
        <v>4538.43</v>
      </c>
      <c r="C418" s="3">
        <f t="shared" si="18"/>
        <v>-8.4485809792226672E-3</v>
      </c>
      <c r="D418" s="4">
        <f t="shared" si="19"/>
        <v>4648.7539999999999</v>
      </c>
      <c r="E418" s="2">
        <f t="shared" si="20"/>
        <v>57.851672093380309</v>
      </c>
    </row>
    <row r="419" spans="1:5" x14ac:dyDescent="0.25">
      <c r="A419" s="1">
        <v>44536</v>
      </c>
      <c r="B419" s="2">
        <v>4591.67</v>
      </c>
      <c r="C419" s="3">
        <f t="shared" si="18"/>
        <v>1.1730928977641998E-2</v>
      </c>
      <c r="D419" s="4">
        <f t="shared" si="19"/>
        <v>4657.9110000000001</v>
      </c>
      <c r="E419" s="2">
        <f t="shared" si="20"/>
        <v>52.812881468444807</v>
      </c>
    </row>
    <row r="420" spans="1:5" x14ac:dyDescent="0.25">
      <c r="A420" s="1">
        <v>44537</v>
      </c>
      <c r="B420" s="2">
        <v>4686.75</v>
      </c>
      <c r="C420" s="3">
        <f t="shared" si="18"/>
        <v>2.070706300757675E-2</v>
      </c>
      <c r="D420" s="4">
        <f t="shared" si="19"/>
        <v>4666.1319999999996</v>
      </c>
      <c r="E420" s="2">
        <f t="shared" si="20"/>
        <v>37.854423995089434</v>
      </c>
    </row>
    <row r="421" spans="1:5" x14ac:dyDescent="0.25">
      <c r="A421" s="1">
        <v>44538</v>
      </c>
      <c r="B421" s="2">
        <v>4701.21</v>
      </c>
      <c r="C421" s="3">
        <f t="shared" si="18"/>
        <v>3.0852936469835252E-3</v>
      </c>
      <c r="D421" s="4">
        <f t="shared" si="19"/>
        <v>4663.7669999999998</v>
      </c>
      <c r="E421" s="2">
        <f t="shared" si="20"/>
        <v>42.842755525292674</v>
      </c>
    </row>
    <row r="422" spans="1:5" x14ac:dyDescent="0.25">
      <c r="A422" s="1">
        <v>44539</v>
      </c>
      <c r="B422" s="2">
        <v>4667.45</v>
      </c>
      <c r="C422" s="3">
        <f t="shared" si="18"/>
        <v>-7.1811299644134637E-3</v>
      </c>
      <c r="D422" s="4">
        <f t="shared" si="19"/>
        <v>4660.0149999999994</v>
      </c>
      <c r="E422" s="2">
        <f t="shared" si="20"/>
        <v>42.305257415597865</v>
      </c>
    </row>
    <row r="423" spans="1:5" x14ac:dyDescent="0.25">
      <c r="A423" s="1">
        <v>44540</v>
      </c>
      <c r="B423" s="2">
        <v>4712.0200000000004</v>
      </c>
      <c r="C423" s="3">
        <f t="shared" si="18"/>
        <v>9.5491113991581309E-3</v>
      </c>
      <c r="D423" s="4">
        <f t="shared" si="19"/>
        <v>4659.55</v>
      </c>
      <c r="E423" s="2">
        <f t="shared" si="20"/>
        <v>41.873254948713999</v>
      </c>
    </row>
    <row r="424" spans="1:5" x14ac:dyDescent="0.25">
      <c r="A424" s="1">
        <v>44543</v>
      </c>
      <c r="B424" s="2">
        <v>4668.97</v>
      </c>
      <c r="C424" s="3">
        <f t="shared" si="18"/>
        <v>-9.1362090992822987E-3</v>
      </c>
      <c r="D424" s="4">
        <f t="shared" si="19"/>
        <v>4665.384</v>
      </c>
      <c r="E424" s="2">
        <f t="shared" si="20"/>
        <v>46.388217081496016</v>
      </c>
    </row>
    <row r="425" spans="1:5" x14ac:dyDescent="0.25">
      <c r="A425" s="1">
        <v>44544</v>
      </c>
      <c r="B425" s="2">
        <v>4634.09</v>
      </c>
      <c r="C425" s="3">
        <f t="shared" si="18"/>
        <v>-7.4705984403412549E-3</v>
      </c>
      <c r="D425" s="4">
        <f t="shared" si="19"/>
        <v>4673.3010000000004</v>
      </c>
      <c r="E425" s="2">
        <f t="shared" si="20"/>
        <v>58.774238480817274</v>
      </c>
    </row>
    <row r="426" spans="1:5" x14ac:dyDescent="0.25">
      <c r="A426" s="1">
        <v>44545</v>
      </c>
      <c r="B426" s="2">
        <v>4709.8500000000004</v>
      </c>
      <c r="C426" s="3">
        <f t="shared" si="18"/>
        <v>1.634840928855508E-2</v>
      </c>
      <c r="D426" s="4">
        <f t="shared" si="19"/>
        <v>4685.0389999999998</v>
      </c>
      <c r="E426" s="2">
        <f t="shared" si="20"/>
        <v>67.769922155776356</v>
      </c>
    </row>
    <row r="427" spans="1:5" x14ac:dyDescent="0.25">
      <c r="A427" s="1">
        <v>44546</v>
      </c>
      <c r="B427" s="2">
        <v>4668.67</v>
      </c>
      <c r="C427" s="3">
        <f t="shared" si="18"/>
        <v>-8.7433782392221174E-3</v>
      </c>
      <c r="D427" s="4">
        <f t="shared" si="19"/>
        <v>4700.9359999999997</v>
      </c>
      <c r="E427" s="2">
        <f t="shared" si="20"/>
        <v>72.438396751998823</v>
      </c>
    </row>
    <row r="428" spans="1:5" x14ac:dyDescent="0.25">
      <c r="A428" s="1">
        <v>44547</v>
      </c>
      <c r="B428" s="2">
        <v>4620.6400000000003</v>
      </c>
      <c r="C428" s="3">
        <f t="shared" si="18"/>
        <v>-1.0287726483131115E-2</v>
      </c>
      <c r="D428" s="4">
        <f t="shared" si="19"/>
        <v>4707.8240000000005</v>
      </c>
      <c r="E428" s="2">
        <f t="shared" si="20"/>
        <v>76.138830329865101</v>
      </c>
    </row>
    <row r="429" spans="1:5" x14ac:dyDescent="0.25">
      <c r="A429" s="1">
        <v>44550</v>
      </c>
      <c r="B429" s="2">
        <v>4568.0200000000004</v>
      </c>
      <c r="C429" s="3">
        <f t="shared" si="18"/>
        <v>-1.1388032826621396E-2</v>
      </c>
      <c r="D429" s="4">
        <f t="shared" si="19"/>
        <v>4717.5749999999989</v>
      </c>
      <c r="E429" s="2">
        <f t="shared" si="20"/>
        <v>76.74163267093023</v>
      </c>
    </row>
    <row r="430" spans="1:5" x14ac:dyDescent="0.25">
      <c r="A430" s="1">
        <v>44551</v>
      </c>
      <c r="B430" s="2">
        <v>4649.2299999999996</v>
      </c>
      <c r="C430" s="3">
        <f t="shared" si="18"/>
        <v>1.7777943178882562E-2</v>
      </c>
      <c r="D430" s="4">
        <f t="shared" si="19"/>
        <v>4735.1669999999995</v>
      </c>
      <c r="E430" s="2">
        <f t="shared" si="20"/>
        <v>72.55358930473389</v>
      </c>
    </row>
    <row r="431" spans="1:5" x14ac:dyDescent="0.25">
      <c r="A431" s="1">
        <v>44552</v>
      </c>
      <c r="B431" s="2">
        <v>4696.5600000000004</v>
      </c>
      <c r="C431" s="3">
        <f t="shared" si="18"/>
        <v>1.0180180373954578E-2</v>
      </c>
      <c r="D431" s="4">
        <f t="shared" si="19"/>
        <v>4757.7190000000001</v>
      </c>
      <c r="E431" s="2">
        <f t="shared" si="20"/>
        <v>47.982907050323746</v>
      </c>
    </row>
    <row r="432" spans="1:5" x14ac:dyDescent="0.25">
      <c r="A432" s="1">
        <v>44553</v>
      </c>
      <c r="B432" s="2">
        <v>4725.79</v>
      </c>
      <c r="C432" s="3">
        <f t="shared" si="18"/>
        <v>6.2237041579367791E-3</v>
      </c>
      <c r="D432" s="4">
        <f t="shared" si="19"/>
        <v>4762.8540000000003</v>
      </c>
      <c r="E432" s="2">
        <f t="shared" si="20"/>
        <v>37.755679890580687</v>
      </c>
    </row>
    <row r="433" spans="1:5" x14ac:dyDescent="0.25">
      <c r="A433" s="1">
        <v>44557</v>
      </c>
      <c r="B433" s="2">
        <v>4791.1899999999996</v>
      </c>
      <c r="C433" s="3">
        <f t="shared" si="18"/>
        <v>1.3838956026399741E-2</v>
      </c>
      <c r="D433" s="4">
        <f t="shared" si="19"/>
        <v>4762.8030000000008</v>
      </c>
      <c r="E433" s="2">
        <f t="shared" si="20"/>
        <v>37.845432498519585</v>
      </c>
    </row>
    <row r="434" spans="1:5" x14ac:dyDescent="0.25">
      <c r="A434" s="1">
        <v>44558</v>
      </c>
      <c r="B434" s="2">
        <v>4786.3500000000004</v>
      </c>
      <c r="C434" s="3">
        <f t="shared" si="18"/>
        <v>-1.0101874482120801E-3</v>
      </c>
      <c r="D434" s="4">
        <f t="shared" si="19"/>
        <v>4757.9270000000006</v>
      </c>
      <c r="E434" s="2">
        <f t="shared" si="20"/>
        <v>44.801851758604876</v>
      </c>
    </row>
    <row r="435" spans="1:5" x14ac:dyDescent="0.25">
      <c r="A435" s="1">
        <v>44559</v>
      </c>
      <c r="B435" s="2">
        <v>4793.0600000000004</v>
      </c>
      <c r="C435" s="3">
        <f t="shared" si="18"/>
        <v>1.4019033292592552E-3</v>
      </c>
      <c r="D435" s="4">
        <f t="shared" si="19"/>
        <v>4745.8370000000004</v>
      </c>
      <c r="E435" s="2">
        <f t="shared" si="20"/>
        <v>50.18385677685616</v>
      </c>
    </row>
    <row r="436" spans="1:5" x14ac:dyDescent="0.25">
      <c r="A436" s="1">
        <v>44560</v>
      </c>
      <c r="B436" s="2">
        <v>4778.7299999999996</v>
      </c>
      <c r="C436" s="3">
        <f t="shared" si="18"/>
        <v>-2.9897393314502292E-3</v>
      </c>
      <c r="D436" s="4">
        <f t="shared" si="19"/>
        <v>4738.509</v>
      </c>
      <c r="E436" s="2">
        <f t="shared" si="20"/>
        <v>49.070940575864356</v>
      </c>
    </row>
    <row r="437" spans="1:5" x14ac:dyDescent="0.25">
      <c r="A437" s="1">
        <v>44561</v>
      </c>
      <c r="B437" s="2">
        <v>4766.18</v>
      </c>
      <c r="C437" s="3">
        <f t="shared" si="18"/>
        <v>-2.6262207741385834E-3</v>
      </c>
      <c r="D437" s="4">
        <f t="shared" si="19"/>
        <v>4731.8380000000006</v>
      </c>
      <c r="E437" s="2">
        <f t="shared" si="20"/>
        <v>45.614229534214495</v>
      </c>
    </row>
    <row r="438" spans="1:5" x14ac:dyDescent="0.25">
      <c r="A438" s="1">
        <v>44564</v>
      </c>
      <c r="B438" s="2">
        <v>4796.5600000000004</v>
      </c>
      <c r="C438" s="3">
        <f t="shared" si="18"/>
        <v>6.3740773533521831E-3</v>
      </c>
      <c r="D438" s="4">
        <f t="shared" si="19"/>
        <v>4719.8679999999995</v>
      </c>
      <c r="E438" s="2">
        <f t="shared" si="20"/>
        <v>47.408770876284208</v>
      </c>
    </row>
    <row r="439" spans="1:5" x14ac:dyDescent="0.25">
      <c r="A439" s="1">
        <v>44565</v>
      </c>
      <c r="B439" s="2">
        <v>4793.54</v>
      </c>
      <c r="C439" s="3">
        <f t="shared" si="18"/>
        <v>-6.2961789282328087E-4</v>
      </c>
      <c r="D439" s="4">
        <f t="shared" si="19"/>
        <v>4709.5349999999989</v>
      </c>
      <c r="E439" s="2">
        <f t="shared" si="20"/>
        <v>47.449402156402435</v>
      </c>
    </row>
    <row r="440" spans="1:5" x14ac:dyDescent="0.25">
      <c r="A440" s="1">
        <v>44566</v>
      </c>
      <c r="B440" s="2">
        <v>4700.58</v>
      </c>
      <c r="C440" s="3">
        <f t="shared" si="18"/>
        <v>-1.9392766097706505E-2</v>
      </c>
      <c r="D440" s="4">
        <f t="shared" si="19"/>
        <v>4687.5899999999992</v>
      </c>
      <c r="E440" s="2">
        <f t="shared" si="20"/>
        <v>52.594350837328612</v>
      </c>
    </row>
    <row r="441" spans="1:5" x14ac:dyDescent="0.25">
      <c r="A441" s="1">
        <v>44567</v>
      </c>
      <c r="B441" s="2">
        <v>4696.05</v>
      </c>
      <c r="C441" s="3">
        <f t="shared" si="18"/>
        <v>-9.6371086121281742E-4</v>
      </c>
      <c r="D441" s="4">
        <f t="shared" si="19"/>
        <v>4661.5120000000006</v>
      </c>
      <c r="E441" s="2">
        <f t="shared" si="20"/>
        <v>57.972375283405476</v>
      </c>
    </row>
    <row r="442" spans="1:5" x14ac:dyDescent="0.25">
      <c r="A442" s="1">
        <v>44568</v>
      </c>
      <c r="B442" s="2">
        <v>4677.03</v>
      </c>
      <c r="C442" s="3">
        <f t="shared" si="18"/>
        <v>-4.0502124125595847E-3</v>
      </c>
      <c r="D442" s="4">
        <f t="shared" si="19"/>
        <v>4639.7270000000008</v>
      </c>
      <c r="E442" s="2">
        <f t="shared" si="20"/>
        <v>77.005711223259382</v>
      </c>
    </row>
    <row r="443" spans="1:5" x14ac:dyDescent="0.25">
      <c r="A443" s="1">
        <v>44571</v>
      </c>
      <c r="B443" s="2">
        <v>4670.29</v>
      </c>
      <c r="C443" s="3">
        <f t="shared" si="18"/>
        <v>-1.441085475183991E-3</v>
      </c>
      <c r="D443" s="4">
        <f t="shared" si="19"/>
        <v>4609.9160000000002</v>
      </c>
      <c r="E443" s="2">
        <f t="shared" si="20"/>
        <v>102.810754028944</v>
      </c>
    </row>
    <row r="444" spans="1:5" x14ac:dyDescent="0.25">
      <c r="A444" s="1">
        <v>44572</v>
      </c>
      <c r="B444" s="2">
        <v>4713.07</v>
      </c>
      <c r="C444" s="3">
        <f t="shared" si="18"/>
        <v>9.160030747555236E-3</v>
      </c>
      <c r="D444" s="4">
        <f t="shared" si="19"/>
        <v>4583.2260000000006</v>
      </c>
      <c r="E444" s="2">
        <f t="shared" si="20"/>
        <v>115.75280006980402</v>
      </c>
    </row>
    <row r="445" spans="1:5" x14ac:dyDescent="0.25">
      <c r="A445" s="1">
        <v>44573</v>
      </c>
      <c r="B445" s="2">
        <v>4726.3500000000004</v>
      </c>
      <c r="C445" s="3">
        <f t="shared" si="18"/>
        <v>2.8176963210817269E-3</v>
      </c>
      <c r="D445" s="4">
        <f t="shared" si="19"/>
        <v>4551.8419999999996</v>
      </c>
      <c r="E445" s="2">
        <f t="shared" si="20"/>
        <v>129.60893748503622</v>
      </c>
    </row>
    <row r="446" spans="1:5" x14ac:dyDescent="0.25">
      <c r="A446" s="1">
        <v>44574</v>
      </c>
      <c r="B446" s="2">
        <v>4659.03</v>
      </c>
      <c r="C446" s="3">
        <f t="shared" si="18"/>
        <v>-1.4243549462058589E-2</v>
      </c>
      <c r="D446" s="4">
        <f t="shared" si="19"/>
        <v>4515.5279999999993</v>
      </c>
      <c r="E446" s="2">
        <f t="shared" si="20"/>
        <v>130.21969457804769</v>
      </c>
    </row>
    <row r="447" spans="1:5" x14ac:dyDescent="0.25">
      <c r="A447" s="1">
        <v>44575</v>
      </c>
      <c r="B447" s="2">
        <v>4662.8500000000004</v>
      </c>
      <c r="C447" s="3">
        <f t="shared" si="18"/>
        <v>8.1991315788922125E-4</v>
      </c>
      <c r="D447" s="4">
        <f t="shared" si="19"/>
        <v>4475.5439999999999</v>
      </c>
      <c r="E447" s="2">
        <f t="shared" si="20"/>
        <v>120.36044808823202</v>
      </c>
    </row>
    <row r="448" spans="1:5" x14ac:dyDescent="0.25">
      <c r="A448" s="1">
        <v>44579</v>
      </c>
      <c r="B448" s="2">
        <v>4577.1099999999997</v>
      </c>
      <c r="C448" s="3">
        <f t="shared" si="18"/>
        <v>-1.8387895814791531E-2</v>
      </c>
      <c r="D448" s="4">
        <f t="shared" si="19"/>
        <v>4452.8259999999991</v>
      </c>
      <c r="E448" s="2">
        <f t="shared" si="20"/>
        <v>103.89771548980276</v>
      </c>
    </row>
    <row r="449" spans="1:5" x14ac:dyDescent="0.25">
      <c r="A449" s="1">
        <v>44580</v>
      </c>
      <c r="B449" s="2">
        <v>4532.76</v>
      </c>
      <c r="C449" s="3">
        <f t="shared" si="18"/>
        <v>-9.6895202431227252E-3</v>
      </c>
      <c r="D449" s="4">
        <f t="shared" si="19"/>
        <v>4438.0959999999995</v>
      </c>
      <c r="E449" s="2">
        <f t="shared" si="20"/>
        <v>80.994964929926283</v>
      </c>
    </row>
    <row r="450" spans="1:5" x14ac:dyDescent="0.25">
      <c r="A450" s="1">
        <v>44581</v>
      </c>
      <c r="B450" s="2">
        <v>4482.7299999999996</v>
      </c>
      <c r="C450" s="3">
        <f t="shared" si="18"/>
        <v>-1.1037425321437856E-2</v>
      </c>
      <c r="D450" s="4">
        <f t="shared" si="19"/>
        <v>4435.0390000000007</v>
      </c>
      <c r="E450" s="2">
        <f t="shared" si="20"/>
        <v>76.120693566204437</v>
      </c>
    </row>
    <row r="451" spans="1:5" x14ac:dyDescent="0.25">
      <c r="A451" s="1">
        <v>44582</v>
      </c>
      <c r="B451" s="2">
        <v>4397.9399999999996</v>
      </c>
      <c r="C451" s="3">
        <f t="shared" ref="C451:C514" si="21">(B451-B450)/B450</f>
        <v>-1.8914813071498834E-2</v>
      </c>
      <c r="D451" s="4">
        <f t="shared" ref="D451:D514" si="22">AVERAGE(B450:B459)</f>
        <v>4440.701</v>
      </c>
      <c r="E451" s="2">
        <f t="shared" ref="E451:E514" si="23">_xlfn.STDEV.P(B450:B459)</f>
        <v>84.790782453047314</v>
      </c>
    </row>
    <row r="452" spans="1:5" x14ac:dyDescent="0.25">
      <c r="A452" s="1">
        <v>44585</v>
      </c>
      <c r="B452" s="2">
        <v>4410.13</v>
      </c>
      <c r="C452" s="3">
        <f t="shared" si="21"/>
        <v>2.7717522294529963E-3</v>
      </c>
      <c r="D452" s="4">
        <f t="shared" si="22"/>
        <v>4440.1719999999996</v>
      </c>
      <c r="E452" s="2">
        <f t="shared" si="23"/>
        <v>84.543058118333974</v>
      </c>
    </row>
    <row r="453" spans="1:5" x14ac:dyDescent="0.25">
      <c r="A453" s="1">
        <v>44586</v>
      </c>
      <c r="B453" s="2">
        <v>4356.45</v>
      </c>
      <c r="C453" s="3">
        <f t="shared" si="21"/>
        <v>-1.2171976789799912E-2</v>
      </c>
      <c r="D453" s="4">
        <f t="shared" si="22"/>
        <v>4450.4310000000005</v>
      </c>
      <c r="E453" s="2">
        <f t="shared" si="23"/>
        <v>85.019034509926001</v>
      </c>
    </row>
    <row r="454" spans="1:5" x14ac:dyDescent="0.25">
      <c r="A454" s="1">
        <v>44587</v>
      </c>
      <c r="B454" s="2">
        <v>4349.93</v>
      </c>
      <c r="C454" s="3">
        <f t="shared" si="21"/>
        <v>-1.4966314315554012E-3</v>
      </c>
      <c r="D454" s="4">
        <f t="shared" si="22"/>
        <v>4457.8050000000003</v>
      </c>
      <c r="E454" s="2">
        <f t="shared" si="23"/>
        <v>84.39940737351175</v>
      </c>
    </row>
    <row r="455" spans="1:5" x14ac:dyDescent="0.25">
      <c r="A455" s="1">
        <v>44588</v>
      </c>
      <c r="B455" s="2">
        <v>4326.51</v>
      </c>
      <c r="C455" s="3">
        <f t="shared" si="21"/>
        <v>-5.3839946849719581E-3</v>
      </c>
      <c r="D455" s="4">
        <f t="shared" si="22"/>
        <v>4474.3140000000003</v>
      </c>
      <c r="E455" s="2">
        <f t="shared" si="23"/>
        <v>78.928095783440668</v>
      </c>
    </row>
    <row r="456" spans="1:5" x14ac:dyDescent="0.25">
      <c r="A456" s="1">
        <v>44589</v>
      </c>
      <c r="B456" s="2">
        <v>4431.8500000000004</v>
      </c>
      <c r="C456" s="3">
        <f t="shared" si="21"/>
        <v>2.4347568825681704E-2</v>
      </c>
      <c r="D456" s="4">
        <f t="shared" si="22"/>
        <v>4498.0389999999998</v>
      </c>
      <c r="E456" s="2">
        <f t="shared" si="23"/>
        <v>73.440480179530397</v>
      </c>
    </row>
    <row r="457" spans="1:5" x14ac:dyDescent="0.25">
      <c r="A457" s="1">
        <v>44592</v>
      </c>
      <c r="B457" s="2">
        <v>4515.55</v>
      </c>
      <c r="C457" s="3">
        <f t="shared" si="21"/>
        <v>1.8886018254227876E-2</v>
      </c>
      <c r="D457" s="4">
        <f t="shared" si="22"/>
        <v>4515.7960000000003</v>
      </c>
      <c r="E457" s="2">
        <f t="shared" si="23"/>
        <v>46.256055430613664</v>
      </c>
    </row>
    <row r="458" spans="1:5" x14ac:dyDescent="0.25">
      <c r="A458" s="1">
        <v>44593</v>
      </c>
      <c r="B458" s="2">
        <v>4546.54</v>
      </c>
      <c r="C458" s="3">
        <f t="shared" si="21"/>
        <v>6.8629513569775065E-3</v>
      </c>
      <c r="D458" s="4">
        <f t="shared" si="22"/>
        <v>4514.4750000000004</v>
      </c>
      <c r="E458" s="2">
        <f t="shared" si="23"/>
        <v>48.755649570075505</v>
      </c>
    </row>
    <row r="459" spans="1:5" x14ac:dyDescent="0.25">
      <c r="A459" s="1">
        <v>44594</v>
      </c>
      <c r="B459" s="2">
        <v>4589.38</v>
      </c>
      <c r="C459" s="3">
        <f t="shared" si="21"/>
        <v>9.4225498950850865E-3</v>
      </c>
      <c r="D459" s="4">
        <f t="shared" si="22"/>
        <v>4503.0869999999995</v>
      </c>
      <c r="E459" s="2">
        <f t="shared" si="23"/>
        <v>59.327970309121497</v>
      </c>
    </row>
    <row r="460" spans="1:5" x14ac:dyDescent="0.25">
      <c r="A460" s="1">
        <v>44595</v>
      </c>
      <c r="B460" s="2">
        <v>4477.4399999999996</v>
      </c>
      <c r="C460" s="3">
        <f t="shared" si="21"/>
        <v>-2.4391094221877574E-2</v>
      </c>
      <c r="D460" s="4">
        <f t="shared" si="22"/>
        <v>4495.5399999999991</v>
      </c>
      <c r="E460" s="2">
        <f t="shared" si="23"/>
        <v>58.10803180284119</v>
      </c>
    </row>
    <row r="461" spans="1:5" x14ac:dyDescent="0.25">
      <c r="A461" s="1">
        <v>44596</v>
      </c>
      <c r="B461" s="2">
        <v>4500.53</v>
      </c>
      <c r="C461" s="3">
        <f t="shared" si="21"/>
        <v>5.1569646941109536E-3</v>
      </c>
      <c r="D461" s="4">
        <f t="shared" si="22"/>
        <v>4484.1030000000001</v>
      </c>
      <c r="E461" s="2">
        <f t="shared" si="23"/>
        <v>49.064161268689794</v>
      </c>
    </row>
    <row r="462" spans="1:5" x14ac:dyDescent="0.25">
      <c r="A462" s="1">
        <v>44599</v>
      </c>
      <c r="B462" s="2">
        <v>4483.87</v>
      </c>
      <c r="C462" s="3">
        <f t="shared" si="21"/>
        <v>-3.7017862340657333E-3</v>
      </c>
      <c r="D462" s="4">
        <f t="shared" si="22"/>
        <v>4474.3850000000002</v>
      </c>
      <c r="E462" s="2">
        <f t="shared" si="23"/>
        <v>58.195787691206618</v>
      </c>
    </row>
    <row r="463" spans="1:5" x14ac:dyDescent="0.25">
      <c r="A463" s="1">
        <v>44600</v>
      </c>
      <c r="B463" s="2">
        <v>4521.54</v>
      </c>
      <c r="C463" s="3">
        <f t="shared" si="21"/>
        <v>8.4012248347967427E-3</v>
      </c>
      <c r="D463" s="4">
        <f t="shared" si="22"/>
        <v>4459.2190000000001</v>
      </c>
      <c r="E463" s="2">
        <f t="shared" si="23"/>
        <v>68.291929018003302</v>
      </c>
    </row>
    <row r="464" spans="1:5" x14ac:dyDescent="0.25">
      <c r="A464" s="1">
        <v>44601</v>
      </c>
      <c r="B464" s="2">
        <v>4587.18</v>
      </c>
      <c r="C464" s="3">
        <f t="shared" si="21"/>
        <v>1.4517177775713657E-2</v>
      </c>
      <c r="D464" s="4">
        <f t="shared" si="22"/>
        <v>4441.3080000000009</v>
      </c>
      <c r="E464" s="2">
        <f t="shared" si="23"/>
        <v>81.657667955924367</v>
      </c>
    </row>
    <row r="465" spans="1:5" x14ac:dyDescent="0.25">
      <c r="A465" s="1">
        <v>44602</v>
      </c>
      <c r="B465" s="2">
        <v>4504.08</v>
      </c>
      <c r="C465" s="3">
        <f t="shared" si="21"/>
        <v>-1.8115705073705492E-2</v>
      </c>
      <c r="D465" s="4">
        <f t="shared" si="22"/>
        <v>4411.7040000000006</v>
      </c>
      <c r="E465" s="2">
        <f t="shared" si="23"/>
        <v>99.021057477690078</v>
      </c>
    </row>
    <row r="466" spans="1:5" x14ac:dyDescent="0.25">
      <c r="A466" s="1">
        <v>44603</v>
      </c>
      <c r="B466" s="2">
        <v>4418.6400000000003</v>
      </c>
      <c r="C466" s="3">
        <f t="shared" si="21"/>
        <v>-1.8969467682634324E-2</v>
      </c>
      <c r="D466" s="4">
        <f t="shared" si="22"/>
        <v>4381.8559999999998</v>
      </c>
      <c r="E466" s="2">
        <f t="shared" si="23"/>
        <v>85.720956970859817</v>
      </c>
    </row>
    <row r="467" spans="1:5" x14ac:dyDescent="0.25">
      <c r="A467" s="1">
        <v>44606</v>
      </c>
      <c r="B467" s="2">
        <v>4401.67</v>
      </c>
      <c r="C467" s="3">
        <f t="shared" si="21"/>
        <v>-3.8405482229826944E-3</v>
      </c>
      <c r="D467" s="4">
        <f t="shared" si="22"/>
        <v>4369.9129999999996</v>
      </c>
      <c r="E467" s="2">
        <f t="shared" si="23"/>
        <v>75.580137873650386</v>
      </c>
    </row>
    <row r="468" spans="1:5" x14ac:dyDescent="0.25">
      <c r="A468" s="1">
        <v>44607</v>
      </c>
      <c r="B468" s="2">
        <v>4471.07</v>
      </c>
      <c r="C468" s="3">
        <f t="shared" si="21"/>
        <v>1.5766743077059307E-2</v>
      </c>
      <c r="D468" s="4">
        <f t="shared" si="22"/>
        <v>4365.4430000000002</v>
      </c>
      <c r="E468" s="2">
        <f t="shared" si="23"/>
        <v>73.86857221444042</v>
      </c>
    </row>
    <row r="469" spans="1:5" x14ac:dyDescent="0.25">
      <c r="A469" s="1">
        <v>44608</v>
      </c>
      <c r="B469" s="2">
        <v>4475.01</v>
      </c>
      <c r="C469" s="3">
        <f t="shared" si="21"/>
        <v>8.812208263347497E-4</v>
      </c>
      <c r="D469" s="4">
        <f t="shared" si="22"/>
        <v>4355.902</v>
      </c>
      <c r="E469" s="2">
        <f t="shared" si="23"/>
        <v>74.7299034925109</v>
      </c>
    </row>
    <row r="470" spans="1:5" x14ac:dyDescent="0.25">
      <c r="A470" s="1">
        <v>44609</v>
      </c>
      <c r="B470" s="2">
        <v>4380.26</v>
      </c>
      <c r="C470" s="3">
        <f t="shared" si="21"/>
        <v>-2.1173137043269175E-2</v>
      </c>
      <c r="D470" s="4">
        <f t="shared" si="22"/>
        <v>4347.4490000000005</v>
      </c>
      <c r="E470" s="2">
        <f t="shared" si="23"/>
        <v>65.426349042262785</v>
      </c>
    </row>
    <row r="471" spans="1:5" x14ac:dyDescent="0.25">
      <c r="A471" s="1">
        <v>44610</v>
      </c>
      <c r="B471" s="2">
        <v>4348.87</v>
      </c>
      <c r="C471" s="3">
        <f t="shared" si="21"/>
        <v>-7.1662412733491448E-3</v>
      </c>
      <c r="D471" s="4">
        <f t="shared" si="22"/>
        <v>4336.2969999999996</v>
      </c>
      <c r="E471" s="2">
        <f t="shared" si="23"/>
        <v>50.54493585909465</v>
      </c>
    </row>
    <row r="472" spans="1:5" x14ac:dyDescent="0.25">
      <c r="A472" s="1">
        <v>44614</v>
      </c>
      <c r="B472" s="2">
        <v>4304.76</v>
      </c>
      <c r="C472" s="3">
        <f t="shared" si="21"/>
        <v>-1.0142864698185891E-2</v>
      </c>
      <c r="D472" s="4">
        <f t="shared" si="22"/>
        <v>4331.1580000000004</v>
      </c>
      <c r="E472" s="2">
        <f t="shared" si="23"/>
        <v>48.379982596110864</v>
      </c>
    </row>
    <row r="473" spans="1:5" x14ac:dyDescent="0.25">
      <c r="A473" s="1">
        <v>44615</v>
      </c>
      <c r="B473" s="2">
        <v>4225.5</v>
      </c>
      <c r="C473" s="3">
        <f t="shared" si="21"/>
        <v>-1.8412176288573629E-2</v>
      </c>
      <c r="D473" s="4">
        <f t="shared" si="22"/>
        <v>4316.38</v>
      </c>
      <c r="E473" s="2">
        <f t="shared" si="23"/>
        <v>61.503092605168924</v>
      </c>
    </row>
    <row r="474" spans="1:5" x14ac:dyDescent="0.25">
      <c r="A474" s="1">
        <v>44616</v>
      </c>
      <c r="B474" s="2">
        <v>4288.7</v>
      </c>
      <c r="C474" s="3">
        <f t="shared" si="21"/>
        <v>1.4956809844988716E-2</v>
      </c>
      <c r="D474" s="4">
        <f t="shared" si="22"/>
        <v>4302.9740000000002</v>
      </c>
      <c r="E474" s="2">
        <f t="shared" si="23"/>
        <v>75.575613553579487</v>
      </c>
    </row>
    <row r="475" spans="1:5" x14ac:dyDescent="0.25">
      <c r="A475" s="1">
        <v>44617</v>
      </c>
      <c r="B475" s="2">
        <v>4384.6499999999996</v>
      </c>
      <c r="C475" s="3">
        <f t="shared" si="21"/>
        <v>2.2372746986266193E-2</v>
      </c>
      <c r="D475" s="4">
        <f t="shared" si="22"/>
        <v>4308.2119999999986</v>
      </c>
      <c r="E475" s="2">
        <f t="shared" si="23"/>
        <v>71.74249463184276</v>
      </c>
    </row>
    <row r="476" spans="1:5" x14ac:dyDescent="0.25">
      <c r="A476" s="1">
        <v>44620</v>
      </c>
      <c r="B476" s="2">
        <v>4373.9399999999996</v>
      </c>
      <c r="C476" s="3">
        <f t="shared" si="21"/>
        <v>-2.4426122951660993E-3</v>
      </c>
      <c r="D476" s="4">
        <f t="shared" si="22"/>
        <v>4305.293999999999</v>
      </c>
      <c r="E476" s="2">
        <f t="shared" si="23"/>
        <v>73.058128117273739</v>
      </c>
    </row>
    <row r="477" spans="1:5" x14ac:dyDescent="0.25">
      <c r="A477" s="1">
        <v>44621</v>
      </c>
      <c r="B477" s="2">
        <v>4306.26</v>
      </c>
      <c r="C477" s="3">
        <f t="shared" si="21"/>
        <v>-1.5473463284818582E-2</v>
      </c>
      <c r="D477" s="4">
        <f t="shared" si="22"/>
        <v>4287.26</v>
      </c>
      <c r="E477" s="2">
        <f t="shared" si="23"/>
        <v>73.500369250773034</v>
      </c>
    </row>
    <row r="478" spans="1:5" x14ac:dyDescent="0.25">
      <c r="A478" s="1">
        <v>44622</v>
      </c>
      <c r="B478" s="2">
        <v>4386.54</v>
      </c>
      <c r="C478" s="3">
        <f t="shared" si="21"/>
        <v>1.864262724498747E-2</v>
      </c>
      <c r="D478" s="4">
        <f t="shared" si="22"/>
        <v>4267.1770000000006</v>
      </c>
      <c r="E478" s="2">
        <f t="shared" si="23"/>
        <v>74.502734184726393</v>
      </c>
    </row>
    <row r="479" spans="1:5" x14ac:dyDescent="0.25">
      <c r="A479" s="1">
        <v>44623</v>
      </c>
      <c r="B479" s="2">
        <v>4363.49</v>
      </c>
      <c r="C479" s="3">
        <f t="shared" si="21"/>
        <v>-5.2547110022934211E-3</v>
      </c>
      <c r="D479" s="4">
        <f t="shared" si="22"/>
        <v>4262.7960000000003</v>
      </c>
      <c r="E479" s="2">
        <f t="shared" si="23"/>
        <v>73.35496304954421</v>
      </c>
    </row>
    <row r="480" spans="1:5" x14ac:dyDescent="0.25">
      <c r="A480" s="1">
        <v>44624</v>
      </c>
      <c r="B480" s="2">
        <v>4328.87</v>
      </c>
      <c r="C480" s="3">
        <f t="shared" si="21"/>
        <v>-7.9340161201240048E-3</v>
      </c>
      <c r="D480" s="4">
        <f t="shared" si="22"/>
        <v>4259.9279999999999</v>
      </c>
      <c r="E480" s="2">
        <f t="shared" si="23"/>
        <v>68.885294773267759</v>
      </c>
    </row>
    <row r="481" spans="1:5" x14ac:dyDescent="0.25">
      <c r="A481" s="1">
        <v>44627</v>
      </c>
      <c r="B481" s="2">
        <v>4201.09</v>
      </c>
      <c r="C481" s="3">
        <f t="shared" si="21"/>
        <v>-2.9518095946517161E-2</v>
      </c>
      <c r="D481" s="4">
        <f t="shared" si="22"/>
        <v>4264.7460000000001</v>
      </c>
      <c r="E481" s="2">
        <f t="shared" si="23"/>
        <v>77.149370600154583</v>
      </c>
    </row>
    <row r="482" spans="1:5" x14ac:dyDescent="0.25">
      <c r="A482" s="1">
        <v>44628</v>
      </c>
      <c r="B482" s="2">
        <v>4170.7</v>
      </c>
      <c r="C482" s="3">
        <f t="shared" si="21"/>
        <v>-7.2338369327960899E-3</v>
      </c>
      <c r="D482" s="4">
        <f t="shared" si="22"/>
        <v>4278.1710000000003</v>
      </c>
      <c r="E482" s="2">
        <f t="shared" si="23"/>
        <v>96.414886864010754</v>
      </c>
    </row>
    <row r="483" spans="1:5" x14ac:dyDescent="0.25">
      <c r="A483" s="1">
        <v>44629</v>
      </c>
      <c r="B483" s="2">
        <v>4277.88</v>
      </c>
      <c r="C483" s="3">
        <f t="shared" si="21"/>
        <v>2.5698324022346439E-2</v>
      </c>
      <c r="D483" s="4">
        <f t="shared" si="22"/>
        <v>4304.18</v>
      </c>
      <c r="E483" s="2">
        <f t="shared" si="23"/>
        <v>106.65103693823144</v>
      </c>
    </row>
    <row r="484" spans="1:5" x14ac:dyDescent="0.25">
      <c r="A484" s="1">
        <v>44630</v>
      </c>
      <c r="B484" s="2">
        <v>4259.5200000000004</v>
      </c>
      <c r="C484" s="3">
        <f t="shared" si="21"/>
        <v>-4.2918454935621554E-3</v>
      </c>
      <c r="D484" s="4">
        <f t="shared" si="22"/>
        <v>4338.2710000000006</v>
      </c>
      <c r="E484" s="2">
        <f t="shared" si="23"/>
        <v>112.8418222513266</v>
      </c>
    </row>
    <row r="485" spans="1:5" x14ac:dyDescent="0.25">
      <c r="A485" s="1">
        <v>44631</v>
      </c>
      <c r="B485" s="2">
        <v>4204.3100000000004</v>
      </c>
      <c r="C485" s="3">
        <f t="shared" si="21"/>
        <v>-1.296155435354219E-2</v>
      </c>
      <c r="D485" s="4">
        <f t="shared" si="22"/>
        <v>4356.107</v>
      </c>
      <c r="E485" s="2">
        <f t="shared" si="23"/>
        <v>115.94013610911445</v>
      </c>
    </row>
    <row r="486" spans="1:5" x14ac:dyDescent="0.25">
      <c r="A486" s="1">
        <v>44634</v>
      </c>
      <c r="B486" s="2">
        <v>4173.1099999999997</v>
      </c>
      <c r="C486" s="3">
        <f t="shared" si="21"/>
        <v>-7.4209561140831017E-3</v>
      </c>
      <c r="D486" s="4">
        <f t="shared" si="22"/>
        <v>4382.1709999999994</v>
      </c>
      <c r="E486" s="2">
        <f t="shared" si="23"/>
        <v>120.50401192076549</v>
      </c>
    </row>
    <row r="487" spans="1:5" x14ac:dyDescent="0.25">
      <c r="A487" s="1">
        <v>44635</v>
      </c>
      <c r="B487" s="2">
        <v>4262.45</v>
      </c>
      <c r="C487" s="3">
        <f t="shared" si="21"/>
        <v>2.1408493905025305E-2</v>
      </c>
      <c r="D487" s="4">
        <f t="shared" si="22"/>
        <v>4416.0459999999994</v>
      </c>
      <c r="E487" s="2">
        <f t="shared" si="23"/>
        <v>113.13167003098658</v>
      </c>
    </row>
    <row r="488" spans="1:5" x14ac:dyDescent="0.25">
      <c r="A488" s="1">
        <v>44636</v>
      </c>
      <c r="B488" s="2">
        <v>4357.8599999999997</v>
      </c>
      <c r="C488" s="3">
        <f t="shared" si="21"/>
        <v>2.2383840279651342E-2</v>
      </c>
      <c r="D488" s="4">
        <f t="shared" si="22"/>
        <v>4456.2869999999994</v>
      </c>
      <c r="E488" s="2">
        <f t="shared" si="23"/>
        <v>88.435526464198901</v>
      </c>
    </row>
    <row r="489" spans="1:5" x14ac:dyDescent="0.25">
      <c r="A489" s="1">
        <v>44637</v>
      </c>
      <c r="B489" s="2">
        <v>4411.67</v>
      </c>
      <c r="C489" s="3">
        <f t="shared" si="21"/>
        <v>1.2347803738532307E-2</v>
      </c>
      <c r="D489" s="4">
        <f t="shared" si="22"/>
        <v>4493.2019999999993</v>
      </c>
      <c r="E489" s="2">
        <f t="shared" si="23"/>
        <v>75.988891661874021</v>
      </c>
    </row>
    <row r="490" spans="1:5" x14ac:dyDescent="0.25">
      <c r="A490" s="1">
        <v>44638</v>
      </c>
      <c r="B490" s="2">
        <v>4463.12</v>
      </c>
      <c r="C490" s="3">
        <f t="shared" si="21"/>
        <v>1.1662250349640798E-2</v>
      </c>
      <c r="D490" s="4">
        <f t="shared" si="22"/>
        <v>4517.6609999999991</v>
      </c>
      <c r="E490" s="2">
        <f t="shared" si="23"/>
        <v>67.363460637054658</v>
      </c>
    </row>
    <row r="491" spans="1:5" x14ac:dyDescent="0.25">
      <c r="A491" s="1">
        <v>44641</v>
      </c>
      <c r="B491" s="2">
        <v>4461.18</v>
      </c>
      <c r="C491" s="3">
        <f t="shared" si="21"/>
        <v>-4.3467350194473816E-4</v>
      </c>
      <c r="D491" s="4">
        <f t="shared" si="22"/>
        <v>4529.5350000000008</v>
      </c>
      <c r="E491" s="2">
        <f t="shared" si="23"/>
        <v>57.355805678239861</v>
      </c>
    </row>
    <row r="492" spans="1:5" x14ac:dyDescent="0.25">
      <c r="A492" s="1">
        <v>44642</v>
      </c>
      <c r="B492" s="2">
        <v>4511.6099999999997</v>
      </c>
      <c r="C492" s="3">
        <f t="shared" si="21"/>
        <v>1.1304184094790925E-2</v>
      </c>
      <c r="D492" s="4">
        <f t="shared" si="22"/>
        <v>4537.8089999999993</v>
      </c>
      <c r="E492" s="2">
        <f t="shared" si="23"/>
        <v>52.979096906232833</v>
      </c>
    </row>
    <row r="493" spans="1:5" x14ac:dyDescent="0.25">
      <c r="A493" s="1">
        <v>44643</v>
      </c>
      <c r="B493" s="2">
        <v>4456.24</v>
      </c>
      <c r="C493" s="3">
        <f t="shared" si="21"/>
        <v>-1.2272780670315009E-2</v>
      </c>
      <c r="D493" s="4">
        <f t="shared" si="22"/>
        <v>4549.9549999999999</v>
      </c>
      <c r="E493" s="2">
        <f t="shared" si="23"/>
        <v>47.67641854208447</v>
      </c>
    </row>
    <row r="494" spans="1:5" x14ac:dyDescent="0.25">
      <c r="A494" s="1">
        <v>44644</v>
      </c>
      <c r="B494" s="2">
        <v>4520.16</v>
      </c>
      <c r="C494" s="3">
        <f t="shared" si="21"/>
        <v>1.4343931206577759E-2</v>
      </c>
      <c r="D494" s="4">
        <f t="shared" si="22"/>
        <v>4551.3060000000005</v>
      </c>
      <c r="E494" s="2">
        <f t="shared" si="23"/>
        <v>46.753176405459484</v>
      </c>
    </row>
    <row r="495" spans="1:5" x14ac:dyDescent="0.25">
      <c r="A495" s="1">
        <v>44645</v>
      </c>
      <c r="B495" s="2">
        <v>4543.0600000000004</v>
      </c>
      <c r="C495" s="3">
        <f t="shared" si="21"/>
        <v>5.0661923471736724E-3</v>
      </c>
      <c r="D495" s="4">
        <f t="shared" si="22"/>
        <v>4553.7970000000005</v>
      </c>
      <c r="E495" s="2">
        <f t="shared" si="23"/>
        <v>42.048619727644031</v>
      </c>
    </row>
    <row r="496" spans="1:5" x14ac:dyDescent="0.25">
      <c r="A496" s="1">
        <v>44648</v>
      </c>
      <c r="B496" s="2">
        <v>4575.5200000000004</v>
      </c>
      <c r="C496" s="3">
        <f t="shared" si="21"/>
        <v>7.144963967017832E-3</v>
      </c>
      <c r="D496" s="4">
        <f t="shared" si="22"/>
        <v>4551.8020000000006</v>
      </c>
      <c r="E496" s="2">
        <f t="shared" si="23"/>
        <v>44.024064737368505</v>
      </c>
    </row>
    <row r="497" spans="1:5" x14ac:dyDescent="0.25">
      <c r="A497" s="1">
        <v>44649</v>
      </c>
      <c r="B497" s="2">
        <v>4631.6000000000004</v>
      </c>
      <c r="C497" s="3">
        <f t="shared" si="21"/>
        <v>1.2256530405287252E-2</v>
      </c>
      <c r="D497" s="4">
        <f t="shared" si="22"/>
        <v>4546.3239999999996</v>
      </c>
      <c r="E497" s="2">
        <f t="shared" si="23"/>
        <v>47.999708165779694</v>
      </c>
    </row>
    <row r="498" spans="1:5" x14ac:dyDescent="0.25">
      <c r="A498" s="1">
        <v>44650</v>
      </c>
      <c r="B498" s="2">
        <v>4602.45</v>
      </c>
      <c r="C498" s="3">
        <f t="shared" si="21"/>
        <v>-6.2937213921756075E-3</v>
      </c>
      <c r="D498" s="4">
        <f t="shared" si="22"/>
        <v>4530.0249999999996</v>
      </c>
      <c r="E498" s="2">
        <f t="shared" si="23"/>
        <v>61.181348342448445</v>
      </c>
    </row>
    <row r="499" spans="1:5" x14ac:dyDescent="0.25">
      <c r="A499" s="1">
        <v>44651</v>
      </c>
      <c r="B499" s="2">
        <v>4530.41</v>
      </c>
      <c r="C499" s="3">
        <f t="shared" si="21"/>
        <v>-1.565253289009114E-2</v>
      </c>
      <c r="D499" s="4">
        <f t="shared" si="22"/>
        <v>4506.6099999999988</v>
      </c>
      <c r="E499" s="2">
        <f t="shared" si="23"/>
        <v>62.615973680842892</v>
      </c>
    </row>
    <row r="500" spans="1:5" x14ac:dyDescent="0.25">
      <c r="A500" s="1">
        <v>44652</v>
      </c>
      <c r="B500" s="2">
        <v>4545.8599999999997</v>
      </c>
      <c r="C500" s="3">
        <f t="shared" si="21"/>
        <v>3.4102873691343209E-3</v>
      </c>
      <c r="D500" s="4">
        <f t="shared" si="22"/>
        <v>4491.0239999999994</v>
      </c>
      <c r="E500" s="2">
        <f t="shared" si="23"/>
        <v>55.852898259624872</v>
      </c>
    </row>
    <row r="501" spans="1:5" x14ac:dyDescent="0.25">
      <c r="A501" s="1">
        <v>44655</v>
      </c>
      <c r="B501" s="2">
        <v>4582.6400000000003</v>
      </c>
      <c r="C501" s="3">
        <f t="shared" si="21"/>
        <v>8.0908782936563502E-3</v>
      </c>
      <c r="D501" s="4">
        <f t="shared" si="22"/>
        <v>4477.2419999999984</v>
      </c>
      <c r="E501" s="2">
        <f t="shared" si="23"/>
        <v>61.183349499680077</v>
      </c>
    </row>
    <row r="502" spans="1:5" x14ac:dyDescent="0.25">
      <c r="A502" s="1">
        <v>44656</v>
      </c>
      <c r="B502" s="2">
        <v>4525.12</v>
      </c>
      <c r="C502" s="3">
        <f t="shared" si="21"/>
        <v>-1.2551716914267853E-2</v>
      </c>
      <c r="D502" s="4">
        <f t="shared" si="22"/>
        <v>4461.8249999999998</v>
      </c>
      <c r="E502" s="2">
        <f t="shared" si="23"/>
        <v>61.374178976178669</v>
      </c>
    </row>
    <row r="503" spans="1:5" x14ac:dyDescent="0.25">
      <c r="A503" s="1">
        <v>44657</v>
      </c>
      <c r="B503" s="2">
        <v>4481.1499999999996</v>
      </c>
      <c r="C503" s="3">
        <f t="shared" si="21"/>
        <v>-9.7168693868892441E-3</v>
      </c>
      <c r="D503" s="4">
        <f t="shared" si="22"/>
        <v>4449.7820000000002</v>
      </c>
      <c r="E503" s="2">
        <f t="shared" si="23"/>
        <v>46.498864459253205</v>
      </c>
    </row>
    <row r="504" spans="1:5" x14ac:dyDescent="0.25">
      <c r="A504" s="1">
        <v>44658</v>
      </c>
      <c r="B504" s="2">
        <v>4500.21</v>
      </c>
      <c r="C504" s="3">
        <f t="shared" si="21"/>
        <v>4.253372460194459E-3</v>
      </c>
      <c r="D504" s="4">
        <f t="shared" si="22"/>
        <v>4443.2149999999992</v>
      </c>
      <c r="E504" s="2">
        <f t="shared" si="23"/>
        <v>39.50676530671678</v>
      </c>
    </row>
    <row r="505" spans="1:5" x14ac:dyDescent="0.25">
      <c r="A505" s="1">
        <v>44659</v>
      </c>
      <c r="B505" s="2">
        <v>4488.28</v>
      </c>
      <c r="C505" s="3">
        <f t="shared" si="21"/>
        <v>-2.6509873983659189E-3</v>
      </c>
      <c r="D505" s="4">
        <f t="shared" si="22"/>
        <v>4434.4660000000003</v>
      </c>
      <c r="E505" s="2">
        <f t="shared" si="23"/>
        <v>39.823396188672845</v>
      </c>
    </row>
    <row r="506" spans="1:5" x14ac:dyDescent="0.25">
      <c r="A506" s="1">
        <v>44662</v>
      </c>
      <c r="B506" s="2">
        <v>4412.53</v>
      </c>
      <c r="C506" s="3">
        <f t="shared" si="21"/>
        <v>-1.687728929567674E-2</v>
      </c>
      <c r="D506" s="4">
        <f t="shared" si="22"/>
        <v>4411.6229999999996</v>
      </c>
      <c r="E506" s="2">
        <f t="shared" si="23"/>
        <v>57.258591853101002</v>
      </c>
    </row>
    <row r="507" spans="1:5" x14ac:dyDescent="0.25">
      <c r="A507" s="1">
        <v>44663</v>
      </c>
      <c r="B507" s="2">
        <v>4397.45</v>
      </c>
      <c r="C507" s="3">
        <f t="shared" si="21"/>
        <v>-3.4175405039738945E-3</v>
      </c>
      <c r="D507" s="4">
        <f t="shared" si="22"/>
        <v>4392.4070000000002</v>
      </c>
      <c r="E507" s="2">
        <f t="shared" si="23"/>
        <v>60.462851578469298</v>
      </c>
    </row>
    <row r="508" spans="1:5" x14ac:dyDescent="0.25">
      <c r="A508" s="1">
        <v>44664</v>
      </c>
      <c r="B508" s="2">
        <v>4446.59</v>
      </c>
      <c r="C508" s="3">
        <f t="shared" si="21"/>
        <v>1.1174658040455339E-2</v>
      </c>
      <c r="D508" s="4">
        <f t="shared" si="22"/>
        <v>4368.674</v>
      </c>
      <c r="E508" s="2">
        <f t="shared" si="23"/>
        <v>88.147011883557397</v>
      </c>
    </row>
    <row r="509" spans="1:5" x14ac:dyDescent="0.25">
      <c r="A509" s="1">
        <v>44665</v>
      </c>
      <c r="B509" s="2">
        <v>4392.59</v>
      </c>
      <c r="C509" s="3">
        <f t="shared" si="21"/>
        <v>-1.2144137417661623E-2</v>
      </c>
      <c r="D509" s="4">
        <f t="shared" si="22"/>
        <v>4347.3249999999989</v>
      </c>
      <c r="E509" s="2">
        <f t="shared" si="23"/>
        <v>103.16606159488694</v>
      </c>
    </row>
    <row r="510" spans="1:5" x14ac:dyDescent="0.25">
      <c r="A510" s="1">
        <v>44669</v>
      </c>
      <c r="B510" s="2">
        <v>4391.6899999999996</v>
      </c>
      <c r="C510" s="3">
        <f t="shared" si="21"/>
        <v>-2.0489050878878877E-4</v>
      </c>
      <c r="D510" s="4">
        <f t="shared" si="22"/>
        <v>4331.4159999999993</v>
      </c>
      <c r="E510" s="2">
        <f t="shared" si="23"/>
        <v>98.806320769473047</v>
      </c>
    </row>
    <row r="511" spans="1:5" x14ac:dyDescent="0.25">
      <c r="A511" s="1">
        <v>44670</v>
      </c>
      <c r="B511" s="2">
        <v>4462.21</v>
      </c>
      <c r="C511" s="3">
        <f t="shared" si="21"/>
        <v>1.605759969396757E-2</v>
      </c>
      <c r="D511" s="4">
        <f t="shared" si="22"/>
        <v>4305.3500000000004</v>
      </c>
      <c r="E511" s="2">
        <f t="shared" si="23"/>
        <v>112.6432122233736</v>
      </c>
    </row>
    <row r="512" spans="1:5" x14ac:dyDescent="0.25">
      <c r="A512" s="1">
        <v>44671</v>
      </c>
      <c r="B512" s="2">
        <v>4459.45</v>
      </c>
      <c r="C512" s="3">
        <f t="shared" si="21"/>
        <v>-6.1852759058856894E-4</v>
      </c>
      <c r="D512" s="4">
        <f t="shared" si="22"/>
        <v>4281.7189999999991</v>
      </c>
      <c r="E512" s="2">
        <f t="shared" si="23"/>
        <v>116.76347729063221</v>
      </c>
    </row>
    <row r="513" spans="1:5" x14ac:dyDescent="0.25">
      <c r="A513" s="1">
        <v>44672</v>
      </c>
      <c r="B513" s="2">
        <v>4393.66</v>
      </c>
      <c r="C513" s="3">
        <f t="shared" si="21"/>
        <v>-1.4752940385025051E-2</v>
      </c>
      <c r="D513" s="4">
        <f t="shared" si="22"/>
        <v>4253.0459999999994</v>
      </c>
      <c r="E513" s="2">
        <f t="shared" si="23"/>
        <v>103.3563791161435</v>
      </c>
    </row>
    <row r="514" spans="1:5" x14ac:dyDescent="0.25">
      <c r="A514" s="1">
        <v>44673</v>
      </c>
      <c r="B514" s="2">
        <v>4271.78</v>
      </c>
      <c r="C514" s="3">
        <f t="shared" si="21"/>
        <v>-2.7739970776072823E-2</v>
      </c>
      <c r="D514" s="4">
        <f t="shared" si="22"/>
        <v>4237.1179999999995</v>
      </c>
      <c r="E514" s="2">
        <f t="shared" si="23"/>
        <v>79.941515722432939</v>
      </c>
    </row>
    <row r="515" spans="1:5" x14ac:dyDescent="0.25">
      <c r="A515" s="1">
        <v>44676</v>
      </c>
      <c r="B515" s="2">
        <v>4296.12</v>
      </c>
      <c r="C515" s="3">
        <f t="shared" ref="C515:C578" si="24">(B515-B514)/B514</f>
        <v>5.6978589721381123E-3</v>
      </c>
      <c r="D515" s="4">
        <f t="shared" ref="D515:D578" si="25">AVERAGE(B514:B523)</f>
        <v>4212.4390000000003</v>
      </c>
      <c r="E515" s="2">
        <f t="shared" ref="E515:E578" si="26">_xlfn.STDEV.P(B514:B523)</f>
        <v>64.385738086939682</v>
      </c>
    </row>
    <row r="516" spans="1:5" x14ac:dyDescent="0.25">
      <c r="A516" s="1">
        <v>44677</v>
      </c>
      <c r="B516" s="2">
        <v>4175.2</v>
      </c>
      <c r="C516" s="3">
        <f t="shared" si="24"/>
        <v>-2.8146327383778869E-2</v>
      </c>
      <c r="D516" s="4">
        <f t="shared" si="25"/>
        <v>4197.5949999999993</v>
      </c>
      <c r="E516" s="2">
        <f t="shared" si="26"/>
        <v>66.082574745540867</v>
      </c>
    </row>
    <row r="517" spans="1:5" x14ac:dyDescent="0.25">
      <c r="A517" s="1">
        <v>44678</v>
      </c>
      <c r="B517" s="2">
        <v>4183.96</v>
      </c>
      <c r="C517" s="3">
        <f t="shared" si="24"/>
        <v>2.0981030848822137E-3</v>
      </c>
      <c r="D517" s="4">
        <f t="shared" si="25"/>
        <v>4167.107</v>
      </c>
      <c r="E517" s="2">
        <f t="shared" si="26"/>
        <v>82.00554603805773</v>
      </c>
    </row>
    <row r="518" spans="1:5" x14ac:dyDescent="0.25">
      <c r="A518" s="1">
        <v>44679</v>
      </c>
      <c r="B518" s="2">
        <v>4287.5</v>
      </c>
      <c r="C518" s="3">
        <f t="shared" si="24"/>
        <v>2.4746890505645359E-2</v>
      </c>
      <c r="D518" s="4">
        <f t="shared" si="25"/>
        <v>4149.692</v>
      </c>
      <c r="E518" s="2">
        <f t="shared" si="26"/>
        <v>95.773537138397472</v>
      </c>
    </row>
    <row r="519" spans="1:5" x14ac:dyDescent="0.25">
      <c r="A519" s="1">
        <v>44680</v>
      </c>
      <c r="B519" s="2">
        <v>4131.93</v>
      </c>
      <c r="C519" s="3">
        <f t="shared" si="24"/>
        <v>-3.6284548104956203E-2</v>
      </c>
      <c r="D519" s="4">
        <f t="shared" si="25"/>
        <v>4124.8140000000003</v>
      </c>
      <c r="E519" s="2">
        <f t="shared" si="26"/>
        <v>114.1830362356861</v>
      </c>
    </row>
    <row r="520" spans="1:5" x14ac:dyDescent="0.25">
      <c r="A520" s="1">
        <v>44683</v>
      </c>
      <c r="B520" s="2">
        <v>4155.38</v>
      </c>
      <c r="C520" s="3">
        <f t="shared" si="24"/>
        <v>5.6753139574000086E-3</v>
      </c>
      <c r="D520" s="4">
        <f t="shared" si="25"/>
        <v>4089.0720000000001</v>
      </c>
      <c r="E520" s="2">
        <f t="shared" si="26"/>
        <v>113.60341023050324</v>
      </c>
    </row>
    <row r="521" spans="1:5" x14ac:dyDescent="0.25">
      <c r="A521" s="1">
        <v>44684</v>
      </c>
      <c r="B521" s="2">
        <v>4175.4799999999996</v>
      </c>
      <c r="C521" s="3">
        <f t="shared" si="24"/>
        <v>4.8371027439125793E-3</v>
      </c>
      <c r="D521" s="4">
        <f t="shared" si="25"/>
        <v>4078.268</v>
      </c>
      <c r="E521" s="2">
        <f t="shared" si="26"/>
        <v>114.14988784926599</v>
      </c>
    </row>
    <row r="522" spans="1:5" x14ac:dyDescent="0.25">
      <c r="A522" s="1">
        <v>44685</v>
      </c>
      <c r="B522" s="2">
        <v>4300.17</v>
      </c>
      <c r="C522" s="3">
        <f t="shared" si="24"/>
        <v>2.9862434977535643E-2</v>
      </c>
      <c r="D522" s="4">
        <f t="shared" si="25"/>
        <v>4063.5309999999999</v>
      </c>
      <c r="E522" s="2">
        <f t="shared" si="26"/>
        <v>112.74755132152538</v>
      </c>
    </row>
    <row r="523" spans="1:5" x14ac:dyDescent="0.25">
      <c r="A523" s="1">
        <v>44686</v>
      </c>
      <c r="B523" s="2">
        <v>4146.87</v>
      </c>
      <c r="C523" s="3">
        <f t="shared" si="24"/>
        <v>-3.5649753381843084E-2</v>
      </c>
      <c r="D523" s="4">
        <f t="shared" si="25"/>
        <v>4054.8679999999999</v>
      </c>
      <c r="E523" s="2">
        <f t="shared" si="26"/>
        <v>106.99443946299269</v>
      </c>
    </row>
    <row r="524" spans="1:5" x14ac:dyDescent="0.25">
      <c r="A524" s="1">
        <v>44687</v>
      </c>
      <c r="B524" s="2">
        <v>4123.34</v>
      </c>
      <c r="C524" s="3">
        <f t="shared" si="24"/>
        <v>-5.6741590645474167E-3</v>
      </c>
      <c r="D524" s="4">
        <f t="shared" si="25"/>
        <v>4017.2190000000001</v>
      </c>
      <c r="E524" s="2">
        <f t="shared" si="26"/>
        <v>75.72374059038556</v>
      </c>
    </row>
    <row r="525" spans="1:5" x14ac:dyDescent="0.25">
      <c r="A525" s="1">
        <v>44690</v>
      </c>
      <c r="B525" s="2">
        <v>3991.24</v>
      </c>
      <c r="C525" s="3">
        <f t="shared" si="24"/>
        <v>-3.2037134944001795E-2</v>
      </c>
      <c r="D525" s="4">
        <f t="shared" si="25"/>
        <v>3992.6109999999999</v>
      </c>
      <c r="E525" s="2">
        <f t="shared" si="26"/>
        <v>69.304864540665591</v>
      </c>
    </row>
    <row r="526" spans="1:5" x14ac:dyDescent="0.25">
      <c r="A526" s="1">
        <v>44691</v>
      </c>
      <c r="B526" s="2">
        <v>4001.05</v>
      </c>
      <c r="C526" s="3">
        <f t="shared" si="24"/>
        <v>2.4578827632516214E-3</v>
      </c>
      <c r="D526" s="4">
        <f t="shared" si="25"/>
        <v>3970.4129999999996</v>
      </c>
      <c r="E526" s="2">
        <f t="shared" si="26"/>
        <v>58.601027303281981</v>
      </c>
    </row>
    <row r="527" spans="1:5" x14ac:dyDescent="0.25">
      <c r="A527" s="1">
        <v>44692</v>
      </c>
      <c r="B527" s="2">
        <v>3935.18</v>
      </c>
      <c r="C527" s="3">
        <f t="shared" si="24"/>
        <v>-1.6463178415665972E-2</v>
      </c>
      <c r="D527" s="4">
        <f t="shared" si="25"/>
        <v>3968.6639999999998</v>
      </c>
      <c r="E527" s="2">
        <f t="shared" si="26"/>
        <v>58.213044620600293</v>
      </c>
    </row>
    <row r="528" spans="1:5" x14ac:dyDescent="0.25">
      <c r="A528" s="1">
        <v>44693</v>
      </c>
      <c r="B528" s="2">
        <v>3930.08</v>
      </c>
      <c r="C528" s="3">
        <f t="shared" si="24"/>
        <v>-1.2960017076728153E-3</v>
      </c>
      <c r="D528" s="4">
        <f t="shared" si="25"/>
        <v>3962.7069999999999</v>
      </c>
      <c r="E528" s="2">
        <f t="shared" si="26"/>
        <v>57.639260933846124</v>
      </c>
    </row>
    <row r="529" spans="1:5" x14ac:dyDescent="0.25">
      <c r="A529" s="1">
        <v>44694</v>
      </c>
      <c r="B529" s="2">
        <v>4023.89</v>
      </c>
      <c r="C529" s="3">
        <f t="shared" si="24"/>
        <v>2.386974310955501E-2</v>
      </c>
      <c r="D529" s="4">
        <f t="shared" si="25"/>
        <v>3967.0620000000004</v>
      </c>
      <c r="E529" s="2">
        <f t="shared" si="26"/>
        <v>57.036991996422806</v>
      </c>
    </row>
    <row r="530" spans="1:5" x14ac:dyDescent="0.25">
      <c r="A530" s="1">
        <v>44697</v>
      </c>
      <c r="B530" s="2">
        <v>4008.01</v>
      </c>
      <c r="C530" s="3">
        <f t="shared" si="24"/>
        <v>-3.9464299471406164E-3</v>
      </c>
      <c r="D530" s="4">
        <f t="shared" si="25"/>
        <v>3979.8380000000006</v>
      </c>
      <c r="E530" s="2">
        <f t="shared" si="26"/>
        <v>61.459661372318031</v>
      </c>
    </row>
    <row r="531" spans="1:5" x14ac:dyDescent="0.25">
      <c r="A531" s="1">
        <v>44698</v>
      </c>
      <c r="B531" s="2">
        <v>4088.85</v>
      </c>
      <c r="C531" s="3">
        <f t="shared" si="24"/>
        <v>2.0169610355263507E-2</v>
      </c>
      <c r="D531" s="4">
        <f t="shared" si="25"/>
        <v>3993.2730000000001</v>
      </c>
      <c r="E531" s="2">
        <f t="shared" si="26"/>
        <v>81.15084867701627</v>
      </c>
    </row>
    <row r="532" spans="1:5" x14ac:dyDescent="0.25">
      <c r="A532" s="1">
        <v>44699</v>
      </c>
      <c r="B532" s="2">
        <v>3923.68</v>
      </c>
      <c r="C532" s="3">
        <f t="shared" si="24"/>
        <v>-4.0395221150201173E-2</v>
      </c>
      <c r="D532" s="4">
        <f t="shared" si="25"/>
        <v>4005.6870000000004</v>
      </c>
      <c r="E532" s="2">
        <f t="shared" si="26"/>
        <v>91.314385728646201</v>
      </c>
    </row>
    <row r="533" spans="1:5" x14ac:dyDescent="0.25">
      <c r="A533" s="1">
        <v>44700</v>
      </c>
      <c r="B533" s="2">
        <v>3900.79</v>
      </c>
      <c r="C533" s="3">
        <f t="shared" si="24"/>
        <v>-5.8338090771928074E-3</v>
      </c>
      <c r="D533" s="4">
        <f t="shared" si="25"/>
        <v>4006.9250000000002</v>
      </c>
      <c r="E533" s="2">
        <f t="shared" si="26"/>
        <v>92.509580179568303</v>
      </c>
    </row>
    <row r="534" spans="1:5" x14ac:dyDescent="0.25">
      <c r="A534" s="1">
        <v>44701</v>
      </c>
      <c r="B534" s="2">
        <v>3901.36</v>
      </c>
      <c r="C534" s="3">
        <f t="shared" si="24"/>
        <v>1.4612424662700728E-4</v>
      </c>
      <c r="D534" s="4">
        <f t="shared" si="25"/>
        <v>4032.2390000000005</v>
      </c>
      <c r="E534" s="2">
        <f t="shared" si="26"/>
        <v>100.55188675007533</v>
      </c>
    </row>
    <row r="535" spans="1:5" x14ac:dyDescent="0.25">
      <c r="A535" s="1">
        <v>44704</v>
      </c>
      <c r="B535" s="2">
        <v>3973.75</v>
      </c>
      <c r="C535" s="3">
        <f t="shared" si="24"/>
        <v>1.8555067976295414E-2</v>
      </c>
      <c r="D535" s="4">
        <f t="shared" si="25"/>
        <v>4053.0140000000006</v>
      </c>
      <c r="E535" s="2">
        <f t="shared" si="26"/>
        <v>92.376304342617928</v>
      </c>
    </row>
    <row r="536" spans="1:5" x14ac:dyDescent="0.25">
      <c r="A536" s="1">
        <v>44705</v>
      </c>
      <c r="B536" s="2">
        <v>3941.48</v>
      </c>
      <c r="C536" s="3">
        <f t="shared" si="24"/>
        <v>-8.1207927021075769E-3</v>
      </c>
      <c r="D536" s="4">
        <f t="shared" si="25"/>
        <v>4075.0209999999997</v>
      </c>
      <c r="E536" s="2">
        <f t="shared" si="26"/>
        <v>78.849571267065144</v>
      </c>
    </row>
    <row r="537" spans="1:5" x14ac:dyDescent="0.25">
      <c r="A537" s="1">
        <v>44706</v>
      </c>
      <c r="B537" s="2">
        <v>3978.73</v>
      </c>
      <c r="C537" s="3">
        <f t="shared" si="24"/>
        <v>9.450764687376316E-3</v>
      </c>
      <c r="D537" s="4">
        <f t="shared" si="25"/>
        <v>4093.7139999999999</v>
      </c>
      <c r="E537" s="2">
        <f t="shared" si="26"/>
        <v>74.672562055951929</v>
      </c>
    </row>
    <row r="538" spans="1:5" x14ac:dyDescent="0.25">
      <c r="A538" s="1">
        <v>44707</v>
      </c>
      <c r="B538" s="2">
        <v>4057.84</v>
      </c>
      <c r="C538" s="3">
        <f t="shared" si="24"/>
        <v>1.9883229070582858E-2</v>
      </c>
      <c r="D538" s="4">
        <f t="shared" si="25"/>
        <v>4111.1429999999991</v>
      </c>
      <c r="E538" s="2">
        <f t="shared" si="26"/>
        <v>54.802820374502581</v>
      </c>
    </row>
    <row r="539" spans="1:5" x14ac:dyDescent="0.25">
      <c r="A539" s="1">
        <v>44708</v>
      </c>
      <c r="B539" s="2">
        <v>4158.24</v>
      </c>
      <c r="C539" s="3">
        <f t="shared" si="24"/>
        <v>2.4742227391912848E-2</v>
      </c>
      <c r="D539" s="4">
        <f t="shared" si="25"/>
        <v>4115.0519999999997</v>
      </c>
      <c r="E539" s="2">
        <f t="shared" si="26"/>
        <v>45.887545325501918</v>
      </c>
    </row>
    <row r="540" spans="1:5" x14ac:dyDescent="0.25">
      <c r="A540" s="1">
        <v>44712</v>
      </c>
      <c r="B540" s="2">
        <v>4132.1499999999996</v>
      </c>
      <c r="C540" s="3">
        <f t="shared" si="24"/>
        <v>-6.2742891223210176E-3</v>
      </c>
      <c r="D540" s="4">
        <f t="shared" si="25"/>
        <v>4099.3540000000003</v>
      </c>
      <c r="E540" s="2">
        <f t="shared" si="26"/>
        <v>78.228764556267848</v>
      </c>
    </row>
    <row r="541" spans="1:5" x14ac:dyDescent="0.25">
      <c r="A541" s="1">
        <v>44713</v>
      </c>
      <c r="B541" s="2">
        <v>4101.2299999999996</v>
      </c>
      <c r="C541" s="3">
        <f t="shared" si="24"/>
        <v>-7.482787410912013E-3</v>
      </c>
      <c r="D541" s="4">
        <f t="shared" si="25"/>
        <v>4058.4929999999999</v>
      </c>
      <c r="E541" s="2">
        <f t="shared" si="26"/>
        <v>127.8047330931057</v>
      </c>
    </row>
    <row r="542" spans="1:5" x14ac:dyDescent="0.25">
      <c r="A542" s="1">
        <v>44714</v>
      </c>
      <c r="B542" s="2">
        <v>4176.82</v>
      </c>
      <c r="C542" s="3">
        <f t="shared" si="24"/>
        <v>1.8431056049038986E-2</v>
      </c>
      <c r="D542" s="4">
        <f t="shared" si="25"/>
        <v>4018.826</v>
      </c>
      <c r="E542" s="2">
        <f t="shared" si="26"/>
        <v>157.00886396633788</v>
      </c>
    </row>
    <row r="543" spans="1:5" x14ac:dyDescent="0.25">
      <c r="A543" s="1">
        <v>44715</v>
      </c>
      <c r="B543" s="2">
        <v>4108.54</v>
      </c>
      <c r="C543" s="3">
        <f t="shared" si="24"/>
        <v>-1.6347364741597616E-2</v>
      </c>
      <c r="D543" s="4">
        <f t="shared" si="25"/>
        <v>3987.7020000000002</v>
      </c>
      <c r="E543" s="2">
        <f t="shared" si="26"/>
        <v>168.04948543806975</v>
      </c>
    </row>
    <row r="544" spans="1:5" x14ac:dyDescent="0.25">
      <c r="A544" s="1">
        <v>44718</v>
      </c>
      <c r="B544" s="2">
        <v>4121.43</v>
      </c>
      <c r="C544" s="3">
        <f t="shared" si="24"/>
        <v>3.1373675320187531E-3</v>
      </c>
      <c r="D544" s="4">
        <f t="shared" si="25"/>
        <v>3936.6970000000001</v>
      </c>
      <c r="E544" s="2">
        <f t="shared" si="26"/>
        <v>179.89522673211772</v>
      </c>
    </row>
    <row r="545" spans="1:5" x14ac:dyDescent="0.25">
      <c r="A545" s="1">
        <v>44719</v>
      </c>
      <c r="B545" s="2">
        <v>4160.68</v>
      </c>
      <c r="C545" s="3">
        <f t="shared" si="24"/>
        <v>9.5233935794129705E-3</v>
      </c>
      <c r="D545" s="4">
        <f t="shared" si="25"/>
        <v>3893.3270000000002</v>
      </c>
      <c r="E545" s="2">
        <f t="shared" si="26"/>
        <v>185.4325831158053</v>
      </c>
    </row>
    <row r="546" spans="1:5" x14ac:dyDescent="0.25">
      <c r="A546" s="1">
        <v>44720</v>
      </c>
      <c r="B546" s="2">
        <v>4115.7700000000004</v>
      </c>
      <c r="C546" s="3">
        <f t="shared" si="24"/>
        <v>-1.0793908688002887E-2</v>
      </c>
      <c r="D546" s="4">
        <f t="shared" si="25"/>
        <v>3857.6630000000005</v>
      </c>
      <c r="E546" s="2">
        <f t="shared" si="26"/>
        <v>171.93719830507894</v>
      </c>
    </row>
    <row r="547" spans="1:5" x14ac:dyDescent="0.25">
      <c r="A547" s="1">
        <v>44721</v>
      </c>
      <c r="B547" s="2">
        <v>4017.82</v>
      </c>
      <c r="C547" s="3">
        <f t="shared" si="24"/>
        <v>-2.379870595295662E-2</v>
      </c>
      <c r="D547" s="4">
        <f t="shared" si="25"/>
        <v>3817.5840000000003</v>
      </c>
      <c r="E547" s="2">
        <f t="shared" si="26"/>
        <v>140.46387309198059</v>
      </c>
    </row>
    <row r="548" spans="1:5" x14ac:dyDescent="0.25">
      <c r="A548" s="1">
        <v>44722</v>
      </c>
      <c r="B548" s="2">
        <v>3900.86</v>
      </c>
      <c r="C548" s="3">
        <f t="shared" si="24"/>
        <v>-2.9110313553120853E-2</v>
      </c>
      <c r="D548" s="4">
        <f t="shared" si="25"/>
        <v>3785.5800000000004</v>
      </c>
      <c r="E548" s="2">
        <f t="shared" si="26"/>
        <v>99.308178414469012</v>
      </c>
    </row>
    <row r="549" spans="1:5" x14ac:dyDescent="0.25">
      <c r="A549" s="1">
        <v>44725</v>
      </c>
      <c r="B549" s="2">
        <v>3749.63</v>
      </c>
      <c r="C549" s="3">
        <f t="shared" si="24"/>
        <v>-3.8768374153391821E-2</v>
      </c>
      <c r="D549" s="4">
        <f t="shared" si="25"/>
        <v>3774.9720000000002</v>
      </c>
      <c r="E549" s="2">
        <f t="shared" si="26"/>
        <v>77.12118668692797</v>
      </c>
    </row>
    <row r="550" spans="1:5" x14ac:dyDescent="0.25">
      <c r="A550" s="1">
        <v>44726</v>
      </c>
      <c r="B550" s="2">
        <v>3735.48</v>
      </c>
      <c r="C550" s="3">
        <f t="shared" si="24"/>
        <v>-3.7737056722930238E-3</v>
      </c>
      <c r="D550" s="4">
        <f t="shared" si="25"/>
        <v>3774.8969999999999</v>
      </c>
      <c r="E550" s="2">
        <f t="shared" si="26"/>
        <v>76.998992597306071</v>
      </c>
    </row>
    <row r="551" spans="1:5" x14ac:dyDescent="0.25">
      <c r="A551" s="1">
        <v>44727</v>
      </c>
      <c r="B551" s="2">
        <v>3789.99</v>
      </c>
      <c r="C551" s="3">
        <f t="shared" si="24"/>
        <v>1.4592502168395966E-2</v>
      </c>
      <c r="D551" s="4">
        <f t="shared" si="25"/>
        <v>3782.0889999999999</v>
      </c>
      <c r="E551" s="2">
        <f t="shared" si="26"/>
        <v>77.659050399808507</v>
      </c>
    </row>
    <row r="552" spans="1:5" x14ac:dyDescent="0.25">
      <c r="A552" s="1">
        <v>44728</v>
      </c>
      <c r="B552" s="2">
        <v>3666.77</v>
      </c>
      <c r="C552" s="3">
        <f t="shared" si="24"/>
        <v>-3.2511959134456765E-2</v>
      </c>
      <c r="D552" s="4">
        <f t="shared" si="25"/>
        <v>3790.4240000000004</v>
      </c>
      <c r="E552" s="2">
        <f t="shared" si="26"/>
        <v>76.675981271842844</v>
      </c>
    </row>
    <row r="553" spans="1:5" x14ac:dyDescent="0.25">
      <c r="A553" s="1">
        <v>44729</v>
      </c>
      <c r="B553" s="2">
        <v>3674.84</v>
      </c>
      <c r="C553" s="3">
        <f t="shared" si="24"/>
        <v>2.2008470670372465E-3</v>
      </c>
      <c r="D553" s="4">
        <f t="shared" si="25"/>
        <v>3789.9629999999997</v>
      </c>
      <c r="E553" s="2">
        <f t="shared" si="26"/>
        <v>76.691061676051902</v>
      </c>
    </row>
    <row r="554" spans="1:5" x14ac:dyDescent="0.25">
      <c r="A554" s="1">
        <v>44733</v>
      </c>
      <c r="B554" s="2">
        <v>3764.79</v>
      </c>
      <c r="C554" s="3">
        <f t="shared" si="24"/>
        <v>2.4477256152648771E-2</v>
      </c>
      <c r="D554" s="4">
        <f t="shared" si="25"/>
        <v>3805.8189999999995</v>
      </c>
      <c r="E554" s="2">
        <f t="shared" si="26"/>
        <v>65.096368170582252</v>
      </c>
    </row>
    <row r="555" spans="1:5" x14ac:dyDescent="0.25">
      <c r="A555" s="1">
        <v>44734</v>
      </c>
      <c r="B555" s="2">
        <v>3759.89</v>
      </c>
      <c r="C555" s="3">
        <f t="shared" si="24"/>
        <v>-1.3015334188626964E-3</v>
      </c>
      <c r="D555" s="4">
        <f t="shared" si="25"/>
        <v>3821.4739999999997</v>
      </c>
      <c r="E555" s="2">
        <f t="shared" si="26"/>
        <v>48.397271452014721</v>
      </c>
    </row>
    <row r="556" spans="1:5" x14ac:dyDescent="0.25">
      <c r="A556" s="1">
        <v>44735</v>
      </c>
      <c r="B556" s="2">
        <v>3795.73</v>
      </c>
      <c r="C556" s="3">
        <f t="shared" si="24"/>
        <v>9.5321937609877273E-3</v>
      </c>
      <c r="D556" s="4">
        <f t="shared" si="25"/>
        <v>3829.5029999999997</v>
      </c>
      <c r="E556" s="2">
        <f t="shared" si="26"/>
        <v>44.858084901163565</v>
      </c>
    </row>
    <row r="557" spans="1:5" x14ac:dyDescent="0.25">
      <c r="A557" s="1">
        <v>44736</v>
      </c>
      <c r="B557" s="2">
        <v>3911.74</v>
      </c>
      <c r="C557" s="3">
        <f t="shared" si="24"/>
        <v>3.0563290855777352E-2</v>
      </c>
      <c r="D557" s="4">
        <f t="shared" si="25"/>
        <v>3843.7760000000003</v>
      </c>
      <c r="E557" s="2">
        <f t="shared" si="26"/>
        <v>43.110808899857076</v>
      </c>
    </row>
    <row r="558" spans="1:5" x14ac:dyDescent="0.25">
      <c r="A558" s="1">
        <v>44739</v>
      </c>
      <c r="B558" s="2">
        <v>3900.11</v>
      </c>
      <c r="C558" s="3">
        <f t="shared" si="24"/>
        <v>-2.9731014842498877E-3</v>
      </c>
      <c r="D558" s="4">
        <f t="shared" si="25"/>
        <v>3854.1410000000005</v>
      </c>
      <c r="E558" s="2">
        <f t="shared" si="26"/>
        <v>42.772038635070899</v>
      </c>
    </row>
    <row r="559" spans="1:5" x14ac:dyDescent="0.25">
      <c r="A559" s="1">
        <v>44740</v>
      </c>
      <c r="B559" s="2">
        <v>3821.55</v>
      </c>
      <c r="C559" s="3">
        <f t="shared" si="24"/>
        <v>-2.0143021607082864E-2</v>
      </c>
      <c r="D559" s="4">
        <f t="shared" si="25"/>
        <v>3848.41</v>
      </c>
      <c r="E559" s="2">
        <f t="shared" si="26"/>
        <v>38.273317075999564</v>
      </c>
    </row>
    <row r="560" spans="1:5" x14ac:dyDescent="0.25">
      <c r="A560" s="1">
        <v>44741</v>
      </c>
      <c r="B560" s="2">
        <v>3818.83</v>
      </c>
      <c r="C560" s="3">
        <f t="shared" si="24"/>
        <v>-7.1175308448149426E-4</v>
      </c>
      <c r="D560" s="4">
        <f t="shared" si="25"/>
        <v>3840.279</v>
      </c>
      <c r="E560" s="2">
        <f t="shared" si="26"/>
        <v>34.915896795012976</v>
      </c>
    </row>
    <row r="561" spans="1:5" x14ac:dyDescent="0.25">
      <c r="A561" s="1">
        <v>44742</v>
      </c>
      <c r="B561" s="2">
        <v>3785.38</v>
      </c>
      <c r="C561" s="3">
        <f t="shared" si="24"/>
        <v>-8.7592273026031054E-3</v>
      </c>
      <c r="D561" s="4">
        <f t="shared" si="25"/>
        <v>3838.3020000000006</v>
      </c>
      <c r="E561" s="2">
        <f t="shared" si="26"/>
        <v>36.446550947929168</v>
      </c>
    </row>
    <row r="562" spans="1:5" x14ac:dyDescent="0.25">
      <c r="A562" s="1">
        <v>44743</v>
      </c>
      <c r="B562" s="2">
        <v>3825.33</v>
      </c>
      <c r="C562" s="3">
        <f t="shared" si="24"/>
        <v>1.0553762105785897E-2</v>
      </c>
      <c r="D562" s="4">
        <f t="shared" si="25"/>
        <v>3835.4569999999999</v>
      </c>
      <c r="E562" s="2">
        <f t="shared" si="26"/>
        <v>38.884353935741238</v>
      </c>
    </row>
    <row r="563" spans="1:5" x14ac:dyDescent="0.25">
      <c r="A563" s="1">
        <v>44747</v>
      </c>
      <c r="B563" s="2">
        <v>3831.39</v>
      </c>
      <c r="C563" s="3">
        <f t="shared" si="24"/>
        <v>1.5841770513916305E-3</v>
      </c>
      <c r="D563" s="4">
        <f t="shared" si="25"/>
        <v>3843.2349999999992</v>
      </c>
      <c r="E563" s="2">
        <f t="shared" si="26"/>
        <v>35.74172246828622</v>
      </c>
    </row>
    <row r="564" spans="1:5" x14ac:dyDescent="0.25">
      <c r="A564" s="1">
        <v>44748</v>
      </c>
      <c r="B564" s="2">
        <v>3845.08</v>
      </c>
      <c r="C564" s="3">
        <f t="shared" si="24"/>
        <v>3.5731157621646595E-3</v>
      </c>
      <c r="D564" s="4">
        <f t="shared" si="25"/>
        <v>3843.7870000000003</v>
      </c>
      <c r="E564" s="2">
        <f t="shared" si="26"/>
        <v>35.502759625133308</v>
      </c>
    </row>
    <row r="565" spans="1:5" x14ac:dyDescent="0.25">
      <c r="A565" s="1">
        <v>44749</v>
      </c>
      <c r="B565" s="2">
        <v>3902.62</v>
      </c>
      <c r="C565" s="3">
        <f t="shared" si="24"/>
        <v>1.4964578110208361E-2</v>
      </c>
      <c r="D565" s="4">
        <f t="shared" si="25"/>
        <v>3854.3170000000005</v>
      </c>
      <c r="E565" s="2">
        <f t="shared" si="26"/>
        <v>44.691086594532429</v>
      </c>
    </row>
    <row r="566" spans="1:5" x14ac:dyDescent="0.25">
      <c r="A566" s="1">
        <v>44750</v>
      </c>
      <c r="B566" s="2">
        <v>3899.38</v>
      </c>
      <c r="C566" s="3">
        <f t="shared" si="24"/>
        <v>-8.3021149894168069E-4</v>
      </c>
      <c r="D566" s="4">
        <f t="shared" si="25"/>
        <v>3865.799</v>
      </c>
      <c r="E566" s="2">
        <f t="shared" si="26"/>
        <v>54.51331643736232</v>
      </c>
    </row>
    <row r="567" spans="1:5" x14ac:dyDescent="0.25">
      <c r="A567" s="1">
        <v>44753</v>
      </c>
      <c r="B567" s="2">
        <v>3854.43</v>
      </c>
      <c r="C567" s="3">
        <f t="shared" si="24"/>
        <v>-1.152747359836699E-2</v>
      </c>
      <c r="D567" s="4">
        <f t="shared" si="25"/>
        <v>3875.4319999999993</v>
      </c>
      <c r="E567" s="2">
        <f t="shared" si="26"/>
        <v>67.203030110256137</v>
      </c>
    </row>
    <row r="568" spans="1:5" x14ac:dyDescent="0.25">
      <c r="A568" s="1">
        <v>44754</v>
      </c>
      <c r="B568" s="2">
        <v>3818.8</v>
      </c>
      <c r="C568" s="3">
        <f t="shared" si="24"/>
        <v>-9.2439089567068686E-3</v>
      </c>
      <c r="D568" s="4">
        <f t="shared" si="25"/>
        <v>3881.6569999999992</v>
      </c>
      <c r="E568" s="2">
        <f t="shared" si="26"/>
        <v>71.855100591398482</v>
      </c>
    </row>
    <row r="569" spans="1:5" x14ac:dyDescent="0.25">
      <c r="A569" s="1">
        <v>44755</v>
      </c>
      <c r="B569" s="2">
        <v>3801.78</v>
      </c>
      <c r="C569" s="3">
        <f t="shared" si="24"/>
        <v>-4.4568974546978059E-3</v>
      </c>
      <c r="D569" s="4">
        <f t="shared" si="25"/>
        <v>3892.8979999999997</v>
      </c>
      <c r="E569" s="2">
        <f t="shared" si="26"/>
        <v>75.420678835449337</v>
      </c>
    </row>
    <row r="570" spans="1:5" x14ac:dyDescent="0.25">
      <c r="A570" s="1">
        <v>44756</v>
      </c>
      <c r="B570" s="2">
        <v>3790.38</v>
      </c>
      <c r="C570" s="3">
        <f t="shared" si="24"/>
        <v>-2.9985953947887808E-3</v>
      </c>
      <c r="D570" s="4">
        <f t="shared" si="25"/>
        <v>3903.123000000001</v>
      </c>
      <c r="E570" s="2">
        <f t="shared" si="26"/>
        <v>71.511749531108507</v>
      </c>
    </row>
    <row r="571" spans="1:5" x14ac:dyDescent="0.25">
      <c r="A571" s="1">
        <v>44757</v>
      </c>
      <c r="B571" s="2">
        <v>3863.16</v>
      </c>
      <c r="C571" s="3">
        <f t="shared" si="24"/>
        <v>1.9201241036518699E-2</v>
      </c>
      <c r="D571" s="4">
        <f t="shared" si="25"/>
        <v>3925.3060000000005</v>
      </c>
      <c r="E571" s="2">
        <f t="shared" si="26"/>
        <v>71.038835744964203</v>
      </c>
    </row>
    <row r="572" spans="1:5" x14ac:dyDescent="0.25">
      <c r="A572" s="1">
        <v>44760</v>
      </c>
      <c r="B572" s="2">
        <v>3830.85</v>
      </c>
      <c r="C572" s="3">
        <f t="shared" si="24"/>
        <v>-8.3636194203708745E-3</v>
      </c>
      <c r="D572" s="4">
        <f t="shared" si="25"/>
        <v>3953.511</v>
      </c>
      <c r="E572" s="2">
        <f t="shared" si="26"/>
        <v>67.786715136522147</v>
      </c>
    </row>
    <row r="573" spans="1:5" x14ac:dyDescent="0.25">
      <c r="A573" s="1">
        <v>44761</v>
      </c>
      <c r="B573" s="2">
        <v>3936.69</v>
      </c>
      <c r="C573" s="3">
        <f t="shared" si="24"/>
        <v>2.7628333137554369E-2</v>
      </c>
      <c r="D573" s="4">
        <f t="shared" si="25"/>
        <v>3980.2239999999997</v>
      </c>
      <c r="E573" s="2">
        <f t="shared" si="26"/>
        <v>78.677859299805533</v>
      </c>
    </row>
    <row r="574" spans="1:5" x14ac:dyDescent="0.25">
      <c r="A574" s="1">
        <v>44762</v>
      </c>
      <c r="B574" s="2">
        <v>3959.9</v>
      </c>
      <c r="C574" s="3">
        <f t="shared" si="24"/>
        <v>5.8958160281861252E-3</v>
      </c>
      <c r="D574" s="4">
        <f t="shared" si="25"/>
        <v>4009.0019999999995</v>
      </c>
      <c r="E574" s="2">
        <f t="shared" si="26"/>
        <v>71.037983895941139</v>
      </c>
    </row>
    <row r="575" spans="1:5" x14ac:dyDescent="0.25">
      <c r="A575" s="1">
        <v>44763</v>
      </c>
      <c r="B575" s="2">
        <v>3998.95</v>
      </c>
      <c r="C575" s="3">
        <f t="shared" si="24"/>
        <v>9.861360135356885E-3</v>
      </c>
      <c r="D575" s="4">
        <f t="shared" si="25"/>
        <v>4024.4520000000002</v>
      </c>
      <c r="E575" s="2">
        <f t="shared" si="26"/>
        <v>70.429232964728456</v>
      </c>
    </row>
    <row r="576" spans="1:5" x14ac:dyDescent="0.25">
      <c r="A576" s="1">
        <v>44764</v>
      </c>
      <c r="B576" s="2">
        <v>3961.63</v>
      </c>
      <c r="C576" s="3">
        <f t="shared" si="24"/>
        <v>-9.3324497680640443E-3</v>
      </c>
      <c r="D576" s="4">
        <f t="shared" si="25"/>
        <v>4043.9790000000003</v>
      </c>
      <c r="E576" s="2">
        <f t="shared" si="26"/>
        <v>76.622428889979687</v>
      </c>
    </row>
    <row r="577" spans="1:5" x14ac:dyDescent="0.25">
      <c r="A577" s="1">
        <v>44767</v>
      </c>
      <c r="B577" s="2">
        <v>3966.84</v>
      </c>
      <c r="C577" s="3">
        <f t="shared" si="24"/>
        <v>1.3151152429681813E-3</v>
      </c>
      <c r="D577" s="4">
        <f t="shared" si="25"/>
        <v>4059.2780000000007</v>
      </c>
      <c r="E577" s="2">
        <f t="shared" si="26"/>
        <v>81.238746149851323</v>
      </c>
    </row>
    <row r="578" spans="1:5" x14ac:dyDescent="0.25">
      <c r="A578" s="1">
        <v>44768</v>
      </c>
      <c r="B578" s="2">
        <v>3921.05</v>
      </c>
      <c r="C578" s="3">
        <f t="shared" si="24"/>
        <v>-1.154319307055489E-2</v>
      </c>
      <c r="D578" s="4">
        <f t="shared" si="25"/>
        <v>4077.6340000000005</v>
      </c>
      <c r="E578" s="2">
        <f t="shared" si="26"/>
        <v>77.764806461534903</v>
      </c>
    </row>
    <row r="579" spans="1:5" x14ac:dyDescent="0.25">
      <c r="A579" s="1">
        <v>44769</v>
      </c>
      <c r="B579" s="2">
        <v>4023.61</v>
      </c>
      <c r="C579" s="3">
        <f t="shared" ref="C579:C642" si="27">(B579-B578)/B578</f>
        <v>2.6156259165274594E-2</v>
      </c>
      <c r="D579" s="4">
        <f t="shared" ref="D579:D642" si="28">AVERAGE(B578:B587)</f>
        <v>4094.9559999999997</v>
      </c>
      <c r="E579" s="2">
        <f t="shared" ref="E579:E642" si="29">_xlfn.STDEV.P(B578:B587)</f>
        <v>70.06770257401044</v>
      </c>
    </row>
    <row r="580" spans="1:5" x14ac:dyDescent="0.25">
      <c r="A580" s="1">
        <v>44770</v>
      </c>
      <c r="B580" s="2">
        <v>4072.43</v>
      </c>
      <c r="C580" s="3">
        <f t="shared" si="27"/>
        <v>1.2133382708562635E-2</v>
      </c>
      <c r="D580" s="4">
        <f t="shared" si="28"/>
        <v>4115.098</v>
      </c>
      <c r="E580" s="2">
        <f t="shared" si="29"/>
        <v>39.435455062671672</v>
      </c>
    </row>
    <row r="581" spans="1:5" x14ac:dyDescent="0.25">
      <c r="A581" s="1">
        <v>44771</v>
      </c>
      <c r="B581" s="2">
        <v>4130.29</v>
      </c>
      <c r="C581" s="3">
        <f t="shared" si="27"/>
        <v>1.4207733466259734E-2</v>
      </c>
      <c r="D581" s="4">
        <f t="shared" si="28"/>
        <v>4133.7609999999995</v>
      </c>
      <c r="E581" s="2">
        <f t="shared" si="29"/>
        <v>35.707732341889141</v>
      </c>
    </row>
    <row r="582" spans="1:5" x14ac:dyDescent="0.25">
      <c r="A582" s="1">
        <v>44774</v>
      </c>
      <c r="B582" s="2">
        <v>4118.63</v>
      </c>
      <c r="C582" s="3">
        <f t="shared" si="27"/>
        <v>-2.8230463236237299E-3</v>
      </c>
      <c r="D582" s="4">
        <f t="shared" si="28"/>
        <v>4147.2449999999999</v>
      </c>
      <c r="E582" s="2">
        <f t="shared" si="29"/>
        <v>35.460288281400075</v>
      </c>
    </row>
    <row r="583" spans="1:5" x14ac:dyDescent="0.25">
      <c r="A583" s="1">
        <v>44775</v>
      </c>
      <c r="B583" s="2">
        <v>4091.19</v>
      </c>
      <c r="C583" s="3">
        <f t="shared" si="27"/>
        <v>-6.6624095876541599E-3</v>
      </c>
      <c r="D583" s="4">
        <f t="shared" si="28"/>
        <v>4162.2310000000007</v>
      </c>
      <c r="E583" s="2">
        <f t="shared" si="29"/>
        <v>52.635335555119141</v>
      </c>
    </row>
    <row r="584" spans="1:5" x14ac:dyDescent="0.25">
      <c r="A584" s="1">
        <v>44776</v>
      </c>
      <c r="B584" s="2">
        <v>4155.17</v>
      </c>
      <c r="C584" s="3">
        <f t="shared" si="27"/>
        <v>1.5638481713144591E-2</v>
      </c>
      <c r="D584" s="4">
        <f t="shared" si="28"/>
        <v>4180.0820000000003</v>
      </c>
      <c r="E584" s="2">
        <f t="shared" si="29"/>
        <v>63.8886488822545</v>
      </c>
    </row>
    <row r="585" spans="1:5" x14ac:dyDescent="0.25">
      <c r="A585" s="1">
        <v>44777</v>
      </c>
      <c r="B585" s="2">
        <v>4151.9399999999996</v>
      </c>
      <c r="C585" s="3">
        <f t="shared" si="27"/>
        <v>-7.7734484990998507E-4</v>
      </c>
      <c r="D585" s="4">
        <f t="shared" si="28"/>
        <v>4201.4829999999993</v>
      </c>
      <c r="E585" s="2">
        <f t="shared" si="29"/>
        <v>66.325178333721766</v>
      </c>
    </row>
    <row r="586" spans="1:5" x14ac:dyDescent="0.25">
      <c r="A586" s="1">
        <v>44778</v>
      </c>
      <c r="B586" s="2">
        <v>4145.1899999999996</v>
      </c>
      <c r="C586" s="3">
        <f t="shared" si="27"/>
        <v>-1.6257460367924393E-3</v>
      </c>
      <c r="D586" s="4">
        <f t="shared" si="28"/>
        <v>4213.37</v>
      </c>
      <c r="E586" s="2">
        <f t="shared" si="29"/>
        <v>67.59948919925354</v>
      </c>
    </row>
    <row r="587" spans="1:5" x14ac:dyDescent="0.25">
      <c r="A587" s="1">
        <v>44781</v>
      </c>
      <c r="B587" s="2">
        <v>4140.0600000000004</v>
      </c>
      <c r="C587" s="3">
        <f t="shared" si="27"/>
        <v>-1.2375789770792654E-3</v>
      </c>
      <c r="D587" s="4">
        <f t="shared" si="28"/>
        <v>4226.5499999999993</v>
      </c>
      <c r="E587" s="2">
        <f t="shared" si="29"/>
        <v>67.18487731625315</v>
      </c>
    </row>
    <row r="588" spans="1:5" x14ac:dyDescent="0.25">
      <c r="A588" s="1">
        <v>44782</v>
      </c>
      <c r="B588" s="2">
        <v>4122.47</v>
      </c>
      <c r="C588" s="3">
        <f t="shared" si="27"/>
        <v>-4.248730694724266E-3</v>
      </c>
      <c r="D588" s="4">
        <f t="shared" si="28"/>
        <v>4234.878999999999</v>
      </c>
      <c r="E588" s="2">
        <f t="shared" si="29"/>
        <v>61.504983773674653</v>
      </c>
    </row>
    <row r="589" spans="1:5" x14ac:dyDescent="0.25">
      <c r="A589" s="1">
        <v>44783</v>
      </c>
      <c r="B589" s="2">
        <v>4210.24</v>
      </c>
      <c r="C589" s="3">
        <f t="shared" si="27"/>
        <v>2.1290634013103677E-2</v>
      </c>
      <c r="D589" s="4">
        <f t="shared" si="28"/>
        <v>4234.6719999999996</v>
      </c>
      <c r="E589" s="2">
        <f t="shared" si="29"/>
        <v>61.826399992236276</v>
      </c>
    </row>
    <row r="590" spans="1:5" x14ac:dyDescent="0.25">
      <c r="A590" s="1">
        <v>44784</v>
      </c>
      <c r="B590" s="2">
        <v>4207.2700000000004</v>
      </c>
      <c r="C590" s="3">
        <f t="shared" si="27"/>
        <v>-7.0542296876172029E-4</v>
      </c>
      <c r="D590" s="4">
        <f t="shared" si="28"/>
        <v>4235.2979999999998</v>
      </c>
      <c r="E590" s="2">
        <f t="shared" si="29"/>
        <v>60.708761443468838</v>
      </c>
    </row>
    <row r="591" spans="1:5" x14ac:dyDescent="0.25">
      <c r="A591" s="1">
        <v>44785</v>
      </c>
      <c r="B591" s="2">
        <v>4280.1499999999996</v>
      </c>
      <c r="C591" s="3">
        <f t="shared" si="27"/>
        <v>1.7322396708554285E-2</v>
      </c>
      <c r="D591" s="4">
        <f t="shared" si="28"/>
        <v>4228.3510000000006</v>
      </c>
      <c r="E591" s="2">
        <f t="shared" si="29"/>
        <v>66.843525109018586</v>
      </c>
    </row>
    <row r="592" spans="1:5" x14ac:dyDescent="0.25">
      <c r="A592" s="1">
        <v>44788</v>
      </c>
      <c r="B592" s="2">
        <v>4297.1400000000003</v>
      </c>
      <c r="C592" s="3">
        <f t="shared" si="27"/>
        <v>3.969487050687638E-3</v>
      </c>
      <c r="D592" s="4">
        <f t="shared" si="28"/>
        <v>4227.536000000001</v>
      </c>
      <c r="E592" s="2">
        <f t="shared" si="29"/>
        <v>67.144596982929315</v>
      </c>
    </row>
    <row r="593" spans="1:5" x14ac:dyDescent="0.25">
      <c r="A593" s="1">
        <v>44789</v>
      </c>
      <c r="B593" s="2">
        <v>4305.2</v>
      </c>
      <c r="C593" s="3">
        <f t="shared" si="27"/>
        <v>1.8756661407353472E-3</v>
      </c>
      <c r="D593" s="4">
        <f t="shared" si="28"/>
        <v>4205.2870000000012</v>
      </c>
      <c r="E593" s="2">
        <f t="shared" si="29"/>
        <v>81.377768100384785</v>
      </c>
    </row>
    <row r="594" spans="1:5" x14ac:dyDescent="0.25">
      <c r="A594" s="1">
        <v>44790</v>
      </c>
      <c r="B594" s="2">
        <v>4274.04</v>
      </c>
      <c r="C594" s="3">
        <f t="shared" si="27"/>
        <v>-7.2377589891293916E-3</v>
      </c>
      <c r="D594" s="4">
        <f t="shared" si="28"/>
        <v>4178.634</v>
      </c>
      <c r="E594" s="2">
        <f t="shared" si="29"/>
        <v>90.108084010259518</v>
      </c>
    </row>
    <row r="595" spans="1:5" x14ac:dyDescent="0.25">
      <c r="A595" s="1">
        <v>44791</v>
      </c>
      <c r="B595" s="2">
        <v>4283.74</v>
      </c>
      <c r="C595" s="3">
        <f t="shared" si="27"/>
        <v>2.2695154935376874E-3</v>
      </c>
      <c r="D595" s="4">
        <f t="shared" si="28"/>
        <v>4146.7300000000005</v>
      </c>
      <c r="E595" s="2">
        <f t="shared" si="29"/>
        <v>95.939201685233911</v>
      </c>
    </row>
    <row r="596" spans="1:5" x14ac:dyDescent="0.25">
      <c r="A596" s="1">
        <v>44792</v>
      </c>
      <c r="B596" s="2">
        <v>4228.4799999999996</v>
      </c>
      <c r="C596" s="3">
        <f t="shared" si="27"/>
        <v>-1.2899942573545597E-2</v>
      </c>
      <c r="D596" s="4">
        <f t="shared" si="28"/>
        <v>4114.8259999999991</v>
      </c>
      <c r="E596" s="2">
        <f t="shared" si="29"/>
        <v>101.20138775728317</v>
      </c>
    </row>
    <row r="597" spans="1:5" x14ac:dyDescent="0.25">
      <c r="A597" s="1">
        <v>44795</v>
      </c>
      <c r="B597" s="2">
        <v>4137.99</v>
      </c>
      <c r="C597" s="3">
        <f t="shared" si="27"/>
        <v>-2.1400124867564655E-2</v>
      </c>
      <c r="D597" s="4">
        <f t="shared" si="28"/>
        <v>4083.1370000000002</v>
      </c>
      <c r="E597" s="2">
        <f t="shared" si="29"/>
        <v>92.596025190069511</v>
      </c>
    </row>
    <row r="598" spans="1:5" x14ac:dyDescent="0.25">
      <c r="A598" s="1">
        <v>44796</v>
      </c>
      <c r="B598" s="2">
        <v>4128.7299999999996</v>
      </c>
      <c r="C598" s="3">
        <f t="shared" si="27"/>
        <v>-2.2378014446627998E-3</v>
      </c>
      <c r="D598" s="4">
        <f t="shared" si="28"/>
        <v>4052.7150000000001</v>
      </c>
      <c r="E598" s="2">
        <f t="shared" si="29"/>
        <v>89.77893486224923</v>
      </c>
    </row>
    <row r="599" spans="1:5" x14ac:dyDescent="0.25">
      <c r="A599" s="1">
        <v>44797</v>
      </c>
      <c r="B599" s="2">
        <v>4140.7700000000004</v>
      </c>
      <c r="C599" s="3">
        <f t="shared" si="27"/>
        <v>2.9161509713642873E-3</v>
      </c>
      <c r="D599" s="4">
        <f t="shared" si="28"/>
        <v>4029.7349999999997</v>
      </c>
      <c r="E599" s="2">
        <f t="shared" si="29"/>
        <v>94.306636802507128</v>
      </c>
    </row>
    <row r="600" spans="1:5" x14ac:dyDescent="0.25">
      <c r="A600" s="1">
        <v>44798</v>
      </c>
      <c r="B600" s="2">
        <v>4199.12</v>
      </c>
      <c r="C600" s="3">
        <f t="shared" si="27"/>
        <v>1.4091582000449059E-2</v>
      </c>
      <c r="D600" s="4">
        <f t="shared" si="28"/>
        <v>4014.8490000000006</v>
      </c>
      <c r="E600" s="2">
        <f t="shared" si="29"/>
        <v>89.111164109779224</v>
      </c>
    </row>
    <row r="601" spans="1:5" x14ac:dyDescent="0.25">
      <c r="A601" s="1">
        <v>44799</v>
      </c>
      <c r="B601" s="2">
        <v>4057.66</v>
      </c>
      <c r="C601" s="3">
        <f t="shared" si="27"/>
        <v>-3.3688010821314951E-2</v>
      </c>
      <c r="D601" s="4">
        <f t="shared" si="28"/>
        <v>4001.3899999999994</v>
      </c>
      <c r="E601" s="2">
        <f t="shared" si="29"/>
        <v>78.622898827250012</v>
      </c>
    </row>
    <row r="602" spans="1:5" x14ac:dyDescent="0.25">
      <c r="A602" s="1">
        <v>44802</v>
      </c>
      <c r="B602" s="2">
        <v>4030.61</v>
      </c>
      <c r="C602" s="3">
        <f t="shared" si="27"/>
        <v>-6.6664037893760762E-3</v>
      </c>
      <c r="D602" s="4">
        <f t="shared" si="28"/>
        <v>3988.2139999999999</v>
      </c>
      <c r="E602" s="2">
        <f t="shared" si="29"/>
        <v>50.33330948785305</v>
      </c>
    </row>
    <row r="603" spans="1:5" x14ac:dyDescent="0.25">
      <c r="A603" s="1">
        <v>44803</v>
      </c>
      <c r="B603" s="2">
        <v>3986.16</v>
      </c>
      <c r="C603" s="3">
        <f t="shared" si="27"/>
        <v>-1.102810740805989E-2</v>
      </c>
      <c r="D603" s="4">
        <f t="shared" si="28"/>
        <v>3993.489</v>
      </c>
      <c r="E603" s="2">
        <f t="shared" si="29"/>
        <v>59.300320142474753</v>
      </c>
    </row>
    <row r="604" spans="1:5" x14ac:dyDescent="0.25">
      <c r="A604" s="1">
        <v>44804</v>
      </c>
      <c r="B604" s="2">
        <v>3955</v>
      </c>
      <c r="C604" s="3">
        <f t="shared" si="27"/>
        <v>-7.8170469825596198E-3</v>
      </c>
      <c r="D604" s="4">
        <f t="shared" si="28"/>
        <v>3983.6970000000001</v>
      </c>
      <c r="E604" s="2">
        <f t="shared" si="29"/>
        <v>60.435913834408055</v>
      </c>
    </row>
    <row r="605" spans="1:5" x14ac:dyDescent="0.25">
      <c r="A605" s="1">
        <v>44805</v>
      </c>
      <c r="B605" s="2">
        <v>3966.85</v>
      </c>
      <c r="C605" s="3">
        <f t="shared" si="27"/>
        <v>2.9962073324904955E-3</v>
      </c>
      <c r="D605" s="4">
        <f t="shared" si="28"/>
        <v>3979.6820000000007</v>
      </c>
      <c r="E605" s="2">
        <f t="shared" si="29"/>
        <v>61.463841533050889</v>
      </c>
    </row>
    <row r="606" spans="1:5" x14ac:dyDescent="0.25">
      <c r="A606" s="1">
        <v>44806</v>
      </c>
      <c r="B606" s="2">
        <v>3924.26</v>
      </c>
      <c r="C606" s="3">
        <f t="shared" si="27"/>
        <v>-1.0736478566116614E-2</v>
      </c>
      <c r="D606" s="4">
        <f t="shared" si="28"/>
        <v>3974.317</v>
      </c>
      <c r="E606" s="2">
        <f t="shared" si="29"/>
        <v>65.58727545034931</v>
      </c>
    </row>
    <row r="607" spans="1:5" x14ac:dyDescent="0.25">
      <c r="A607" s="1">
        <v>44810</v>
      </c>
      <c r="B607" s="2">
        <v>3908.19</v>
      </c>
      <c r="C607" s="3">
        <f t="shared" si="27"/>
        <v>-4.0950395743401717E-3</v>
      </c>
      <c r="D607" s="4">
        <f t="shared" si="28"/>
        <v>3964.9650000000001</v>
      </c>
      <c r="E607" s="2">
        <f t="shared" si="29"/>
        <v>72.308316292111201</v>
      </c>
    </row>
    <row r="608" spans="1:5" x14ac:dyDescent="0.25">
      <c r="A608" s="1">
        <v>44811</v>
      </c>
      <c r="B608" s="2">
        <v>3979.87</v>
      </c>
      <c r="C608" s="3">
        <f t="shared" si="27"/>
        <v>1.8340971140092942E-2</v>
      </c>
      <c r="D608" s="4">
        <f t="shared" si="28"/>
        <v>3962.5279999999998</v>
      </c>
      <c r="E608" s="2">
        <f t="shared" si="29"/>
        <v>74.029315112325591</v>
      </c>
    </row>
    <row r="609" spans="1:5" x14ac:dyDescent="0.25">
      <c r="A609" s="1">
        <v>44812</v>
      </c>
      <c r="B609" s="2">
        <v>4006.18</v>
      </c>
      <c r="C609" s="3">
        <f t="shared" si="27"/>
        <v>6.6107686934497728E-3</v>
      </c>
      <c r="D609" s="4">
        <f t="shared" si="28"/>
        <v>3957.3019999999997</v>
      </c>
      <c r="E609" s="2">
        <f t="shared" si="29"/>
        <v>79.335237795068096</v>
      </c>
    </row>
    <row r="610" spans="1:5" x14ac:dyDescent="0.25">
      <c r="A610" s="1">
        <v>44813</v>
      </c>
      <c r="B610" s="2">
        <v>4067.36</v>
      </c>
      <c r="C610" s="3">
        <f t="shared" si="27"/>
        <v>1.5271405678227212E-2</v>
      </c>
      <c r="D610" s="4">
        <f t="shared" si="28"/>
        <v>3938.308</v>
      </c>
      <c r="E610" s="2">
        <f t="shared" si="29"/>
        <v>93.186453393183754</v>
      </c>
    </row>
    <row r="611" spans="1:5" x14ac:dyDescent="0.25">
      <c r="A611" s="1">
        <v>44816</v>
      </c>
      <c r="B611" s="2">
        <v>4110.41</v>
      </c>
      <c r="C611" s="3">
        <f t="shared" si="27"/>
        <v>1.0584261044018658E-2</v>
      </c>
      <c r="D611" s="4">
        <f t="shared" si="28"/>
        <v>3913.489</v>
      </c>
      <c r="E611" s="2">
        <f t="shared" si="29"/>
        <v>104.20426866976234</v>
      </c>
    </row>
    <row r="612" spans="1:5" x14ac:dyDescent="0.25">
      <c r="A612" s="1">
        <v>44817</v>
      </c>
      <c r="B612" s="2">
        <v>3932.69</v>
      </c>
      <c r="C612" s="3">
        <f t="shared" si="27"/>
        <v>-4.3236562775976074E-2</v>
      </c>
      <c r="D612" s="4">
        <f t="shared" si="28"/>
        <v>3876.076</v>
      </c>
      <c r="E612" s="2">
        <f t="shared" si="29"/>
        <v>109.28207210700209</v>
      </c>
    </row>
    <row r="613" spans="1:5" x14ac:dyDescent="0.25">
      <c r="A613" s="1">
        <v>44818</v>
      </c>
      <c r="B613" s="2">
        <v>3946.01</v>
      </c>
      <c r="C613" s="3">
        <f t="shared" si="27"/>
        <v>3.386994652515241E-3</v>
      </c>
      <c r="D613" s="4">
        <f t="shared" si="28"/>
        <v>3830.5390000000007</v>
      </c>
      <c r="E613" s="2">
        <f t="shared" si="29"/>
        <v>96.246568193364737</v>
      </c>
    </row>
    <row r="614" spans="1:5" x14ac:dyDescent="0.25">
      <c r="A614" s="1">
        <v>44819</v>
      </c>
      <c r="B614" s="2">
        <v>3901.35</v>
      </c>
      <c r="C614" s="3">
        <f t="shared" si="27"/>
        <v>-1.1317761485652673E-2</v>
      </c>
      <c r="D614" s="4">
        <f t="shared" si="28"/>
        <v>3801.9989999999998</v>
      </c>
      <c r="E614" s="2">
        <f t="shared" si="29"/>
        <v>103.74684192301953</v>
      </c>
    </row>
    <row r="615" spans="1:5" x14ac:dyDescent="0.25">
      <c r="A615" s="1">
        <v>44820</v>
      </c>
      <c r="B615" s="2">
        <v>3873.33</v>
      </c>
      <c r="C615" s="3">
        <f t="shared" si="27"/>
        <v>-7.182129262947437E-3</v>
      </c>
      <c r="D615" s="4">
        <f t="shared" si="28"/>
        <v>3779.3019999999997</v>
      </c>
      <c r="E615" s="2">
        <f t="shared" si="29"/>
        <v>94.141150173555857</v>
      </c>
    </row>
    <row r="616" spans="1:5" x14ac:dyDescent="0.25">
      <c r="A616" s="1">
        <v>44823</v>
      </c>
      <c r="B616" s="2">
        <v>3899.89</v>
      </c>
      <c r="C616" s="3">
        <f t="shared" si="27"/>
        <v>6.8571487583035644E-3</v>
      </c>
      <c r="D616" s="4">
        <f t="shared" si="28"/>
        <v>3753.2139999999999</v>
      </c>
      <c r="E616" s="2">
        <f t="shared" si="29"/>
        <v>92.84305792034209</v>
      </c>
    </row>
    <row r="617" spans="1:5" x14ac:dyDescent="0.25">
      <c r="A617" s="1">
        <v>44824</v>
      </c>
      <c r="B617" s="2">
        <v>3855.93</v>
      </c>
      <c r="C617" s="3">
        <f t="shared" si="27"/>
        <v>-1.1272112803181638E-2</v>
      </c>
      <c r="D617" s="4">
        <f t="shared" si="28"/>
        <v>3724.4430000000007</v>
      </c>
      <c r="E617" s="2">
        <f t="shared" si="29"/>
        <v>95.697714189002411</v>
      </c>
    </row>
    <row r="618" spans="1:5" x14ac:dyDescent="0.25">
      <c r="A618" s="1">
        <v>44825</v>
      </c>
      <c r="B618" s="2">
        <v>3789.93</v>
      </c>
      <c r="C618" s="3">
        <f t="shared" si="27"/>
        <v>-1.7116493297336829E-2</v>
      </c>
      <c r="D618" s="4">
        <f t="shared" si="28"/>
        <v>3702.297</v>
      </c>
      <c r="E618" s="2">
        <f t="shared" si="29"/>
        <v>76.165358405248753</v>
      </c>
    </row>
    <row r="619" spans="1:5" x14ac:dyDescent="0.25">
      <c r="A619" s="1">
        <v>44826</v>
      </c>
      <c r="B619" s="2">
        <v>3757.99</v>
      </c>
      <c r="C619" s="3">
        <f t="shared" si="27"/>
        <v>-8.4275962880581059E-3</v>
      </c>
      <c r="D619" s="4">
        <f t="shared" si="28"/>
        <v>3695.797</v>
      </c>
      <c r="E619" s="2">
        <f t="shared" si="29"/>
        <v>64.68525968874205</v>
      </c>
    </row>
    <row r="620" spans="1:5" x14ac:dyDescent="0.25">
      <c r="A620" s="1">
        <v>44827</v>
      </c>
      <c r="B620" s="2">
        <v>3693.23</v>
      </c>
      <c r="C620" s="3">
        <f t="shared" si="27"/>
        <v>-1.723261637204989E-2</v>
      </c>
      <c r="D620" s="4">
        <f t="shared" si="28"/>
        <v>3695.1320000000001</v>
      </c>
      <c r="E620" s="2">
        <f t="shared" si="29"/>
        <v>63.741399074698727</v>
      </c>
    </row>
    <row r="621" spans="1:5" x14ac:dyDescent="0.25">
      <c r="A621" s="1">
        <v>44830</v>
      </c>
      <c r="B621" s="2">
        <v>3655.04</v>
      </c>
      <c r="C621" s="3">
        <f t="shared" si="27"/>
        <v>-1.0340542018774908E-2</v>
      </c>
      <c r="D621" s="4">
        <f t="shared" si="28"/>
        <v>3693.7849999999999</v>
      </c>
      <c r="E621" s="2">
        <f t="shared" si="29"/>
        <v>62.529642450601017</v>
      </c>
    </row>
    <row r="622" spans="1:5" x14ac:dyDescent="0.25">
      <c r="A622" s="1">
        <v>44831</v>
      </c>
      <c r="B622" s="2">
        <v>3647.29</v>
      </c>
      <c r="C622" s="3">
        <f t="shared" si="27"/>
        <v>-2.1203598319033444E-3</v>
      </c>
      <c r="D622" s="4">
        <f t="shared" si="28"/>
        <v>3688.4279999999999</v>
      </c>
      <c r="E622" s="2">
        <f t="shared" si="29"/>
        <v>64.607890354042723</v>
      </c>
    </row>
    <row r="623" spans="1:5" x14ac:dyDescent="0.25">
      <c r="A623" s="1">
        <v>44832</v>
      </c>
      <c r="B623" s="2">
        <v>3719.04</v>
      </c>
      <c r="C623" s="3">
        <f t="shared" si="27"/>
        <v>1.9672140136923578E-2</v>
      </c>
      <c r="D623" s="4">
        <f t="shared" si="28"/>
        <v>3684.1629999999996</v>
      </c>
      <c r="E623" s="2">
        <f t="shared" si="29"/>
        <v>67.990375502713675</v>
      </c>
    </row>
    <row r="624" spans="1:5" x14ac:dyDescent="0.25">
      <c r="A624" s="1">
        <v>44833</v>
      </c>
      <c r="B624" s="2">
        <v>3640.47</v>
      </c>
      <c r="C624" s="3">
        <f t="shared" si="27"/>
        <v>-2.1126419721218422E-2</v>
      </c>
      <c r="D624" s="4">
        <f t="shared" si="28"/>
        <v>3678.3180000000007</v>
      </c>
      <c r="E624" s="2">
        <f t="shared" si="29"/>
        <v>73.220302894757296</v>
      </c>
    </row>
    <row r="625" spans="1:5" x14ac:dyDescent="0.25">
      <c r="A625" s="1">
        <v>44834</v>
      </c>
      <c r="B625" s="2">
        <v>3585.62</v>
      </c>
      <c r="C625" s="3">
        <f t="shared" si="27"/>
        <v>-1.5066735888497889E-2</v>
      </c>
      <c r="D625" s="4">
        <f t="shared" si="28"/>
        <v>3664.1169999999997</v>
      </c>
      <c r="E625" s="2">
        <f t="shared" si="29"/>
        <v>77.58635267236113</v>
      </c>
    </row>
    <row r="626" spans="1:5" x14ac:dyDescent="0.25">
      <c r="A626" s="1">
        <v>44837</v>
      </c>
      <c r="B626" s="2">
        <v>3678.43</v>
      </c>
      <c r="C626" s="3">
        <f t="shared" si="27"/>
        <v>2.5883947546031075E-2</v>
      </c>
      <c r="D626" s="4">
        <f t="shared" si="28"/>
        <v>3667.0610000000001</v>
      </c>
      <c r="E626" s="2">
        <f t="shared" si="29"/>
        <v>77.190755981529279</v>
      </c>
    </row>
    <row r="627" spans="1:5" x14ac:dyDescent="0.25">
      <c r="A627" s="1">
        <v>44838</v>
      </c>
      <c r="B627" s="2">
        <v>3790.93</v>
      </c>
      <c r="C627" s="3">
        <f t="shared" si="27"/>
        <v>3.0583700111188741E-2</v>
      </c>
      <c r="D627" s="4">
        <f t="shared" si="28"/>
        <v>3666.8059999999996</v>
      </c>
      <c r="E627" s="2">
        <f t="shared" si="29"/>
        <v>77.463106986487404</v>
      </c>
    </row>
    <row r="628" spans="1:5" x14ac:dyDescent="0.25">
      <c r="A628" s="1">
        <v>44839</v>
      </c>
      <c r="B628" s="2">
        <v>3783.28</v>
      </c>
      <c r="C628" s="3">
        <f t="shared" si="27"/>
        <v>-2.0179744811958111E-3</v>
      </c>
      <c r="D628" s="4">
        <f t="shared" si="28"/>
        <v>3666.7579999999994</v>
      </c>
      <c r="E628" s="2">
        <f t="shared" si="29"/>
        <v>77.456037698813347</v>
      </c>
    </row>
    <row r="629" spans="1:5" x14ac:dyDescent="0.25">
      <c r="A629" s="1">
        <v>44840</v>
      </c>
      <c r="B629" s="2">
        <v>3744.52</v>
      </c>
      <c r="C629" s="3">
        <f t="shared" si="27"/>
        <v>-1.024507834471681E-2</v>
      </c>
      <c r="D629" s="4">
        <f t="shared" si="28"/>
        <v>3659.6629999999996</v>
      </c>
      <c r="E629" s="2">
        <f t="shared" si="29"/>
        <v>68.48713982201329</v>
      </c>
    </row>
    <row r="630" spans="1:5" x14ac:dyDescent="0.25">
      <c r="A630" s="1">
        <v>44841</v>
      </c>
      <c r="B630" s="2">
        <v>3639.66</v>
      </c>
      <c r="C630" s="3">
        <f t="shared" si="27"/>
        <v>-2.8003589245083515E-2</v>
      </c>
      <c r="D630" s="4">
        <f t="shared" si="28"/>
        <v>3650.8509999999997</v>
      </c>
      <c r="E630" s="2">
        <f t="shared" si="29"/>
        <v>56.663254486483488</v>
      </c>
    </row>
    <row r="631" spans="1:5" x14ac:dyDescent="0.25">
      <c r="A631" s="1">
        <v>44844</v>
      </c>
      <c r="B631" s="2">
        <v>3612.39</v>
      </c>
      <c r="C631" s="3">
        <f t="shared" si="27"/>
        <v>-7.4924580867443613E-3</v>
      </c>
      <c r="D631" s="4">
        <f t="shared" si="28"/>
        <v>3642.9770000000003</v>
      </c>
      <c r="E631" s="2">
        <f t="shared" si="29"/>
        <v>47.891793461928245</v>
      </c>
    </row>
    <row r="632" spans="1:5" x14ac:dyDescent="0.25">
      <c r="A632" s="1">
        <v>44845</v>
      </c>
      <c r="B632" s="2">
        <v>3588.84</v>
      </c>
      <c r="C632" s="3">
        <f t="shared" si="27"/>
        <v>-6.5192296512834244E-3</v>
      </c>
      <c r="D632" s="4">
        <f t="shared" si="28"/>
        <v>3654.2860000000001</v>
      </c>
      <c r="E632" s="2">
        <f t="shared" si="29"/>
        <v>58.048611559622955</v>
      </c>
    </row>
    <row r="633" spans="1:5" x14ac:dyDescent="0.25">
      <c r="A633" s="1">
        <v>44846</v>
      </c>
      <c r="B633" s="2">
        <v>3577.03</v>
      </c>
      <c r="C633" s="3">
        <f t="shared" si="27"/>
        <v>-3.2907569019515904E-3</v>
      </c>
      <c r="D633" s="4">
        <f t="shared" si="28"/>
        <v>3672.7809999999999</v>
      </c>
      <c r="E633" s="2">
        <f t="shared" si="29"/>
        <v>69.989238379910901</v>
      </c>
    </row>
    <row r="634" spans="1:5" x14ac:dyDescent="0.25">
      <c r="A634" s="1">
        <v>44847</v>
      </c>
      <c r="B634" s="2">
        <v>3669.91</v>
      </c>
      <c r="C634" s="3">
        <f t="shared" si="27"/>
        <v>2.59656754346482E-2</v>
      </c>
      <c r="D634" s="4">
        <f t="shared" si="28"/>
        <v>3699.808</v>
      </c>
      <c r="E634" s="2">
        <f t="shared" si="29"/>
        <v>83.278299910600964</v>
      </c>
    </row>
    <row r="635" spans="1:5" x14ac:dyDescent="0.25">
      <c r="A635" s="1">
        <v>44848</v>
      </c>
      <c r="B635" s="2">
        <v>3583.07</v>
      </c>
      <c r="C635" s="3">
        <f t="shared" si="27"/>
        <v>-2.3662705624933496E-2</v>
      </c>
      <c r="D635" s="4">
        <f t="shared" si="28"/>
        <v>3725.1649999999995</v>
      </c>
      <c r="E635" s="2">
        <f t="shared" si="29"/>
        <v>80.594719336939193</v>
      </c>
    </row>
    <row r="636" spans="1:5" x14ac:dyDescent="0.25">
      <c r="A636" s="1">
        <v>44851</v>
      </c>
      <c r="B636" s="2">
        <v>3677.95</v>
      </c>
      <c r="C636" s="3">
        <f t="shared" si="27"/>
        <v>2.6480085513260875E-2</v>
      </c>
      <c r="D636" s="4">
        <f t="shared" si="28"/>
        <v>3738.904</v>
      </c>
      <c r="E636" s="2">
        <f t="shared" si="29"/>
        <v>81.707117095146629</v>
      </c>
    </row>
    <row r="637" spans="1:5" x14ac:dyDescent="0.25">
      <c r="A637" s="1">
        <v>44852</v>
      </c>
      <c r="B637" s="2">
        <v>3719.98</v>
      </c>
      <c r="C637" s="3">
        <f t="shared" si="27"/>
        <v>1.1427561549232643E-2</v>
      </c>
      <c r="D637" s="4">
        <f t="shared" si="28"/>
        <v>3770.703</v>
      </c>
      <c r="E637" s="2">
        <f t="shared" si="29"/>
        <v>76.58922810030144</v>
      </c>
    </row>
    <row r="638" spans="1:5" x14ac:dyDescent="0.25">
      <c r="A638" s="1">
        <v>44853</v>
      </c>
      <c r="B638" s="2">
        <v>3695.16</v>
      </c>
      <c r="C638" s="3">
        <f t="shared" si="27"/>
        <v>-6.6720788821445715E-3</v>
      </c>
      <c r="D638" s="4">
        <f t="shared" si="28"/>
        <v>3790.1060000000007</v>
      </c>
      <c r="E638" s="2">
        <f t="shared" si="29"/>
        <v>75.198567965088259</v>
      </c>
    </row>
    <row r="639" spans="1:5" x14ac:dyDescent="0.25">
      <c r="A639" s="1">
        <v>44854</v>
      </c>
      <c r="B639" s="2">
        <v>3665.78</v>
      </c>
      <c r="C639" s="3">
        <f t="shared" si="27"/>
        <v>-7.9509412312321129E-3</v>
      </c>
      <c r="D639" s="4">
        <f t="shared" si="28"/>
        <v>3803.7179999999998</v>
      </c>
      <c r="E639" s="2">
        <f t="shared" si="29"/>
        <v>73.575086109361749</v>
      </c>
    </row>
    <row r="640" spans="1:5" x14ac:dyDescent="0.25">
      <c r="A640" s="1">
        <v>44855</v>
      </c>
      <c r="B640" s="2">
        <v>3752.75</v>
      </c>
      <c r="C640" s="3">
        <f t="shared" si="27"/>
        <v>2.3724828003862695E-2</v>
      </c>
      <c r="D640" s="4">
        <f t="shared" si="28"/>
        <v>3810.1710000000007</v>
      </c>
      <c r="E640" s="2">
        <f t="shared" si="29"/>
        <v>66.23454256654901</v>
      </c>
    </row>
    <row r="641" spans="1:5" x14ac:dyDescent="0.25">
      <c r="A641" s="1">
        <v>44858</v>
      </c>
      <c r="B641" s="2">
        <v>3797.34</v>
      </c>
      <c r="C641" s="3">
        <f t="shared" si="27"/>
        <v>1.188195323429489E-2</v>
      </c>
      <c r="D641" s="4">
        <f t="shared" si="28"/>
        <v>3815.5819999999999</v>
      </c>
      <c r="E641" s="2">
        <f t="shared" si="29"/>
        <v>55.56910576930315</v>
      </c>
    </row>
    <row r="642" spans="1:5" x14ac:dyDescent="0.25">
      <c r="A642" s="1">
        <v>44859</v>
      </c>
      <c r="B642" s="2">
        <v>3859.11</v>
      </c>
      <c r="C642" s="3">
        <f t="shared" si="27"/>
        <v>1.6266649812763666E-2</v>
      </c>
      <c r="D642" s="4">
        <f t="shared" si="28"/>
        <v>3817.3620000000001</v>
      </c>
      <c r="E642" s="2">
        <f t="shared" si="29"/>
        <v>53.784376876561453</v>
      </c>
    </row>
    <row r="643" spans="1:5" x14ac:dyDescent="0.25">
      <c r="A643" s="1">
        <v>44860</v>
      </c>
      <c r="B643" s="2">
        <v>3830.6</v>
      </c>
      <c r="C643" s="3">
        <f t="shared" ref="C643:C706" si="30">(B643-B642)/B642</f>
        <v>-7.3877137474703276E-3</v>
      </c>
      <c r="D643" s="4">
        <f t="shared" ref="D643:D706" si="31">AVERAGE(B642:B651)</f>
        <v>3818.308</v>
      </c>
      <c r="E643" s="2">
        <f t="shared" ref="E643:E706" si="32">_xlfn.STDEV.P(B642:B651)</f>
        <v>53.506371732719828</v>
      </c>
    </row>
    <row r="644" spans="1:5" x14ac:dyDescent="0.25">
      <c r="A644" s="1">
        <v>44861</v>
      </c>
      <c r="B644" s="2">
        <v>3807.3</v>
      </c>
      <c r="C644" s="3">
        <f t="shared" si="30"/>
        <v>-6.0825980264187663E-3</v>
      </c>
      <c r="D644" s="4">
        <f t="shared" si="31"/>
        <v>3815.2079999999996</v>
      </c>
      <c r="E644" s="2">
        <f t="shared" si="32"/>
        <v>51.927347477027922</v>
      </c>
    </row>
    <row r="645" spans="1:5" x14ac:dyDescent="0.25">
      <c r="A645" s="1">
        <v>44862</v>
      </c>
      <c r="B645" s="2">
        <v>3901.06</v>
      </c>
      <c r="C645" s="3">
        <f t="shared" si="30"/>
        <v>2.4626375646783747E-2</v>
      </c>
      <c r="D645" s="4">
        <f t="shared" si="31"/>
        <v>3807.0049999999997</v>
      </c>
      <c r="E645" s="2">
        <f t="shared" si="32"/>
        <v>55.222560109071338</v>
      </c>
    </row>
    <row r="646" spans="1:5" x14ac:dyDescent="0.25">
      <c r="A646" s="1">
        <v>44865</v>
      </c>
      <c r="B646" s="2">
        <v>3871.98</v>
      </c>
      <c r="C646" s="3">
        <f t="shared" si="30"/>
        <v>-7.4543841930141876E-3</v>
      </c>
      <c r="D646" s="4">
        <f t="shared" si="31"/>
        <v>3821.9120000000003</v>
      </c>
      <c r="E646" s="2">
        <f t="shared" si="32"/>
        <v>71.121685272496123</v>
      </c>
    </row>
    <row r="647" spans="1:5" x14ac:dyDescent="0.25">
      <c r="A647" s="1">
        <v>44866</v>
      </c>
      <c r="B647" s="2">
        <v>3856.1</v>
      </c>
      <c r="C647" s="3">
        <f t="shared" si="30"/>
        <v>-4.1012608536201397E-3</v>
      </c>
      <c r="D647" s="4">
        <f t="shared" si="31"/>
        <v>3831.0989999999997</v>
      </c>
      <c r="E647" s="2">
        <f t="shared" si="32"/>
        <v>85.27700856033816</v>
      </c>
    </row>
    <row r="648" spans="1:5" x14ac:dyDescent="0.25">
      <c r="A648" s="1">
        <v>44867</v>
      </c>
      <c r="B648" s="2">
        <v>3759.69</v>
      </c>
      <c r="C648" s="3">
        <f t="shared" si="30"/>
        <v>-2.500194497030675E-2</v>
      </c>
      <c r="D648" s="4">
        <f t="shared" si="31"/>
        <v>3839.6259999999993</v>
      </c>
      <c r="E648" s="2">
        <f t="shared" si="32"/>
        <v>92.864095989784914</v>
      </c>
    </row>
    <row r="649" spans="1:5" x14ac:dyDescent="0.25">
      <c r="A649" s="1">
        <v>44868</v>
      </c>
      <c r="B649" s="2">
        <v>3719.89</v>
      </c>
      <c r="C649" s="3">
        <f t="shared" si="30"/>
        <v>-1.0585979163175736E-2</v>
      </c>
      <c r="D649" s="4">
        <f t="shared" si="31"/>
        <v>3853.1890000000008</v>
      </c>
      <c r="E649" s="2">
        <f t="shared" si="32"/>
        <v>103.56741171333763</v>
      </c>
    </row>
    <row r="650" spans="1:5" x14ac:dyDescent="0.25">
      <c r="A650" s="1">
        <v>44869</v>
      </c>
      <c r="B650" s="2">
        <v>3770.55</v>
      </c>
      <c r="C650" s="3">
        <f t="shared" si="30"/>
        <v>1.3618682272862991E-2</v>
      </c>
      <c r="D650" s="4">
        <f t="shared" si="31"/>
        <v>3873.0990000000006</v>
      </c>
      <c r="E650" s="2">
        <f t="shared" si="32"/>
        <v>102.81415996349914</v>
      </c>
    </row>
    <row r="651" spans="1:5" x14ac:dyDescent="0.25">
      <c r="A651" s="1">
        <v>44872</v>
      </c>
      <c r="B651" s="2">
        <v>3806.8</v>
      </c>
      <c r="C651" s="3">
        <f t="shared" si="30"/>
        <v>9.613982045059739E-3</v>
      </c>
      <c r="D651" s="4">
        <f t="shared" si="31"/>
        <v>3895.7659999999996</v>
      </c>
      <c r="E651" s="2">
        <f t="shared" si="32"/>
        <v>90.82571598396558</v>
      </c>
    </row>
    <row r="652" spans="1:5" x14ac:dyDescent="0.25">
      <c r="A652" s="1">
        <v>44873</v>
      </c>
      <c r="B652" s="2">
        <v>3828.11</v>
      </c>
      <c r="C652" s="3">
        <f t="shared" si="30"/>
        <v>5.5978774823999015E-3</v>
      </c>
      <c r="D652" s="4">
        <f t="shared" si="31"/>
        <v>3915.2449999999999</v>
      </c>
      <c r="E652" s="2">
        <f t="shared" si="32"/>
        <v>82.377355656757928</v>
      </c>
    </row>
    <row r="653" spans="1:5" x14ac:dyDescent="0.25">
      <c r="A653" s="1">
        <v>44874</v>
      </c>
      <c r="B653" s="2">
        <v>3748.57</v>
      </c>
      <c r="C653" s="3">
        <f t="shared" si="30"/>
        <v>-2.0777877333723421E-2</v>
      </c>
      <c r="D653" s="4">
        <f t="shared" si="31"/>
        <v>3929.5590000000002</v>
      </c>
      <c r="E653" s="2">
        <f t="shared" si="32"/>
        <v>74.333576726806228</v>
      </c>
    </row>
    <row r="654" spans="1:5" x14ac:dyDescent="0.25">
      <c r="A654" s="1">
        <v>44875</v>
      </c>
      <c r="B654" s="2">
        <v>3956.37</v>
      </c>
      <c r="C654" s="3">
        <f t="shared" si="30"/>
        <v>5.5434472345454323E-2</v>
      </c>
      <c r="D654" s="4">
        <f t="shared" si="31"/>
        <v>3947.1060000000007</v>
      </c>
      <c r="E654" s="2">
        <f t="shared" si="32"/>
        <v>68.820813014668701</v>
      </c>
    </row>
    <row r="655" spans="1:5" x14ac:dyDescent="0.25">
      <c r="A655" s="1">
        <v>44876</v>
      </c>
      <c r="B655" s="2">
        <v>3992.93</v>
      </c>
      <c r="C655" s="3">
        <f t="shared" si="30"/>
        <v>9.2407939601199963E-3</v>
      </c>
      <c r="D655" s="4">
        <f t="shared" si="31"/>
        <v>3974.9749999999999</v>
      </c>
      <c r="E655" s="2">
        <f t="shared" si="32"/>
        <v>25.698933538184061</v>
      </c>
    </row>
    <row r="656" spans="1:5" x14ac:dyDescent="0.25">
      <c r="A656" s="1">
        <v>44879</v>
      </c>
      <c r="B656" s="2">
        <v>3957.25</v>
      </c>
      <c r="C656" s="3">
        <f t="shared" si="30"/>
        <v>-8.9357940159231035E-3</v>
      </c>
      <c r="D656" s="4">
        <f t="shared" si="31"/>
        <v>3981.9500000000007</v>
      </c>
      <c r="E656" s="2">
        <f t="shared" si="32"/>
        <v>28.961199215502113</v>
      </c>
    </row>
    <row r="657" spans="1:5" x14ac:dyDescent="0.25">
      <c r="A657" s="1">
        <v>44880</v>
      </c>
      <c r="B657" s="2">
        <v>3991.73</v>
      </c>
      <c r="C657" s="3">
        <f t="shared" si="30"/>
        <v>8.7131214858803506E-3</v>
      </c>
      <c r="D657" s="4">
        <f t="shared" si="31"/>
        <v>3979.0510000000004</v>
      </c>
      <c r="E657" s="2">
        <f t="shared" si="32"/>
        <v>29.167221825192751</v>
      </c>
    </row>
    <row r="658" spans="1:5" x14ac:dyDescent="0.25">
      <c r="A658" s="1">
        <v>44881</v>
      </c>
      <c r="B658" s="2">
        <v>3958.79</v>
      </c>
      <c r="C658" s="3">
        <f t="shared" si="30"/>
        <v>-8.2520611363995199E-3</v>
      </c>
      <c r="D658" s="4">
        <f t="shared" si="31"/>
        <v>3979.0889999999999</v>
      </c>
      <c r="E658" s="2">
        <f t="shared" si="32"/>
        <v>29.139027935056443</v>
      </c>
    </row>
    <row r="659" spans="1:5" x14ac:dyDescent="0.25">
      <c r="A659" s="1">
        <v>44882</v>
      </c>
      <c r="B659" s="2">
        <v>3946.56</v>
      </c>
      <c r="C659" s="3">
        <f t="shared" si="30"/>
        <v>-3.0893277996559602E-3</v>
      </c>
      <c r="D659" s="4">
        <f t="shared" si="31"/>
        <v>3987.9269999999997</v>
      </c>
      <c r="E659" s="2">
        <f t="shared" si="32"/>
        <v>42.136889550606384</v>
      </c>
    </row>
    <row r="660" spans="1:5" x14ac:dyDescent="0.25">
      <c r="A660" s="1">
        <v>44883</v>
      </c>
      <c r="B660" s="2">
        <v>3965.34</v>
      </c>
      <c r="C660" s="3">
        <f t="shared" si="30"/>
        <v>4.7585745560691341E-3</v>
      </c>
      <c r="D660" s="4">
        <f t="shared" si="31"/>
        <v>3999.7049999999995</v>
      </c>
      <c r="E660" s="2">
        <f t="shared" si="32"/>
        <v>48.349331381106012</v>
      </c>
    </row>
    <row r="661" spans="1:5" x14ac:dyDescent="0.25">
      <c r="A661" s="1">
        <v>44886</v>
      </c>
      <c r="B661" s="2">
        <v>3949.94</v>
      </c>
      <c r="C661" s="3">
        <f t="shared" si="30"/>
        <v>-3.8836518432215374E-3</v>
      </c>
      <c r="D661" s="4">
        <f t="shared" si="31"/>
        <v>4012.2190000000001</v>
      </c>
      <c r="E661" s="2">
        <f t="shared" si="32"/>
        <v>49.162450600026013</v>
      </c>
    </row>
    <row r="662" spans="1:5" x14ac:dyDescent="0.25">
      <c r="A662" s="1">
        <v>44887</v>
      </c>
      <c r="B662" s="2">
        <v>4003.58</v>
      </c>
      <c r="C662" s="3">
        <f t="shared" si="30"/>
        <v>1.3579953113211814E-2</v>
      </c>
      <c r="D662" s="4">
        <f t="shared" si="31"/>
        <v>4015.5690000000004</v>
      </c>
      <c r="E662" s="2">
        <f t="shared" si="32"/>
        <v>46.945284630088238</v>
      </c>
    </row>
    <row r="663" spans="1:5" x14ac:dyDescent="0.25">
      <c r="A663" s="1">
        <v>44888</v>
      </c>
      <c r="B663" s="2">
        <v>4027.26</v>
      </c>
      <c r="C663" s="3">
        <f t="shared" si="30"/>
        <v>5.9147063378277168E-3</v>
      </c>
      <c r="D663" s="4">
        <f t="shared" si="31"/>
        <v>4014.701</v>
      </c>
      <c r="E663" s="2">
        <f t="shared" si="32"/>
        <v>48.213820726011711</v>
      </c>
    </row>
    <row r="664" spans="1:5" x14ac:dyDescent="0.25">
      <c r="A664" s="1">
        <v>44890</v>
      </c>
      <c r="B664" s="2">
        <v>4026.12</v>
      </c>
      <c r="C664" s="3">
        <f t="shared" si="30"/>
        <v>-2.8307087200735176E-4</v>
      </c>
      <c r="D664" s="4">
        <f t="shared" si="31"/>
        <v>4007.7349999999997</v>
      </c>
      <c r="E664" s="2">
        <f t="shared" si="32"/>
        <v>54.002191483309232</v>
      </c>
    </row>
    <row r="665" spans="1:5" x14ac:dyDescent="0.25">
      <c r="A665" s="1">
        <v>44893</v>
      </c>
      <c r="B665" s="2">
        <v>3963.94</v>
      </c>
      <c r="C665" s="3">
        <f t="shared" si="30"/>
        <v>-1.5444149702443007E-2</v>
      </c>
      <c r="D665" s="4">
        <f t="shared" si="31"/>
        <v>4001.3599999999997</v>
      </c>
      <c r="E665" s="2">
        <f t="shared" si="32"/>
        <v>55.073210910568804</v>
      </c>
    </row>
    <row r="666" spans="1:5" x14ac:dyDescent="0.25">
      <c r="A666" s="1">
        <v>44894</v>
      </c>
      <c r="B666" s="2">
        <v>3957.63</v>
      </c>
      <c r="C666" s="3">
        <f t="shared" si="30"/>
        <v>-1.5918505325509329E-3</v>
      </c>
      <c r="D666" s="4">
        <f t="shared" si="31"/>
        <v>3992.1860000000001</v>
      </c>
      <c r="E666" s="2">
        <f t="shared" si="32"/>
        <v>57.760042970898112</v>
      </c>
    </row>
    <row r="667" spans="1:5" x14ac:dyDescent="0.25">
      <c r="A667" s="1">
        <v>44895</v>
      </c>
      <c r="B667" s="2">
        <v>4080.11</v>
      </c>
      <c r="C667" s="3">
        <f t="shared" si="30"/>
        <v>3.094781472750106E-2</v>
      </c>
      <c r="D667" s="4">
        <f t="shared" si="31"/>
        <v>3994.8479999999995</v>
      </c>
      <c r="E667" s="2">
        <f t="shared" si="32"/>
        <v>57.005412514953306</v>
      </c>
    </row>
    <row r="668" spans="1:5" x14ac:dyDescent="0.25">
      <c r="A668" s="1">
        <v>44896</v>
      </c>
      <c r="B668" s="2">
        <v>4076.57</v>
      </c>
      <c r="C668" s="3">
        <f t="shared" si="30"/>
        <v>-8.6762366700896877E-4</v>
      </c>
      <c r="D668" s="4">
        <f t="shared" si="31"/>
        <v>4001.0500000000006</v>
      </c>
      <c r="E668" s="2">
        <f t="shared" si="32"/>
        <v>55.983463808521137</v>
      </c>
    </row>
    <row r="669" spans="1:5" x14ac:dyDescent="0.25">
      <c r="A669" s="1">
        <v>44897</v>
      </c>
      <c r="B669" s="2">
        <v>4071.7</v>
      </c>
      <c r="C669" s="3">
        <f t="shared" si="30"/>
        <v>-1.1946317615054679E-3</v>
      </c>
      <c r="D669" s="4">
        <f t="shared" si="31"/>
        <v>3992.5710000000008</v>
      </c>
      <c r="E669" s="2">
        <f t="shared" si="32"/>
        <v>49.401312826685029</v>
      </c>
    </row>
    <row r="670" spans="1:5" x14ac:dyDescent="0.25">
      <c r="A670" s="1">
        <v>44900</v>
      </c>
      <c r="B670" s="2">
        <v>3998.84</v>
      </c>
      <c r="C670" s="3">
        <f t="shared" si="30"/>
        <v>-1.7894245646781364E-2</v>
      </c>
      <c r="D670" s="4">
        <f t="shared" si="31"/>
        <v>3974.4890000000005</v>
      </c>
      <c r="E670" s="2">
        <f t="shared" si="32"/>
        <v>48.429106836694757</v>
      </c>
    </row>
    <row r="671" spans="1:5" x14ac:dyDescent="0.25">
      <c r="A671" s="1">
        <v>44901</v>
      </c>
      <c r="B671" s="2">
        <v>3941.26</v>
      </c>
      <c r="C671" s="3">
        <f t="shared" si="30"/>
        <v>-1.4399175760970663E-2</v>
      </c>
      <c r="D671" s="4">
        <f t="shared" si="31"/>
        <v>3952.5550000000003</v>
      </c>
      <c r="E671" s="2">
        <f t="shared" si="32"/>
        <v>49.100198013857337</v>
      </c>
    </row>
    <row r="672" spans="1:5" x14ac:dyDescent="0.25">
      <c r="A672" s="1">
        <v>44902</v>
      </c>
      <c r="B672" s="2">
        <v>3933.92</v>
      </c>
      <c r="C672" s="3">
        <f t="shared" si="30"/>
        <v>-1.8623485890299409E-3</v>
      </c>
      <c r="D672" s="4">
        <f t="shared" si="31"/>
        <v>3934.4369999999994</v>
      </c>
      <c r="E672" s="2">
        <f t="shared" si="32"/>
        <v>60.728934627572755</v>
      </c>
    </row>
    <row r="673" spans="1:5" x14ac:dyDescent="0.25">
      <c r="A673" s="1">
        <v>44903</v>
      </c>
      <c r="B673" s="2">
        <v>3963.51</v>
      </c>
      <c r="C673" s="3">
        <f t="shared" si="30"/>
        <v>7.5217594663847115E-3</v>
      </c>
      <c r="D673" s="4">
        <f t="shared" si="31"/>
        <v>3922.4730000000004</v>
      </c>
      <c r="E673" s="2">
        <f t="shared" si="32"/>
        <v>69.375632761078364</v>
      </c>
    </row>
    <row r="674" spans="1:5" x14ac:dyDescent="0.25">
      <c r="A674" s="1">
        <v>44904</v>
      </c>
      <c r="B674" s="2">
        <v>3934.38</v>
      </c>
      <c r="C674" s="3">
        <f t="shared" si="30"/>
        <v>-7.349546235533683E-3</v>
      </c>
      <c r="D674" s="4">
        <f t="shared" si="31"/>
        <v>3916.9250000000006</v>
      </c>
      <c r="E674" s="2">
        <f t="shared" si="32"/>
        <v>70.448458073970713</v>
      </c>
    </row>
    <row r="675" spans="1:5" x14ac:dyDescent="0.25">
      <c r="A675" s="1">
        <v>44907</v>
      </c>
      <c r="B675" s="2">
        <v>3990.56</v>
      </c>
      <c r="C675" s="3">
        <f t="shared" si="30"/>
        <v>1.4279251114533887E-2</v>
      </c>
      <c r="D675" s="4">
        <f t="shared" si="31"/>
        <v>3902.8129999999996</v>
      </c>
      <c r="E675" s="2">
        <f t="shared" si="32"/>
        <v>73.75979325486216</v>
      </c>
    </row>
    <row r="676" spans="1:5" x14ac:dyDescent="0.25">
      <c r="A676" s="1">
        <v>44908</v>
      </c>
      <c r="B676" s="2">
        <v>4019.65</v>
      </c>
      <c r="C676" s="3">
        <f t="shared" si="30"/>
        <v>7.2897037007337686E-3</v>
      </c>
      <c r="D676" s="4">
        <f t="shared" si="31"/>
        <v>3893.857</v>
      </c>
      <c r="E676" s="2">
        <f t="shared" si="32"/>
        <v>74.812889404166228</v>
      </c>
    </row>
    <row r="677" spans="1:5" x14ac:dyDescent="0.25">
      <c r="A677" s="1">
        <v>44909</v>
      </c>
      <c r="B677" s="2">
        <v>3995.32</v>
      </c>
      <c r="C677" s="3">
        <f t="shared" si="30"/>
        <v>-6.052765788066107E-3</v>
      </c>
      <c r="D677" s="4">
        <f t="shared" si="31"/>
        <v>3877.7260000000001</v>
      </c>
      <c r="E677" s="2">
        <f t="shared" si="32"/>
        <v>69.419152141177932</v>
      </c>
    </row>
    <row r="678" spans="1:5" x14ac:dyDescent="0.25">
      <c r="A678" s="1">
        <v>44910</v>
      </c>
      <c r="B678" s="2">
        <v>3895.75</v>
      </c>
      <c r="C678" s="3">
        <f t="shared" si="30"/>
        <v>-2.492165834025814E-2</v>
      </c>
      <c r="D678" s="4">
        <f t="shared" si="31"/>
        <v>3854.0830000000001</v>
      </c>
      <c r="E678" s="2">
        <f t="shared" si="32"/>
        <v>56.026096249872801</v>
      </c>
    </row>
    <row r="679" spans="1:5" x14ac:dyDescent="0.25">
      <c r="A679" s="1">
        <v>44911</v>
      </c>
      <c r="B679" s="2">
        <v>3852.36</v>
      </c>
      <c r="C679" s="3">
        <f t="shared" si="30"/>
        <v>-1.1137778348199928E-2</v>
      </c>
      <c r="D679" s="4">
        <f t="shared" si="31"/>
        <v>3839.4789999999994</v>
      </c>
      <c r="E679" s="2">
        <f t="shared" si="32"/>
        <v>30.547741471342938</v>
      </c>
    </row>
    <row r="680" spans="1:5" x14ac:dyDescent="0.25">
      <c r="A680" s="1">
        <v>44914</v>
      </c>
      <c r="B680" s="2">
        <v>3817.66</v>
      </c>
      <c r="C680" s="3">
        <f t="shared" si="30"/>
        <v>-9.007465553582809E-3</v>
      </c>
      <c r="D680" s="4">
        <f t="shared" si="31"/>
        <v>3833.8540000000003</v>
      </c>
      <c r="E680" s="2">
        <f t="shared" si="32"/>
        <v>24.184321036572538</v>
      </c>
    </row>
    <row r="681" spans="1:5" x14ac:dyDescent="0.25">
      <c r="A681" s="1">
        <v>44915</v>
      </c>
      <c r="B681" s="2">
        <v>3821.62</v>
      </c>
      <c r="C681" s="3">
        <f t="shared" si="30"/>
        <v>1.0372846193741811E-3</v>
      </c>
      <c r="D681" s="4">
        <f t="shared" si="31"/>
        <v>3831.0320000000002</v>
      </c>
      <c r="E681" s="2">
        <f t="shared" si="32"/>
        <v>23.496950355312169</v>
      </c>
    </row>
    <row r="682" spans="1:5" x14ac:dyDescent="0.25">
      <c r="A682" s="1">
        <v>44916</v>
      </c>
      <c r="B682" s="2">
        <v>3878.44</v>
      </c>
      <c r="C682" s="3">
        <f t="shared" si="30"/>
        <v>1.4868040255179784E-2</v>
      </c>
      <c r="D682" s="4">
        <f t="shared" si="31"/>
        <v>3834.5629999999996</v>
      </c>
      <c r="E682" s="2">
        <f t="shared" si="32"/>
        <v>23.87226970775933</v>
      </c>
    </row>
    <row r="683" spans="1:5" x14ac:dyDescent="0.25">
      <c r="A683" s="1">
        <v>44917</v>
      </c>
      <c r="B683" s="2">
        <v>3822.39</v>
      </c>
      <c r="C683" s="3">
        <f t="shared" si="30"/>
        <v>-1.4451686760656394E-2</v>
      </c>
      <c r="D683" s="4">
        <f t="shared" si="31"/>
        <v>3833.2109999999993</v>
      </c>
      <c r="E683" s="2">
        <f t="shared" si="32"/>
        <v>24.926577562914726</v>
      </c>
    </row>
    <row r="684" spans="1:5" x14ac:dyDescent="0.25">
      <c r="A684" s="1">
        <v>44918</v>
      </c>
      <c r="B684" s="2">
        <v>3844.82</v>
      </c>
      <c r="C684" s="3">
        <f t="shared" si="30"/>
        <v>5.8680563731069542E-3</v>
      </c>
      <c r="D684" s="4">
        <f t="shared" si="31"/>
        <v>3834.875</v>
      </c>
      <c r="E684" s="2">
        <f t="shared" si="32"/>
        <v>28.227228787112676</v>
      </c>
    </row>
    <row r="685" spans="1:5" x14ac:dyDescent="0.25">
      <c r="A685" s="1">
        <v>44922</v>
      </c>
      <c r="B685" s="2">
        <v>3829.25</v>
      </c>
      <c r="C685" s="3">
        <f t="shared" si="30"/>
        <v>-4.0496044028069354E-3</v>
      </c>
      <c r="D685" s="4">
        <f t="shared" si="31"/>
        <v>3841.8449999999998</v>
      </c>
      <c r="E685" s="2">
        <f t="shared" si="32"/>
        <v>32.557082869937901</v>
      </c>
    </row>
    <row r="686" spans="1:5" x14ac:dyDescent="0.25">
      <c r="A686" s="1">
        <v>44923</v>
      </c>
      <c r="B686" s="2">
        <v>3783.22</v>
      </c>
      <c r="C686" s="3">
        <f t="shared" si="30"/>
        <v>-1.2020630671802625E-2</v>
      </c>
      <c r="D686" s="4">
        <f t="shared" si="31"/>
        <v>3849.2880000000005</v>
      </c>
      <c r="E686" s="2">
        <f t="shared" si="32"/>
        <v>40.03540603016291</v>
      </c>
    </row>
    <row r="687" spans="1:5" x14ac:dyDescent="0.25">
      <c r="A687" s="1">
        <v>44924</v>
      </c>
      <c r="B687" s="2">
        <v>3849.28</v>
      </c>
      <c r="C687" s="3">
        <f t="shared" si="30"/>
        <v>1.7461316021801641E-2</v>
      </c>
      <c r="D687" s="4">
        <f t="shared" si="31"/>
        <v>3863.3240000000005</v>
      </c>
      <c r="E687" s="2">
        <f t="shared" si="32"/>
        <v>53.04159371662967</v>
      </c>
    </row>
    <row r="688" spans="1:5" x14ac:dyDescent="0.25">
      <c r="A688" s="1">
        <v>44925</v>
      </c>
      <c r="B688" s="2">
        <v>3839.5</v>
      </c>
      <c r="C688" s="3">
        <f t="shared" si="30"/>
        <v>-2.5407348906809064E-3</v>
      </c>
      <c r="D688" s="4">
        <f t="shared" si="31"/>
        <v>3883.3189999999995</v>
      </c>
      <c r="E688" s="2">
        <f t="shared" si="32"/>
        <v>56.641432970926914</v>
      </c>
    </row>
    <row r="689" spans="1:5" x14ac:dyDescent="0.25">
      <c r="A689" s="1">
        <v>44929</v>
      </c>
      <c r="B689" s="2">
        <v>3824.14</v>
      </c>
      <c r="C689" s="3">
        <f t="shared" si="30"/>
        <v>-4.0005209011590385E-3</v>
      </c>
      <c r="D689" s="4">
        <f t="shared" si="31"/>
        <v>3898.3</v>
      </c>
      <c r="E689" s="2">
        <f t="shared" si="32"/>
        <v>64.871015561651348</v>
      </c>
    </row>
    <row r="690" spans="1:5" x14ac:dyDescent="0.25">
      <c r="A690" s="1">
        <v>44930</v>
      </c>
      <c r="B690" s="2">
        <v>3852.97</v>
      </c>
      <c r="C690" s="3">
        <f t="shared" si="30"/>
        <v>7.5389499338413156E-3</v>
      </c>
      <c r="D690" s="4">
        <f t="shared" si="31"/>
        <v>3913.4470000000001</v>
      </c>
      <c r="E690" s="2">
        <f t="shared" si="32"/>
        <v>67.021235000557908</v>
      </c>
    </row>
    <row r="691" spans="1:5" x14ac:dyDescent="0.25">
      <c r="A691" s="1">
        <v>44931</v>
      </c>
      <c r="B691" s="2">
        <v>3808.1</v>
      </c>
      <c r="C691" s="3">
        <f t="shared" si="30"/>
        <v>-1.1645561735492332E-2</v>
      </c>
      <c r="D691" s="4">
        <f t="shared" si="31"/>
        <v>3923.9189999999994</v>
      </c>
      <c r="E691" s="2">
        <f t="shared" si="32"/>
        <v>60.069669459719904</v>
      </c>
    </row>
    <row r="692" spans="1:5" x14ac:dyDescent="0.25">
      <c r="A692" s="1">
        <v>44932</v>
      </c>
      <c r="B692" s="2">
        <v>3895.08</v>
      </c>
      <c r="C692" s="3">
        <f t="shared" si="30"/>
        <v>2.2840786744045591E-2</v>
      </c>
      <c r="D692" s="4">
        <f t="shared" si="31"/>
        <v>3928.5070000000001</v>
      </c>
      <c r="E692" s="2">
        <f t="shared" si="32"/>
        <v>56.096210754381651</v>
      </c>
    </row>
    <row r="693" spans="1:5" x14ac:dyDescent="0.25">
      <c r="A693" s="1">
        <v>44935</v>
      </c>
      <c r="B693" s="2">
        <v>3892.09</v>
      </c>
      <c r="C693" s="3">
        <f t="shared" si="30"/>
        <v>-7.6763506782910281E-4</v>
      </c>
      <c r="D693" s="4">
        <f t="shared" si="31"/>
        <v>3944.9580000000001</v>
      </c>
      <c r="E693" s="2">
        <f t="shared" si="32"/>
        <v>40.260059066027232</v>
      </c>
    </row>
    <row r="694" spans="1:5" x14ac:dyDescent="0.25">
      <c r="A694" s="1">
        <v>44936</v>
      </c>
      <c r="B694" s="2">
        <v>3919.25</v>
      </c>
      <c r="C694" s="3">
        <f t="shared" si="30"/>
        <v>6.9782558985017956E-3</v>
      </c>
      <c r="D694" s="4">
        <f t="shared" si="31"/>
        <v>3957.4309999999996</v>
      </c>
      <c r="E694" s="2">
        <f t="shared" si="32"/>
        <v>42.152073839848008</v>
      </c>
    </row>
    <row r="695" spans="1:5" x14ac:dyDescent="0.25">
      <c r="A695" s="1">
        <v>44937</v>
      </c>
      <c r="B695" s="2">
        <v>3969.61</v>
      </c>
      <c r="C695" s="3">
        <f t="shared" si="30"/>
        <v>1.2849397206098139E-2</v>
      </c>
      <c r="D695" s="4">
        <f t="shared" si="31"/>
        <v>3969.9169999999999</v>
      </c>
      <c r="E695" s="2">
        <f t="shared" si="32"/>
        <v>39.347218974153662</v>
      </c>
    </row>
    <row r="696" spans="1:5" x14ac:dyDescent="0.25">
      <c r="A696" s="1">
        <v>44938</v>
      </c>
      <c r="B696" s="2">
        <v>3983.17</v>
      </c>
      <c r="C696" s="3">
        <f t="shared" si="30"/>
        <v>3.4159527006431224E-3</v>
      </c>
      <c r="D696" s="4">
        <f t="shared" si="31"/>
        <v>3979.614</v>
      </c>
      <c r="E696" s="2">
        <f t="shared" si="32"/>
        <v>37.574647356961272</v>
      </c>
    </row>
    <row r="697" spans="1:5" x14ac:dyDescent="0.25">
      <c r="A697" s="1">
        <v>44939</v>
      </c>
      <c r="B697" s="2">
        <v>3999.09</v>
      </c>
      <c r="C697" s="3">
        <f t="shared" si="30"/>
        <v>3.9968166058692127E-3</v>
      </c>
      <c r="D697" s="4">
        <f t="shared" si="31"/>
        <v>3988.6959999999999</v>
      </c>
      <c r="E697" s="2">
        <f t="shared" si="32"/>
        <v>44.412678189904234</v>
      </c>
    </row>
    <row r="698" spans="1:5" x14ac:dyDescent="0.25">
      <c r="A698" s="1">
        <v>44943</v>
      </c>
      <c r="B698" s="2">
        <v>3990.97</v>
      </c>
      <c r="C698" s="3">
        <f t="shared" si="30"/>
        <v>-2.0304619300891818E-3</v>
      </c>
      <c r="D698" s="4">
        <f t="shared" si="31"/>
        <v>3997.4349999999999</v>
      </c>
      <c r="E698" s="2">
        <f t="shared" si="32"/>
        <v>50.628387738500969</v>
      </c>
    </row>
    <row r="699" spans="1:5" x14ac:dyDescent="0.25">
      <c r="A699" s="1">
        <v>44944</v>
      </c>
      <c r="B699" s="2">
        <v>3928.86</v>
      </c>
      <c r="C699" s="3">
        <f t="shared" si="30"/>
        <v>-1.5562632643191925E-2</v>
      </c>
      <c r="D699" s="4">
        <f t="shared" si="31"/>
        <v>3999.3029999999999</v>
      </c>
      <c r="E699" s="2">
        <f t="shared" si="32"/>
        <v>50.998250371948984</v>
      </c>
    </row>
    <row r="700" spans="1:5" x14ac:dyDescent="0.25">
      <c r="A700" s="1">
        <v>44945</v>
      </c>
      <c r="B700" s="2">
        <v>3898.85</v>
      </c>
      <c r="C700" s="3">
        <f t="shared" si="30"/>
        <v>-7.6383480195273482E-3</v>
      </c>
      <c r="D700" s="4">
        <f t="shared" si="31"/>
        <v>4007.8659999999995</v>
      </c>
      <c r="E700" s="2">
        <f t="shared" si="32"/>
        <v>55.839370555191564</v>
      </c>
    </row>
    <row r="701" spans="1:5" x14ac:dyDescent="0.25">
      <c r="A701" s="1">
        <v>44946</v>
      </c>
      <c r="B701" s="2">
        <v>3972.61</v>
      </c>
      <c r="C701" s="3">
        <f t="shared" si="30"/>
        <v>1.8918399015094251E-2</v>
      </c>
      <c r="D701" s="4">
        <f t="shared" si="31"/>
        <v>4026.9010000000003</v>
      </c>
      <c r="E701" s="2">
        <f t="shared" si="32"/>
        <v>58.062534469311622</v>
      </c>
    </row>
    <row r="702" spans="1:5" x14ac:dyDescent="0.25">
      <c r="A702" s="1">
        <v>44949</v>
      </c>
      <c r="B702" s="2">
        <v>4019.81</v>
      </c>
      <c r="C702" s="3">
        <f t="shared" si="30"/>
        <v>1.188135759613952E-2</v>
      </c>
      <c r="D702" s="4">
        <f t="shared" si="31"/>
        <v>4054.9919999999997</v>
      </c>
      <c r="E702" s="2">
        <f t="shared" si="32"/>
        <v>57.262860180050446</v>
      </c>
    </row>
    <row r="703" spans="1:5" x14ac:dyDescent="0.25">
      <c r="A703" s="1">
        <v>44950</v>
      </c>
      <c r="B703" s="2">
        <v>4016.95</v>
      </c>
      <c r="C703" s="3">
        <f t="shared" si="30"/>
        <v>-7.1147641306433074E-4</v>
      </c>
      <c r="D703" s="4">
        <f t="shared" si="31"/>
        <v>4071.3789999999995</v>
      </c>
      <c r="E703" s="2">
        <f t="shared" si="32"/>
        <v>54.734371367542032</v>
      </c>
    </row>
    <row r="704" spans="1:5" x14ac:dyDescent="0.25">
      <c r="A704" s="1">
        <v>44951</v>
      </c>
      <c r="B704" s="2">
        <v>4016.22</v>
      </c>
      <c r="C704" s="3">
        <f t="shared" si="30"/>
        <v>-1.8172991946626625E-4</v>
      </c>
      <c r="D704" s="4">
        <f t="shared" si="31"/>
        <v>4080.5059999999999</v>
      </c>
      <c r="E704" s="2">
        <f t="shared" si="32"/>
        <v>52.954981295436269</v>
      </c>
    </row>
    <row r="705" spans="1:5" x14ac:dyDescent="0.25">
      <c r="A705" s="1">
        <v>44952</v>
      </c>
      <c r="B705" s="2">
        <v>4060.43</v>
      </c>
      <c r="C705" s="3">
        <f t="shared" si="30"/>
        <v>1.1007863115068408E-2</v>
      </c>
      <c r="D705" s="4">
        <f t="shared" si="31"/>
        <v>4095.2109999999993</v>
      </c>
      <c r="E705" s="2">
        <f t="shared" si="32"/>
        <v>53.676636528381742</v>
      </c>
    </row>
    <row r="706" spans="1:5" x14ac:dyDescent="0.25">
      <c r="A706" s="1">
        <v>44953</v>
      </c>
      <c r="B706" s="2">
        <v>4070.56</v>
      </c>
      <c r="C706" s="3">
        <f t="shared" si="30"/>
        <v>2.4948096630160129E-3</v>
      </c>
      <c r="D706" s="4">
        <f t="shared" si="31"/>
        <v>4105.375</v>
      </c>
      <c r="E706" s="2">
        <f t="shared" si="32"/>
        <v>46.959709592372938</v>
      </c>
    </row>
    <row r="707" spans="1:5" x14ac:dyDescent="0.25">
      <c r="A707" s="1">
        <v>44956</v>
      </c>
      <c r="B707" s="2">
        <v>4017.77</v>
      </c>
      <c r="C707" s="3">
        <f t="shared" ref="C707:C770" si="33">(B707-B706)/B706</f>
        <v>-1.2968731575016696E-2</v>
      </c>
      <c r="D707" s="4">
        <f t="shared" ref="D707:D770" si="34">AVERAGE(B706:B715)</f>
        <v>4107.482</v>
      </c>
      <c r="E707" s="2">
        <f t="shared" ref="E707:E770" si="35">_xlfn.STDEV.P(B706:B715)</f>
        <v>45.340612435210907</v>
      </c>
    </row>
    <row r="708" spans="1:5" x14ac:dyDescent="0.25">
      <c r="A708" s="1">
        <v>44957</v>
      </c>
      <c r="B708" s="2">
        <v>4076.6</v>
      </c>
      <c r="C708" s="3">
        <f t="shared" si="33"/>
        <v>1.4642450911824203E-2</v>
      </c>
      <c r="D708" s="4">
        <f t="shared" si="34"/>
        <v>4109.4719999999998</v>
      </c>
      <c r="E708" s="2">
        <f t="shared" si="35"/>
        <v>44.096059642557648</v>
      </c>
    </row>
    <row r="709" spans="1:5" x14ac:dyDescent="0.25">
      <c r="A709" s="1">
        <v>44958</v>
      </c>
      <c r="B709" s="2">
        <v>4119.21</v>
      </c>
      <c r="C709" s="3">
        <f t="shared" si="33"/>
        <v>1.045233773242411E-2</v>
      </c>
      <c r="D709" s="4">
        <f t="shared" si="34"/>
        <v>4121.424</v>
      </c>
      <c r="E709" s="2">
        <f t="shared" si="35"/>
        <v>32.219103091178717</v>
      </c>
    </row>
    <row r="710" spans="1:5" x14ac:dyDescent="0.25">
      <c r="A710" s="1">
        <v>44959</v>
      </c>
      <c r="B710" s="2">
        <v>4179.76</v>
      </c>
      <c r="C710" s="3">
        <f t="shared" si="33"/>
        <v>1.4699420519954112E-2</v>
      </c>
      <c r="D710" s="4">
        <f t="shared" si="34"/>
        <v>4127.3769999999995</v>
      </c>
      <c r="E710" s="2">
        <f t="shared" si="35"/>
        <v>28.693900763054199</v>
      </c>
    </row>
    <row r="711" spans="1:5" x14ac:dyDescent="0.25">
      <c r="A711" s="1">
        <v>44960</v>
      </c>
      <c r="B711" s="2">
        <v>4136.4799999999996</v>
      </c>
      <c r="C711" s="3">
        <f t="shared" si="33"/>
        <v>-1.0354661511665898E-2</v>
      </c>
      <c r="D711" s="4">
        <f t="shared" si="34"/>
        <v>4130.2159999999994</v>
      </c>
      <c r="E711" s="2">
        <f t="shared" si="35"/>
        <v>29.146303436285084</v>
      </c>
    </row>
    <row r="712" spans="1:5" x14ac:dyDescent="0.25">
      <c r="A712" s="1">
        <v>44963</v>
      </c>
      <c r="B712" s="2">
        <v>4111.08</v>
      </c>
      <c r="C712" s="3">
        <f t="shared" si="33"/>
        <v>-6.1404865973000329E-3</v>
      </c>
      <c r="D712" s="4">
        <f t="shared" si="34"/>
        <v>4121.2809999999999</v>
      </c>
      <c r="E712" s="2">
        <f t="shared" si="35"/>
        <v>26.127834755295009</v>
      </c>
    </row>
    <row r="713" spans="1:5" x14ac:dyDescent="0.25">
      <c r="A713" s="1">
        <v>44964</v>
      </c>
      <c r="B713" s="2">
        <v>4164</v>
      </c>
      <c r="C713" s="3">
        <f t="shared" si="33"/>
        <v>1.2872529846171828E-2</v>
      </c>
      <c r="D713" s="4">
        <f t="shared" si="34"/>
        <v>4115.5419999999995</v>
      </c>
      <c r="E713" s="2">
        <f t="shared" si="35"/>
        <v>28.366083903140421</v>
      </c>
    </row>
    <row r="714" spans="1:5" x14ac:dyDescent="0.25">
      <c r="A714" s="1">
        <v>44965</v>
      </c>
      <c r="B714" s="2">
        <v>4117.8599999999997</v>
      </c>
      <c r="C714" s="3">
        <f t="shared" si="33"/>
        <v>-1.1080691642651375E-2</v>
      </c>
      <c r="D714" s="4">
        <f t="shared" si="34"/>
        <v>4104.1679999999997</v>
      </c>
      <c r="E714" s="2">
        <f t="shared" si="35"/>
        <v>45.502166717641032</v>
      </c>
    </row>
    <row r="715" spans="1:5" x14ac:dyDescent="0.25">
      <c r="A715" s="1">
        <v>44966</v>
      </c>
      <c r="B715" s="2">
        <v>4081.5</v>
      </c>
      <c r="C715" s="3">
        <f t="shared" si="33"/>
        <v>-8.8298290859814745E-3</v>
      </c>
      <c r="D715" s="4">
        <f t="shared" si="34"/>
        <v>4086.873000000001</v>
      </c>
      <c r="E715" s="2">
        <f t="shared" si="35"/>
        <v>51.893270478935868</v>
      </c>
    </row>
    <row r="716" spans="1:5" x14ac:dyDescent="0.25">
      <c r="A716" s="1">
        <v>44967</v>
      </c>
      <c r="B716" s="2">
        <v>4090.46</v>
      </c>
      <c r="C716" s="3">
        <f t="shared" si="33"/>
        <v>2.1952713463187644E-3</v>
      </c>
      <c r="D716" s="4">
        <f t="shared" si="34"/>
        <v>4076.3190000000004</v>
      </c>
      <c r="E716" s="2">
        <f t="shared" si="35"/>
        <v>55.148165599591778</v>
      </c>
    </row>
    <row r="717" spans="1:5" x14ac:dyDescent="0.25">
      <c r="A717" s="1">
        <v>44970</v>
      </c>
      <c r="B717" s="2">
        <v>4137.29</v>
      </c>
      <c r="C717" s="3">
        <f t="shared" si="33"/>
        <v>1.1448590134116927E-2</v>
      </c>
      <c r="D717" s="4">
        <f t="shared" si="34"/>
        <v>4065.1730000000002</v>
      </c>
      <c r="E717" s="2">
        <f t="shared" si="35"/>
        <v>63.591863952867442</v>
      </c>
    </row>
    <row r="718" spans="1:5" x14ac:dyDescent="0.25">
      <c r="A718" s="1">
        <v>44971</v>
      </c>
      <c r="B718" s="2">
        <v>4136.13</v>
      </c>
      <c r="C718" s="3">
        <f t="shared" si="33"/>
        <v>-2.8037676836766446E-4</v>
      </c>
      <c r="D718" s="4">
        <f t="shared" si="34"/>
        <v>4054.3509999999997</v>
      </c>
      <c r="E718" s="2">
        <f t="shared" si="35"/>
        <v>67.458539036952217</v>
      </c>
    </row>
    <row r="719" spans="1:5" x14ac:dyDescent="0.25">
      <c r="A719" s="1">
        <v>44972</v>
      </c>
      <c r="B719" s="2">
        <v>4147.6000000000004</v>
      </c>
      <c r="C719" s="3">
        <f t="shared" si="33"/>
        <v>2.7731236687435486E-3</v>
      </c>
      <c r="D719" s="4">
        <f t="shared" si="34"/>
        <v>4037.6370000000002</v>
      </c>
      <c r="E719" s="2">
        <f t="shared" si="35"/>
        <v>65.516332017291745</v>
      </c>
    </row>
    <row r="720" spans="1:5" x14ac:dyDescent="0.25">
      <c r="A720" s="1">
        <v>44973</v>
      </c>
      <c r="B720" s="2">
        <v>4090.41</v>
      </c>
      <c r="C720" s="3">
        <f t="shared" si="33"/>
        <v>-1.3788697077828264E-2</v>
      </c>
      <c r="D720" s="4">
        <f t="shared" si="34"/>
        <v>4019.1630000000005</v>
      </c>
      <c r="E720" s="2">
        <f t="shared" si="35"/>
        <v>61.031700623528508</v>
      </c>
    </row>
    <row r="721" spans="1:5" x14ac:dyDescent="0.25">
      <c r="A721" s="1">
        <v>44974</v>
      </c>
      <c r="B721" s="2">
        <v>4079.09</v>
      </c>
      <c r="C721" s="3">
        <f t="shared" si="33"/>
        <v>-2.7674487398573026E-3</v>
      </c>
      <c r="D721" s="4">
        <f t="shared" si="34"/>
        <v>4002.5379999999996</v>
      </c>
      <c r="E721" s="2">
        <f t="shared" si="35"/>
        <v>44.066470882066348</v>
      </c>
    </row>
    <row r="722" spans="1:5" x14ac:dyDescent="0.25">
      <c r="A722" s="1">
        <v>44978</v>
      </c>
      <c r="B722" s="2">
        <v>3997.34</v>
      </c>
      <c r="C722" s="3">
        <f t="shared" si="33"/>
        <v>-2.0041234687148357E-2</v>
      </c>
      <c r="D722" s="4">
        <f t="shared" si="34"/>
        <v>3998.0610000000001</v>
      </c>
      <c r="E722" s="2">
        <f t="shared" si="35"/>
        <v>36.543668795018426</v>
      </c>
    </row>
    <row r="723" spans="1:5" x14ac:dyDescent="0.25">
      <c r="A723" s="1">
        <v>44979</v>
      </c>
      <c r="B723" s="2">
        <v>3991.05</v>
      </c>
      <c r="C723" s="3">
        <f t="shared" si="33"/>
        <v>-1.5735464083615513E-3</v>
      </c>
      <c r="D723" s="4">
        <f t="shared" si="34"/>
        <v>3994.9939999999997</v>
      </c>
      <c r="E723" s="2">
        <f t="shared" si="35"/>
        <v>30.382005266275655</v>
      </c>
    </row>
    <row r="724" spans="1:5" x14ac:dyDescent="0.25">
      <c r="A724" s="1">
        <v>44980</v>
      </c>
      <c r="B724" s="2">
        <v>4012.32</v>
      </c>
      <c r="C724" s="3">
        <f t="shared" si="33"/>
        <v>5.3294245875145588E-3</v>
      </c>
      <c r="D724" s="4">
        <f t="shared" si="34"/>
        <v>3993.8969999999999</v>
      </c>
      <c r="E724" s="2">
        <f t="shared" si="35"/>
        <v>30.475396650412961</v>
      </c>
    </row>
    <row r="725" spans="1:5" x14ac:dyDescent="0.25">
      <c r="A725" s="1">
        <v>44981</v>
      </c>
      <c r="B725" s="2">
        <v>3970.04</v>
      </c>
      <c r="C725" s="3">
        <f t="shared" si="33"/>
        <v>-1.0537544363360898E-2</v>
      </c>
      <c r="D725" s="4">
        <f t="shared" si="34"/>
        <v>3993.9929999999999</v>
      </c>
      <c r="E725" s="2">
        <f t="shared" si="35"/>
        <v>30.467788252513532</v>
      </c>
    </row>
    <row r="726" spans="1:5" x14ac:dyDescent="0.25">
      <c r="A726" s="1">
        <v>44984</v>
      </c>
      <c r="B726" s="2">
        <v>3982.24</v>
      </c>
      <c r="C726" s="3">
        <f t="shared" si="33"/>
        <v>3.0730168965551526E-3</v>
      </c>
      <c r="D726" s="4">
        <f t="shared" si="34"/>
        <v>3984.5929999999994</v>
      </c>
      <c r="E726" s="2">
        <f t="shared" si="35"/>
        <v>37.134600051703778</v>
      </c>
    </row>
    <row r="727" spans="1:5" x14ac:dyDescent="0.25">
      <c r="A727" s="1">
        <v>44985</v>
      </c>
      <c r="B727" s="2">
        <v>3970.15</v>
      </c>
      <c r="C727" s="3">
        <f t="shared" si="33"/>
        <v>-3.0359797500903239E-3</v>
      </c>
      <c r="D727" s="4">
        <f t="shared" si="34"/>
        <v>3973.7479999999996</v>
      </c>
      <c r="E727" s="2">
        <f t="shared" si="35"/>
        <v>52.470556657996255</v>
      </c>
    </row>
    <row r="728" spans="1:5" x14ac:dyDescent="0.25">
      <c r="A728" s="1">
        <v>44986</v>
      </c>
      <c r="B728" s="2">
        <v>3951.39</v>
      </c>
      <c r="C728" s="3">
        <f t="shared" si="33"/>
        <v>-4.7252622696875978E-3</v>
      </c>
      <c r="D728" s="4">
        <f t="shared" si="34"/>
        <v>3961.0999999999995</v>
      </c>
      <c r="E728" s="2">
        <f t="shared" si="35"/>
        <v>63.072123953454998</v>
      </c>
    </row>
    <row r="729" spans="1:5" x14ac:dyDescent="0.25">
      <c r="A729" s="1">
        <v>44987</v>
      </c>
      <c r="B729" s="2">
        <v>3981.35</v>
      </c>
      <c r="C729" s="3">
        <f t="shared" si="33"/>
        <v>7.5821419804170277E-3</v>
      </c>
      <c r="D729" s="4">
        <f t="shared" si="34"/>
        <v>3956.0140000000001</v>
      </c>
      <c r="E729" s="2">
        <f t="shared" si="35"/>
        <v>64.178211131193052</v>
      </c>
    </row>
    <row r="730" spans="1:5" x14ac:dyDescent="0.25">
      <c r="A730" s="1">
        <v>44988</v>
      </c>
      <c r="B730" s="2">
        <v>4045.64</v>
      </c>
      <c r="C730" s="3">
        <f t="shared" si="33"/>
        <v>1.6147789066522655E-2</v>
      </c>
      <c r="D730" s="4">
        <f t="shared" si="34"/>
        <v>3950.0680000000002</v>
      </c>
      <c r="E730" s="2">
        <f t="shared" si="35"/>
        <v>67.022575569728701</v>
      </c>
    </row>
    <row r="731" spans="1:5" x14ac:dyDescent="0.25">
      <c r="A731" s="1">
        <v>44991</v>
      </c>
      <c r="B731" s="2">
        <v>4048.42</v>
      </c>
      <c r="C731" s="3">
        <f t="shared" si="33"/>
        <v>6.8715950999105211E-4</v>
      </c>
      <c r="D731" s="4">
        <f t="shared" si="34"/>
        <v>3947.9610000000002</v>
      </c>
      <c r="E731" s="2">
        <f t="shared" si="35"/>
        <v>66.333689246113806</v>
      </c>
    </row>
    <row r="732" spans="1:5" x14ac:dyDescent="0.25">
      <c r="A732" s="1">
        <v>44992</v>
      </c>
      <c r="B732" s="2">
        <v>3986.37</v>
      </c>
      <c r="C732" s="3">
        <f t="shared" si="33"/>
        <v>-1.532696706369403E-2</v>
      </c>
      <c r="D732" s="4">
        <f t="shared" si="34"/>
        <v>3935.0610000000001</v>
      </c>
      <c r="E732" s="2">
        <f t="shared" si="35"/>
        <v>58.118242652372068</v>
      </c>
    </row>
    <row r="733" spans="1:5" x14ac:dyDescent="0.25">
      <c r="A733" s="1">
        <v>44993</v>
      </c>
      <c r="B733" s="2">
        <v>3992.01</v>
      </c>
      <c r="C733" s="3">
        <f t="shared" si="33"/>
        <v>1.4148210025663266E-3</v>
      </c>
      <c r="D733" s="4">
        <f t="shared" si="34"/>
        <v>3925.3760000000002</v>
      </c>
      <c r="E733" s="2">
        <f t="shared" si="35"/>
        <v>45.012879534639865</v>
      </c>
    </row>
    <row r="734" spans="1:5" x14ac:dyDescent="0.25">
      <c r="A734" s="1">
        <v>44994</v>
      </c>
      <c r="B734" s="2">
        <v>3918.32</v>
      </c>
      <c r="C734" s="3">
        <f t="shared" si="33"/>
        <v>-1.8459372596762044E-2</v>
      </c>
      <c r="D734" s="4">
        <f t="shared" si="34"/>
        <v>3927.0260000000003</v>
      </c>
      <c r="E734" s="2">
        <f t="shared" si="35"/>
        <v>47.454631217616672</v>
      </c>
    </row>
    <row r="735" spans="1:5" x14ac:dyDescent="0.25">
      <c r="A735" s="1">
        <v>44995</v>
      </c>
      <c r="B735" s="2">
        <v>3861.59</v>
      </c>
      <c r="C735" s="3">
        <f t="shared" si="33"/>
        <v>-1.447814369423631E-2</v>
      </c>
      <c r="D735" s="4">
        <f t="shared" si="34"/>
        <v>3921.5219999999999</v>
      </c>
      <c r="E735" s="2">
        <f t="shared" si="35"/>
        <v>42.535212424531238</v>
      </c>
    </row>
    <row r="736" spans="1:5" x14ac:dyDescent="0.25">
      <c r="A736" s="1">
        <v>44998</v>
      </c>
      <c r="B736" s="2">
        <v>3855.76</v>
      </c>
      <c r="C736" s="3">
        <f t="shared" si="33"/>
        <v>-1.5097408062481846E-3</v>
      </c>
      <c r="D736" s="4">
        <f t="shared" si="34"/>
        <v>3924.5619999999994</v>
      </c>
      <c r="E736" s="2">
        <f t="shared" si="35"/>
        <v>43.277598547054289</v>
      </c>
    </row>
    <row r="737" spans="1:5" x14ac:dyDescent="0.25">
      <c r="A737" s="1">
        <v>44999</v>
      </c>
      <c r="B737" s="2">
        <v>3919.29</v>
      </c>
      <c r="C737" s="3">
        <f t="shared" si="33"/>
        <v>1.6476647924144588E-2</v>
      </c>
      <c r="D737" s="4">
        <f t="shared" si="34"/>
        <v>3935.5019999999995</v>
      </c>
      <c r="E737" s="2">
        <f t="shared" si="35"/>
        <v>39.651930293492605</v>
      </c>
    </row>
    <row r="738" spans="1:5" x14ac:dyDescent="0.25">
      <c r="A738" s="1">
        <v>45000</v>
      </c>
      <c r="B738" s="2">
        <v>3891.93</v>
      </c>
      <c r="C738" s="3">
        <f t="shared" si="33"/>
        <v>-6.9808562265104464E-3</v>
      </c>
      <c r="D738" s="4">
        <f t="shared" si="34"/>
        <v>3947.6790000000001</v>
      </c>
      <c r="E738" s="2">
        <f t="shared" si="35"/>
        <v>31.060471165132103</v>
      </c>
    </row>
    <row r="739" spans="1:5" x14ac:dyDescent="0.25">
      <c r="A739" s="1">
        <v>45001</v>
      </c>
      <c r="B739" s="2">
        <v>3960.28</v>
      </c>
      <c r="C739" s="3">
        <f t="shared" si="33"/>
        <v>1.7561980816715707E-2</v>
      </c>
      <c r="D739" s="4">
        <f t="shared" si="34"/>
        <v>3952.8769999999995</v>
      </c>
      <c r="E739" s="2">
        <f t="shared" si="35"/>
        <v>30.212475254437578</v>
      </c>
    </row>
    <row r="740" spans="1:5" x14ac:dyDescent="0.25">
      <c r="A740" s="1">
        <v>45002</v>
      </c>
      <c r="B740" s="2">
        <v>3916.64</v>
      </c>
      <c r="C740" s="3">
        <f t="shared" si="33"/>
        <v>-1.1019422869090146E-2</v>
      </c>
      <c r="D740" s="4">
        <f t="shared" si="34"/>
        <v>3966.4649999999992</v>
      </c>
      <c r="E740" s="2">
        <f t="shared" si="35"/>
        <v>30.301842930752596</v>
      </c>
    </row>
    <row r="741" spans="1:5" x14ac:dyDescent="0.25">
      <c r="A741" s="1">
        <v>45005</v>
      </c>
      <c r="B741" s="2">
        <v>3951.57</v>
      </c>
      <c r="C741" s="3">
        <f t="shared" si="33"/>
        <v>8.9183585930798573E-3</v>
      </c>
      <c r="D741" s="4">
        <f t="shared" si="34"/>
        <v>3975.5200000000004</v>
      </c>
      <c r="E741" s="2">
        <f t="shared" si="35"/>
        <v>39.295401257653566</v>
      </c>
    </row>
    <row r="742" spans="1:5" x14ac:dyDescent="0.25">
      <c r="A742" s="1">
        <v>45006</v>
      </c>
      <c r="B742" s="2">
        <v>4002.87</v>
      </c>
      <c r="C742" s="3">
        <f t="shared" si="33"/>
        <v>1.2982181765728488E-2</v>
      </c>
      <c r="D742" s="4">
        <f t="shared" si="34"/>
        <v>3994.7869999999994</v>
      </c>
      <c r="E742" s="2">
        <f t="shared" si="35"/>
        <v>51.148824434194097</v>
      </c>
    </row>
    <row r="743" spans="1:5" x14ac:dyDescent="0.25">
      <c r="A743" s="1">
        <v>45007</v>
      </c>
      <c r="B743" s="2">
        <v>3936.97</v>
      </c>
      <c r="C743" s="3">
        <f t="shared" si="33"/>
        <v>-1.6463187662851927E-2</v>
      </c>
      <c r="D743" s="4">
        <f t="shared" si="34"/>
        <v>4012.0809999999997</v>
      </c>
      <c r="E743" s="2">
        <f t="shared" si="35"/>
        <v>61.750745493475769</v>
      </c>
    </row>
    <row r="744" spans="1:5" x14ac:dyDescent="0.25">
      <c r="A744" s="1">
        <v>45008</v>
      </c>
      <c r="B744" s="2">
        <v>3948.72</v>
      </c>
      <c r="C744" s="3">
        <f t="shared" si="33"/>
        <v>2.9845287111662016E-3</v>
      </c>
      <c r="D744" s="4">
        <f t="shared" si="34"/>
        <v>4021.8540000000003</v>
      </c>
      <c r="E744" s="2">
        <f t="shared" si="35"/>
        <v>67.027756370029451</v>
      </c>
    </row>
    <row r="745" spans="1:5" x14ac:dyDescent="0.25">
      <c r="A745" s="1">
        <v>45009</v>
      </c>
      <c r="B745" s="2">
        <v>3970.99</v>
      </c>
      <c r="C745" s="3">
        <f t="shared" si="33"/>
        <v>5.6398022650377801E-3</v>
      </c>
      <c r="D745" s="4">
        <f t="shared" si="34"/>
        <v>4037.1949999999997</v>
      </c>
      <c r="E745" s="2">
        <f t="shared" si="35"/>
        <v>63.296332950653778</v>
      </c>
    </row>
    <row r="746" spans="1:5" x14ac:dyDescent="0.25">
      <c r="A746" s="1">
        <v>45012</v>
      </c>
      <c r="B746" s="2">
        <v>3977.53</v>
      </c>
      <c r="C746" s="3">
        <f t="shared" si="33"/>
        <v>1.6469444647305631E-3</v>
      </c>
      <c r="D746" s="4">
        <f t="shared" si="34"/>
        <v>4052.8249999999998</v>
      </c>
      <c r="E746" s="2">
        <f t="shared" si="35"/>
        <v>58.646136829291819</v>
      </c>
    </row>
    <row r="747" spans="1:5" x14ac:dyDescent="0.25">
      <c r="A747" s="1">
        <v>45013</v>
      </c>
      <c r="B747" s="2">
        <v>3971.27</v>
      </c>
      <c r="C747" s="3">
        <f t="shared" si="33"/>
        <v>-1.5738410521102841E-3</v>
      </c>
      <c r="D747" s="4">
        <f t="shared" si="34"/>
        <v>4066.6370000000002</v>
      </c>
      <c r="E747" s="2">
        <f t="shared" si="35"/>
        <v>53.811721966501004</v>
      </c>
    </row>
    <row r="748" spans="1:5" x14ac:dyDescent="0.25">
      <c r="A748" s="1">
        <v>45014</v>
      </c>
      <c r="B748" s="2">
        <v>4027.81</v>
      </c>
      <c r="C748" s="3">
        <f t="shared" si="33"/>
        <v>1.4237259113583303E-2</v>
      </c>
      <c r="D748" s="4">
        <f t="shared" si="34"/>
        <v>4079.7780000000007</v>
      </c>
      <c r="E748" s="2">
        <f t="shared" si="35"/>
        <v>45.912571001850957</v>
      </c>
    </row>
    <row r="749" spans="1:5" x14ac:dyDescent="0.25">
      <c r="A749" s="1">
        <v>45015</v>
      </c>
      <c r="B749" s="2">
        <v>4050.83</v>
      </c>
      <c r="C749" s="3">
        <f t="shared" si="33"/>
        <v>5.7152646227106004E-3</v>
      </c>
      <c r="D749" s="4">
        <f t="shared" si="34"/>
        <v>4091.846</v>
      </c>
      <c r="E749" s="2">
        <f t="shared" si="35"/>
        <v>28.279757849034056</v>
      </c>
    </row>
    <row r="750" spans="1:5" x14ac:dyDescent="0.25">
      <c r="A750" s="1">
        <v>45016</v>
      </c>
      <c r="B750" s="2">
        <v>4109.3100000000004</v>
      </c>
      <c r="C750" s="3">
        <f t="shared" si="33"/>
        <v>1.4436547571732329E-2</v>
      </c>
      <c r="D750" s="4">
        <f t="shared" si="34"/>
        <v>4103.6869999999999</v>
      </c>
      <c r="E750" s="2">
        <f t="shared" si="35"/>
        <v>23.347969526277947</v>
      </c>
    </row>
    <row r="751" spans="1:5" x14ac:dyDescent="0.25">
      <c r="A751" s="1">
        <v>45019</v>
      </c>
      <c r="B751" s="2">
        <v>4124.51</v>
      </c>
      <c r="C751" s="3">
        <f t="shared" si="33"/>
        <v>3.6989178231868164E-3</v>
      </c>
      <c r="D751" s="4">
        <f t="shared" si="34"/>
        <v>4112.3680000000004</v>
      </c>
      <c r="E751" s="2">
        <f t="shared" si="35"/>
        <v>17.483200393520715</v>
      </c>
    </row>
    <row r="752" spans="1:5" x14ac:dyDescent="0.25">
      <c r="A752" s="1">
        <v>45020</v>
      </c>
      <c r="B752" s="2">
        <v>4100.6000000000004</v>
      </c>
      <c r="C752" s="3">
        <f t="shared" si="33"/>
        <v>-5.7970522559043025E-3</v>
      </c>
      <c r="D752" s="4">
        <f t="shared" si="34"/>
        <v>4116.5690000000004</v>
      </c>
      <c r="E752" s="2">
        <f t="shared" si="35"/>
        <v>20.947663091619564</v>
      </c>
    </row>
    <row r="753" spans="1:5" x14ac:dyDescent="0.25">
      <c r="A753" s="1">
        <v>45021</v>
      </c>
      <c r="B753" s="2">
        <v>4090.38</v>
      </c>
      <c r="C753" s="3">
        <f t="shared" si="33"/>
        <v>-2.4923181973370368E-3</v>
      </c>
      <c r="D753" s="4">
        <f t="shared" si="34"/>
        <v>4119.6050000000005</v>
      </c>
      <c r="E753" s="2">
        <f t="shared" si="35"/>
        <v>23.87421213359719</v>
      </c>
    </row>
    <row r="754" spans="1:5" x14ac:dyDescent="0.25">
      <c r="A754" s="1">
        <v>45022</v>
      </c>
      <c r="B754" s="2">
        <v>4105.0200000000004</v>
      </c>
      <c r="C754" s="3">
        <f t="shared" si="33"/>
        <v>3.5791295674241336E-3</v>
      </c>
      <c r="D754" s="4">
        <f t="shared" si="34"/>
        <v>4124.9970000000003</v>
      </c>
      <c r="E754" s="2">
        <f t="shared" si="35"/>
        <v>25.033798373399179</v>
      </c>
    </row>
    <row r="755" spans="1:5" x14ac:dyDescent="0.25">
      <c r="A755" s="1">
        <v>45026</v>
      </c>
      <c r="B755" s="2">
        <v>4109.1099999999997</v>
      </c>
      <c r="C755" s="3">
        <f t="shared" si="33"/>
        <v>9.963410653295807E-4</v>
      </c>
      <c r="D755" s="4">
        <f t="shared" si="34"/>
        <v>4128.9380000000001</v>
      </c>
      <c r="E755" s="2">
        <f t="shared" si="35"/>
        <v>22.21763254714606</v>
      </c>
    </row>
    <row r="756" spans="1:5" x14ac:dyDescent="0.25">
      <c r="A756" s="1">
        <v>45027</v>
      </c>
      <c r="B756" s="2">
        <v>4108.9399999999996</v>
      </c>
      <c r="C756" s="3">
        <f t="shared" si="33"/>
        <v>-4.1371489203275837E-5</v>
      </c>
      <c r="D756" s="4">
        <f t="shared" si="34"/>
        <v>4131.7880000000005</v>
      </c>
      <c r="E756" s="2">
        <f t="shared" si="35"/>
        <v>20.745917574308599</v>
      </c>
    </row>
    <row r="757" spans="1:5" x14ac:dyDescent="0.25">
      <c r="A757" s="1">
        <v>45028</v>
      </c>
      <c r="B757" s="2">
        <v>4091.95</v>
      </c>
      <c r="C757" s="3">
        <f t="shared" si="33"/>
        <v>-4.1348863697206048E-3</v>
      </c>
      <c r="D757" s="4">
        <f t="shared" si="34"/>
        <v>4134.5810000000001</v>
      </c>
      <c r="E757" s="2">
        <f t="shared" si="35"/>
        <v>19.337048094267249</v>
      </c>
    </row>
    <row r="758" spans="1:5" x14ac:dyDescent="0.25">
      <c r="A758" s="1">
        <v>45029</v>
      </c>
      <c r="B758" s="2">
        <v>4146.22</v>
      </c>
      <c r="C758" s="3">
        <f t="shared" si="33"/>
        <v>1.3262625398648673E-2</v>
      </c>
      <c r="D758" s="4">
        <f t="shared" si="34"/>
        <v>4130.8500000000004</v>
      </c>
      <c r="E758" s="2">
        <f t="shared" si="35"/>
        <v>26.278086307796499</v>
      </c>
    </row>
    <row r="759" spans="1:5" x14ac:dyDescent="0.25">
      <c r="A759" s="1">
        <v>45030</v>
      </c>
      <c r="B759" s="2">
        <v>4137.6400000000003</v>
      </c>
      <c r="C759" s="3">
        <f t="shared" si="33"/>
        <v>-2.0693547375681769E-3</v>
      </c>
      <c r="D759" s="4">
        <f t="shared" si="34"/>
        <v>4127.253999999999</v>
      </c>
      <c r="E759" s="2">
        <f t="shared" si="35"/>
        <v>32.964944471362365</v>
      </c>
    </row>
    <row r="760" spans="1:5" x14ac:dyDescent="0.25">
      <c r="A760" s="1">
        <v>45033</v>
      </c>
      <c r="B760" s="2">
        <v>4151.32</v>
      </c>
      <c r="C760" s="3">
        <f t="shared" si="33"/>
        <v>3.3062325383550477E-3</v>
      </c>
      <c r="D760" s="4">
        <f t="shared" si="34"/>
        <v>4126.1669999999995</v>
      </c>
      <c r="E760" s="2">
        <f t="shared" si="35"/>
        <v>32.497532229386344</v>
      </c>
    </row>
    <row r="761" spans="1:5" x14ac:dyDescent="0.25">
      <c r="A761" s="1">
        <v>45034</v>
      </c>
      <c r="B761" s="2">
        <v>4154.87</v>
      </c>
      <c r="C761" s="3">
        <f t="shared" si="33"/>
        <v>8.5514968732841167E-4</v>
      </c>
      <c r="D761" s="4">
        <f t="shared" si="34"/>
        <v>4129.3509999999997</v>
      </c>
      <c r="E761" s="2">
        <f t="shared" si="35"/>
        <v>34.934086062182871</v>
      </c>
    </row>
    <row r="762" spans="1:5" x14ac:dyDescent="0.25">
      <c r="A762" s="1">
        <v>45035</v>
      </c>
      <c r="B762" s="2">
        <v>4154.5200000000004</v>
      </c>
      <c r="C762" s="3">
        <f t="shared" si="33"/>
        <v>-8.4238496029828691E-5</v>
      </c>
      <c r="D762" s="4">
        <f t="shared" si="34"/>
        <v>4131.0060000000003</v>
      </c>
      <c r="E762" s="2">
        <f t="shared" si="35"/>
        <v>36.300950180401614</v>
      </c>
    </row>
    <row r="763" spans="1:5" x14ac:dyDescent="0.25">
      <c r="A763" s="1">
        <v>45036</v>
      </c>
      <c r="B763" s="2">
        <v>4129.79</v>
      </c>
      <c r="C763" s="3">
        <f t="shared" si="33"/>
        <v>-5.9525528821621921E-3</v>
      </c>
      <c r="D763" s="4">
        <f t="shared" si="34"/>
        <v>4127.4770000000008</v>
      </c>
      <c r="E763" s="2">
        <f t="shared" si="35"/>
        <v>35.516354556739081</v>
      </c>
    </row>
    <row r="764" spans="1:5" x14ac:dyDescent="0.25">
      <c r="A764" s="1">
        <v>45037</v>
      </c>
      <c r="B764" s="2">
        <v>4133.5200000000004</v>
      </c>
      <c r="C764" s="3">
        <f t="shared" si="33"/>
        <v>9.031936248575528E-4</v>
      </c>
      <c r="D764" s="4">
        <f t="shared" si="34"/>
        <v>4121.1000000000004</v>
      </c>
      <c r="E764" s="2">
        <f t="shared" si="35"/>
        <v>35.812011672063306</v>
      </c>
    </row>
    <row r="765" spans="1:5" x14ac:dyDescent="0.25">
      <c r="A765" s="1">
        <v>45040</v>
      </c>
      <c r="B765" s="2">
        <v>4137.04</v>
      </c>
      <c r="C765" s="3">
        <f t="shared" si="33"/>
        <v>8.5157444502494887E-4</v>
      </c>
      <c r="D765" s="4">
        <f t="shared" si="34"/>
        <v>4114.2430000000004</v>
      </c>
      <c r="E765" s="2">
        <f t="shared" si="35"/>
        <v>39.830786597806487</v>
      </c>
    </row>
    <row r="766" spans="1:5" x14ac:dyDescent="0.25">
      <c r="A766" s="1">
        <v>45041</v>
      </c>
      <c r="B766" s="2">
        <v>4071.63</v>
      </c>
      <c r="C766" s="3">
        <f t="shared" si="33"/>
        <v>-1.5810821263512041E-2</v>
      </c>
      <c r="D766" s="4">
        <f t="shared" si="34"/>
        <v>4114.5160000000005</v>
      </c>
      <c r="E766" s="2">
        <f t="shared" si="35"/>
        <v>39.97108409838291</v>
      </c>
    </row>
    <row r="767" spans="1:5" x14ac:dyDescent="0.25">
      <c r="A767" s="1">
        <v>45042</v>
      </c>
      <c r="B767" s="2">
        <v>4055.99</v>
      </c>
      <c r="C767" s="3">
        <f t="shared" si="33"/>
        <v>-3.8412134697898203E-3</v>
      </c>
      <c r="D767" s="4">
        <f t="shared" si="34"/>
        <v>4114.6240000000007</v>
      </c>
      <c r="E767" s="2">
        <f t="shared" si="35"/>
        <v>40.033207765553826</v>
      </c>
    </row>
    <row r="768" spans="1:5" x14ac:dyDescent="0.25">
      <c r="A768" s="1">
        <v>45043</v>
      </c>
      <c r="B768" s="2">
        <v>4135.3500000000004</v>
      </c>
      <c r="C768" s="3">
        <f t="shared" si="33"/>
        <v>1.9566123190639176E-2</v>
      </c>
      <c r="D768" s="4">
        <f t="shared" si="34"/>
        <v>4119.3779999999997</v>
      </c>
      <c r="E768" s="2">
        <f t="shared" si="35"/>
        <v>37.380147351234463</v>
      </c>
    </row>
    <row r="769" spans="1:5" x14ac:dyDescent="0.25">
      <c r="A769" s="1">
        <v>45044</v>
      </c>
      <c r="B769" s="2">
        <v>4169.4799999999996</v>
      </c>
      <c r="C769" s="3">
        <f t="shared" si="33"/>
        <v>8.2532312863479989E-3</v>
      </c>
      <c r="D769" s="4">
        <f t="shared" si="34"/>
        <v>4127.5429999999997</v>
      </c>
      <c r="E769" s="2">
        <f t="shared" si="35"/>
        <v>31.018613782695041</v>
      </c>
    </row>
    <row r="770" spans="1:5" x14ac:dyDescent="0.25">
      <c r="A770" s="1">
        <v>45047</v>
      </c>
      <c r="B770" s="2">
        <v>4167.87</v>
      </c>
      <c r="C770" s="3">
        <f t="shared" si="33"/>
        <v>-3.8613927875890346E-4</v>
      </c>
      <c r="D770" s="4">
        <f t="shared" si="34"/>
        <v>4127.0700000000006</v>
      </c>
      <c r="E770" s="2">
        <f t="shared" si="35"/>
        <v>30.931901655087401</v>
      </c>
    </row>
    <row r="771" spans="1:5" x14ac:dyDescent="0.25">
      <c r="A771" s="1">
        <v>45048</v>
      </c>
      <c r="B771" s="2">
        <v>4119.58</v>
      </c>
      <c r="C771" s="3">
        <f t="shared" ref="C771:C834" si="36">(B771-B770)/B770</f>
        <v>-1.1586253889876596E-2</v>
      </c>
      <c r="D771" s="4">
        <f t="shared" ref="D771:D834" si="37">AVERAGE(B770:B779)</f>
        <v>4122.5300000000007</v>
      </c>
      <c r="E771" s="2">
        <f t="shared" ref="E771:E834" si="38">_xlfn.STDEV.P(B770:B779)</f>
        <v>27.517342531574553</v>
      </c>
    </row>
    <row r="772" spans="1:5" x14ac:dyDescent="0.25">
      <c r="A772" s="1">
        <v>45049</v>
      </c>
      <c r="B772" s="2">
        <v>4090.75</v>
      </c>
      <c r="C772" s="3">
        <f t="shared" si="36"/>
        <v>-6.9982862330625764E-3</v>
      </c>
      <c r="D772" s="4">
        <f t="shared" si="37"/>
        <v>4119.3710000000001</v>
      </c>
      <c r="E772" s="2">
        <f t="shared" si="38"/>
        <v>23.67613881104776</v>
      </c>
    </row>
    <row r="773" spans="1:5" x14ac:dyDescent="0.25">
      <c r="A773" s="1">
        <v>45050</v>
      </c>
      <c r="B773" s="2">
        <v>4061.22</v>
      </c>
      <c r="C773" s="3">
        <f t="shared" si="36"/>
        <v>-7.2187251726456517E-3</v>
      </c>
      <c r="D773" s="4">
        <f t="shared" si="37"/>
        <v>4118.4030000000002</v>
      </c>
      <c r="E773" s="2">
        <f t="shared" si="38"/>
        <v>23.845086307245829</v>
      </c>
    </row>
    <row r="774" spans="1:5" x14ac:dyDescent="0.25">
      <c r="A774" s="1">
        <v>45051</v>
      </c>
      <c r="B774" s="2">
        <v>4136.25</v>
      </c>
      <c r="C774" s="3">
        <f t="shared" si="36"/>
        <v>1.8474744042430651E-2</v>
      </c>
      <c r="D774" s="4">
        <f t="shared" si="37"/>
        <v>4125.2049999999999</v>
      </c>
      <c r="E774" s="2">
        <f t="shared" si="38"/>
        <v>24.67390453495365</v>
      </c>
    </row>
    <row r="775" spans="1:5" x14ac:dyDescent="0.25">
      <c r="A775" s="1">
        <v>45054</v>
      </c>
      <c r="B775" s="2">
        <v>4138.12</v>
      </c>
      <c r="C775" s="3">
        <f t="shared" si="36"/>
        <v>4.5210033242668865E-4</v>
      </c>
      <c r="D775" s="4">
        <f t="shared" si="37"/>
        <v>4138.8880000000008</v>
      </c>
      <c r="E775" s="2">
        <f t="shared" si="38"/>
        <v>23.298250063041348</v>
      </c>
    </row>
    <row r="776" spans="1:5" x14ac:dyDescent="0.25">
      <c r="A776" s="1">
        <v>45055</v>
      </c>
      <c r="B776" s="2">
        <v>4119.17</v>
      </c>
      <c r="C776" s="3">
        <f t="shared" si="36"/>
        <v>-4.5793742085777642E-3</v>
      </c>
      <c r="D776" s="4">
        <f t="shared" si="37"/>
        <v>4144.4610000000002</v>
      </c>
      <c r="E776" s="2">
        <f t="shared" si="38"/>
        <v>28.15901754323119</v>
      </c>
    </row>
    <row r="777" spans="1:5" x14ac:dyDescent="0.25">
      <c r="A777" s="1">
        <v>45056</v>
      </c>
      <c r="B777" s="2">
        <v>4137.6400000000003</v>
      </c>
      <c r="C777" s="3">
        <f t="shared" si="36"/>
        <v>4.4839130213126079E-3</v>
      </c>
      <c r="D777" s="4">
        <f t="shared" si="37"/>
        <v>4149.9120000000003</v>
      </c>
      <c r="E777" s="2">
        <f t="shared" si="38"/>
        <v>31.483667130752146</v>
      </c>
    </row>
    <row r="778" spans="1:5" x14ac:dyDescent="0.25">
      <c r="A778" s="1">
        <v>45057</v>
      </c>
      <c r="B778" s="2">
        <v>4130.62</v>
      </c>
      <c r="C778" s="3">
        <f t="shared" si="36"/>
        <v>-1.6966193288929041E-3</v>
      </c>
      <c r="D778" s="4">
        <f t="shared" si="37"/>
        <v>4152.552999999999</v>
      </c>
      <c r="E778" s="2">
        <f t="shared" si="38"/>
        <v>29.859939400474403</v>
      </c>
    </row>
    <row r="779" spans="1:5" x14ac:dyDescent="0.25">
      <c r="A779" s="1">
        <v>45058</v>
      </c>
      <c r="B779" s="2">
        <v>4124.08</v>
      </c>
      <c r="C779" s="3">
        <f t="shared" si="36"/>
        <v>-1.5832974226629329E-3</v>
      </c>
      <c r="D779" s="4">
        <f t="shared" si="37"/>
        <v>4150.3130000000001</v>
      </c>
      <c r="E779" s="2">
        <f t="shared" si="38"/>
        <v>31.679403734919092</v>
      </c>
    </row>
    <row r="780" spans="1:5" x14ac:dyDescent="0.25">
      <c r="A780" s="1">
        <v>45061</v>
      </c>
      <c r="B780" s="2">
        <v>4136.28</v>
      </c>
      <c r="C780" s="3">
        <f t="shared" si="36"/>
        <v>2.9582355337432393E-3</v>
      </c>
      <c r="D780" s="4">
        <f t="shared" si="37"/>
        <v>4152.378999999999</v>
      </c>
      <c r="E780" s="2">
        <f t="shared" si="38"/>
        <v>30.994005049364073</v>
      </c>
    </row>
    <row r="781" spans="1:5" x14ac:dyDescent="0.25">
      <c r="A781" s="1">
        <v>45062</v>
      </c>
      <c r="B781" s="2">
        <v>4109.8999999999996</v>
      </c>
      <c r="C781" s="3">
        <f t="shared" si="36"/>
        <v>-6.3777113735047214E-3</v>
      </c>
      <c r="D781" s="4">
        <f t="shared" si="37"/>
        <v>4160.5159999999996</v>
      </c>
      <c r="E781" s="2">
        <f t="shared" si="38"/>
        <v>33.105699569711632</v>
      </c>
    </row>
    <row r="782" spans="1:5" x14ac:dyDescent="0.25">
      <c r="A782" s="1">
        <v>45063</v>
      </c>
      <c r="B782" s="2">
        <v>4158.7700000000004</v>
      </c>
      <c r="C782" s="3">
        <f t="shared" si="36"/>
        <v>1.1890800262780311E-2</v>
      </c>
      <c r="D782" s="4">
        <f t="shared" si="37"/>
        <v>4167.4399999999996</v>
      </c>
      <c r="E782" s="2">
        <f t="shared" si="38"/>
        <v>34.52308213355245</v>
      </c>
    </row>
    <row r="783" spans="1:5" x14ac:dyDescent="0.25">
      <c r="A783" s="1">
        <v>45064</v>
      </c>
      <c r="B783" s="2">
        <v>4198.05</v>
      </c>
      <c r="C783" s="3">
        <f t="shared" si="36"/>
        <v>9.4451003541912004E-3</v>
      </c>
      <c r="D783" s="4">
        <f t="shared" si="37"/>
        <v>4174.433</v>
      </c>
      <c r="E783" s="2">
        <f t="shared" si="38"/>
        <v>28.761210005839533</v>
      </c>
    </row>
    <row r="784" spans="1:5" x14ac:dyDescent="0.25">
      <c r="A784" s="1">
        <v>45065</v>
      </c>
      <c r="B784" s="2">
        <v>4191.9799999999996</v>
      </c>
      <c r="C784" s="3">
        <f t="shared" si="36"/>
        <v>-1.4459094103216061E-3</v>
      </c>
      <c r="D784" s="4">
        <f t="shared" si="37"/>
        <v>4180.6580000000004</v>
      </c>
      <c r="E784" s="2">
        <f t="shared" si="38"/>
        <v>31.320256640072564</v>
      </c>
    </row>
    <row r="785" spans="1:5" x14ac:dyDescent="0.25">
      <c r="A785" s="1">
        <v>45068</v>
      </c>
      <c r="B785" s="2">
        <v>4192.63</v>
      </c>
      <c r="C785" s="3">
        <f t="shared" si="36"/>
        <v>1.5505799168902184E-4</v>
      </c>
      <c r="D785" s="4">
        <f t="shared" si="37"/>
        <v>4189.09</v>
      </c>
      <c r="E785" s="2">
        <f t="shared" si="38"/>
        <v>43.750940332751789</v>
      </c>
    </row>
    <row r="786" spans="1:5" x14ac:dyDescent="0.25">
      <c r="A786" s="1">
        <v>45069</v>
      </c>
      <c r="B786" s="2">
        <v>4145.58</v>
      </c>
      <c r="C786" s="3">
        <f t="shared" si="36"/>
        <v>-1.1222073018606503E-2</v>
      </c>
      <c r="D786" s="4">
        <f t="shared" si="37"/>
        <v>4197.2710000000006</v>
      </c>
      <c r="E786" s="2">
        <f t="shared" si="38"/>
        <v>50.633880050811896</v>
      </c>
    </row>
    <row r="787" spans="1:5" x14ac:dyDescent="0.25">
      <c r="A787" s="1">
        <v>45070</v>
      </c>
      <c r="B787" s="2">
        <v>4115.24</v>
      </c>
      <c r="C787" s="3">
        <f t="shared" si="36"/>
        <v>-7.3186381640205104E-3</v>
      </c>
      <c r="D787" s="4">
        <f t="shared" si="37"/>
        <v>4206.393</v>
      </c>
      <c r="E787" s="2">
        <f t="shared" si="38"/>
        <v>56.815643629197872</v>
      </c>
    </row>
    <row r="788" spans="1:5" x14ac:dyDescent="0.25">
      <c r="A788" s="1">
        <v>45071</v>
      </c>
      <c r="B788" s="2">
        <v>4151.28</v>
      </c>
      <c r="C788" s="3">
        <f t="shared" si="36"/>
        <v>8.757690924466122E-3</v>
      </c>
      <c r="D788" s="4">
        <f t="shared" si="37"/>
        <v>4218.5869999999995</v>
      </c>
      <c r="E788" s="2">
        <f t="shared" si="38"/>
        <v>55.526143761295138</v>
      </c>
    </row>
    <row r="789" spans="1:5" x14ac:dyDescent="0.25">
      <c r="A789" s="1">
        <v>45072</v>
      </c>
      <c r="B789" s="2">
        <v>4205.45</v>
      </c>
      <c r="C789" s="3">
        <f t="shared" si="36"/>
        <v>1.3048987300302576E-2</v>
      </c>
      <c r="D789" s="4">
        <f t="shared" si="37"/>
        <v>4236.4560000000001</v>
      </c>
      <c r="E789" s="2">
        <f t="shared" si="38"/>
        <v>47.57570812925448</v>
      </c>
    </row>
    <row r="790" spans="1:5" x14ac:dyDescent="0.25">
      <c r="A790" s="1">
        <v>45076</v>
      </c>
      <c r="B790" s="2">
        <v>4205.5200000000004</v>
      </c>
      <c r="C790" s="3">
        <f t="shared" si="36"/>
        <v>1.6645067709904639E-5</v>
      </c>
      <c r="D790" s="4">
        <f t="shared" si="37"/>
        <v>4251.2140000000009</v>
      </c>
      <c r="E790" s="2">
        <f t="shared" si="38"/>
        <v>41.347070803141527</v>
      </c>
    </row>
    <row r="791" spans="1:5" x14ac:dyDescent="0.25">
      <c r="A791" s="1">
        <v>45077</v>
      </c>
      <c r="B791" s="2">
        <v>4179.83</v>
      </c>
      <c r="C791" s="3">
        <f t="shared" si="36"/>
        <v>-6.1086381707851842E-3</v>
      </c>
      <c r="D791" s="4">
        <f t="shared" si="37"/>
        <v>4264.5619999999999</v>
      </c>
      <c r="E791" s="2">
        <f t="shared" si="38"/>
        <v>45.7316789107944</v>
      </c>
    </row>
    <row r="792" spans="1:5" x14ac:dyDescent="0.25">
      <c r="A792" s="1">
        <v>45078</v>
      </c>
      <c r="B792" s="2">
        <v>4221.0200000000004</v>
      </c>
      <c r="C792" s="3">
        <f t="shared" si="36"/>
        <v>9.8544677654355591E-3</v>
      </c>
      <c r="D792" s="4">
        <f t="shared" si="37"/>
        <v>4280.9110000000001</v>
      </c>
      <c r="E792" s="2">
        <f t="shared" si="38"/>
        <v>50.660037001565662</v>
      </c>
    </row>
    <row r="793" spans="1:5" x14ac:dyDescent="0.25">
      <c r="A793" s="1">
        <v>45079</v>
      </c>
      <c r="B793" s="2">
        <v>4282.37</v>
      </c>
      <c r="C793" s="3">
        <f t="shared" si="36"/>
        <v>1.4534401637518762E-2</v>
      </c>
      <c r="D793" s="4">
        <f t="shared" si="37"/>
        <v>4300.1870000000008</v>
      </c>
      <c r="E793" s="2">
        <f t="shared" si="38"/>
        <v>44.873625004004268</v>
      </c>
    </row>
    <row r="794" spans="1:5" x14ac:dyDescent="0.25">
      <c r="A794" s="1">
        <v>45082</v>
      </c>
      <c r="B794" s="2">
        <v>4273.79</v>
      </c>
      <c r="C794" s="3">
        <f t="shared" si="36"/>
        <v>-2.0035634473433935E-3</v>
      </c>
      <c r="D794" s="4">
        <f t="shared" si="37"/>
        <v>4320.6689999999999</v>
      </c>
      <c r="E794" s="2">
        <f t="shared" si="38"/>
        <v>50.460441426923744</v>
      </c>
    </row>
    <row r="795" spans="1:5" x14ac:dyDescent="0.25">
      <c r="A795" s="1">
        <v>45083</v>
      </c>
      <c r="B795" s="2">
        <v>4283.8500000000004</v>
      </c>
      <c r="C795" s="3">
        <f t="shared" si="36"/>
        <v>2.35388261940816E-3</v>
      </c>
      <c r="D795" s="4">
        <f t="shared" si="37"/>
        <v>4333.3909999999987</v>
      </c>
      <c r="E795" s="2">
        <f t="shared" si="38"/>
        <v>55.031081663002034</v>
      </c>
    </row>
    <row r="796" spans="1:5" x14ac:dyDescent="0.25">
      <c r="A796" s="1">
        <v>45084</v>
      </c>
      <c r="B796" s="2">
        <v>4267.5200000000004</v>
      </c>
      <c r="C796" s="3">
        <f t="shared" si="36"/>
        <v>-3.8119915496574171E-3</v>
      </c>
      <c r="D796" s="4">
        <f t="shared" si="37"/>
        <v>4344.8829999999998</v>
      </c>
      <c r="E796" s="2">
        <f t="shared" si="38"/>
        <v>53.358646356518399</v>
      </c>
    </row>
    <row r="797" spans="1:5" x14ac:dyDescent="0.25">
      <c r="A797" s="1">
        <v>45085</v>
      </c>
      <c r="B797" s="2">
        <v>4293.93</v>
      </c>
      <c r="C797" s="3">
        <f t="shared" si="36"/>
        <v>6.1886060287942067E-3</v>
      </c>
      <c r="D797" s="4">
        <f t="shared" si="37"/>
        <v>4353.0670000000009</v>
      </c>
      <c r="E797" s="2">
        <f t="shared" si="38"/>
        <v>49.507147978852466</v>
      </c>
    </row>
    <row r="798" spans="1:5" x14ac:dyDescent="0.25">
      <c r="A798" s="1">
        <v>45086</v>
      </c>
      <c r="B798" s="2">
        <v>4298.8599999999997</v>
      </c>
      <c r="C798" s="3">
        <f t="shared" si="36"/>
        <v>1.1481323635921827E-3</v>
      </c>
      <c r="D798" s="4">
        <f t="shared" si="37"/>
        <v>4364.5040000000008</v>
      </c>
      <c r="E798" s="2">
        <f t="shared" si="38"/>
        <v>40.882763409534874</v>
      </c>
    </row>
    <row r="799" spans="1:5" x14ac:dyDescent="0.25">
      <c r="A799" s="1">
        <v>45089</v>
      </c>
      <c r="B799" s="2">
        <v>4338.93</v>
      </c>
      <c r="C799" s="3">
        <f t="shared" si="36"/>
        <v>9.3210758201012871E-3</v>
      </c>
      <c r="D799" s="4">
        <f t="shared" si="37"/>
        <v>4369.9440000000004</v>
      </c>
      <c r="E799" s="2">
        <f t="shared" si="38"/>
        <v>34.203766225373592</v>
      </c>
    </row>
    <row r="800" spans="1:5" x14ac:dyDescent="0.25">
      <c r="A800" s="1">
        <v>45090</v>
      </c>
      <c r="B800" s="2">
        <v>4369.01</v>
      </c>
      <c r="C800" s="3">
        <f t="shared" si="36"/>
        <v>6.9325847616808576E-3</v>
      </c>
      <c r="D800" s="4">
        <f t="shared" si="37"/>
        <v>4372.9400000000005</v>
      </c>
      <c r="E800" s="2">
        <f t="shared" si="38"/>
        <v>28.718398980444658</v>
      </c>
    </row>
    <row r="801" spans="1:5" x14ac:dyDescent="0.25">
      <c r="A801" s="1">
        <v>45091</v>
      </c>
      <c r="B801" s="2">
        <v>4372.59</v>
      </c>
      <c r="C801" s="3">
        <f t="shared" si="36"/>
        <v>8.1940760034880373E-4</v>
      </c>
      <c r="D801" s="4">
        <f t="shared" si="37"/>
        <v>4376.887999999999</v>
      </c>
      <c r="E801" s="2">
        <f t="shared" si="38"/>
        <v>26.390979822659226</v>
      </c>
    </row>
    <row r="802" spans="1:5" x14ac:dyDescent="0.25">
      <c r="A802" s="1">
        <v>45092</v>
      </c>
      <c r="B802" s="2">
        <v>4425.84</v>
      </c>
      <c r="C802" s="3">
        <f t="shared" si="36"/>
        <v>1.2178136985173546E-2</v>
      </c>
      <c r="D802" s="4">
        <f t="shared" si="37"/>
        <v>4377.6729999999998</v>
      </c>
      <c r="E802" s="2">
        <f t="shared" si="38"/>
        <v>26.261404779638251</v>
      </c>
    </row>
    <row r="803" spans="1:5" x14ac:dyDescent="0.25">
      <c r="A803" s="1">
        <v>45093</v>
      </c>
      <c r="B803" s="2">
        <v>4409.59</v>
      </c>
      <c r="C803" s="3">
        <f t="shared" si="36"/>
        <v>-3.671619398803391E-3</v>
      </c>
      <c r="D803" s="4">
        <f t="shared" si="37"/>
        <v>4380.058</v>
      </c>
      <c r="E803" s="2">
        <f t="shared" si="38"/>
        <v>26.769562865314139</v>
      </c>
    </row>
    <row r="804" spans="1:5" x14ac:dyDescent="0.25">
      <c r="A804" s="1">
        <v>45097</v>
      </c>
      <c r="B804" s="2">
        <v>4388.71</v>
      </c>
      <c r="C804" s="3">
        <f t="shared" si="36"/>
        <v>-4.7351341054383987E-3</v>
      </c>
      <c r="D804" s="4">
        <f t="shared" si="37"/>
        <v>4382.5119999999997</v>
      </c>
      <c r="E804" s="2">
        <f t="shared" si="38"/>
        <v>31.551649655762954</v>
      </c>
    </row>
    <row r="805" spans="1:5" x14ac:dyDescent="0.25">
      <c r="A805" s="1">
        <v>45098</v>
      </c>
      <c r="B805" s="2">
        <v>4365.6899999999996</v>
      </c>
      <c r="C805" s="3">
        <f t="shared" si="36"/>
        <v>-5.2452770859775276E-3</v>
      </c>
      <c r="D805" s="4">
        <f t="shared" si="37"/>
        <v>4387.1119999999992</v>
      </c>
      <c r="E805" s="2">
        <f t="shared" si="38"/>
        <v>37.882241169181228</v>
      </c>
    </row>
    <row r="806" spans="1:5" x14ac:dyDescent="0.25">
      <c r="A806" s="1">
        <v>45099</v>
      </c>
      <c r="B806" s="2">
        <v>4381.8900000000003</v>
      </c>
      <c r="C806" s="3">
        <f t="shared" si="36"/>
        <v>3.7107536265746604E-3</v>
      </c>
      <c r="D806" s="4">
        <f t="shared" si="37"/>
        <v>4392.9230000000007</v>
      </c>
      <c r="E806" s="2">
        <f t="shared" si="38"/>
        <v>41.923091978049598</v>
      </c>
    </row>
    <row r="807" spans="1:5" x14ac:dyDescent="0.25">
      <c r="A807" s="1">
        <v>45100</v>
      </c>
      <c r="B807" s="2">
        <v>4348.33</v>
      </c>
      <c r="C807" s="3">
        <f t="shared" si="36"/>
        <v>-7.6587956338475859E-3</v>
      </c>
      <c r="D807" s="4">
        <f t="shared" si="37"/>
        <v>4397.5130000000008</v>
      </c>
      <c r="E807" s="2">
        <f t="shared" si="38"/>
        <v>41.1965969589723</v>
      </c>
    </row>
    <row r="808" spans="1:5" x14ac:dyDescent="0.25">
      <c r="A808" s="1">
        <v>45103</v>
      </c>
      <c r="B808" s="2">
        <v>4328.82</v>
      </c>
      <c r="C808" s="3">
        <f t="shared" si="36"/>
        <v>-4.4867799822001135E-3</v>
      </c>
      <c r="D808" s="4">
        <f t="shared" si="37"/>
        <v>4399.2189999999991</v>
      </c>
      <c r="E808" s="2">
        <f t="shared" si="38"/>
        <v>40.866218922234623</v>
      </c>
    </row>
    <row r="809" spans="1:5" x14ac:dyDescent="0.25">
      <c r="A809" s="1">
        <v>45104</v>
      </c>
      <c r="B809" s="2">
        <v>4378.41</v>
      </c>
      <c r="C809" s="3">
        <f t="shared" si="36"/>
        <v>1.1455777787018206E-2</v>
      </c>
      <c r="D809" s="4">
        <f t="shared" si="37"/>
        <v>4405.3389999999999</v>
      </c>
      <c r="E809" s="2">
        <f t="shared" si="38"/>
        <v>37.205592173758077</v>
      </c>
    </row>
    <row r="810" spans="1:5" x14ac:dyDescent="0.25">
      <c r="A810" s="1">
        <v>45105</v>
      </c>
      <c r="B810" s="2">
        <v>4376.8599999999997</v>
      </c>
      <c r="C810" s="3">
        <f t="shared" si="36"/>
        <v>-3.5400978894168934E-4</v>
      </c>
      <c r="D810" s="4">
        <f t="shared" si="37"/>
        <v>4416.3829999999998</v>
      </c>
      <c r="E810" s="2">
        <f t="shared" si="38"/>
        <v>28.139542302603417</v>
      </c>
    </row>
    <row r="811" spans="1:5" x14ac:dyDescent="0.25">
      <c r="A811" s="1">
        <v>45106</v>
      </c>
      <c r="B811" s="2">
        <v>4396.4399999999996</v>
      </c>
      <c r="C811" s="3">
        <f t="shared" si="36"/>
        <v>4.4735266835128221E-3</v>
      </c>
      <c r="D811" s="4">
        <f t="shared" si="37"/>
        <v>4425.7579999999998</v>
      </c>
      <c r="E811" s="2">
        <f t="shared" si="38"/>
        <v>29.510264587089118</v>
      </c>
    </row>
    <row r="812" spans="1:5" x14ac:dyDescent="0.25">
      <c r="A812" s="1">
        <v>45107</v>
      </c>
      <c r="B812" s="2">
        <v>4450.38</v>
      </c>
      <c r="C812" s="3">
        <f t="shared" si="36"/>
        <v>1.2269017659743E-2</v>
      </c>
      <c r="D812" s="4">
        <f t="shared" si="37"/>
        <v>4439.076</v>
      </c>
      <c r="E812" s="2">
        <f t="shared" si="38"/>
        <v>34.128151195164449</v>
      </c>
    </row>
    <row r="813" spans="1:5" x14ac:dyDescent="0.25">
      <c r="A813" s="1">
        <v>45110</v>
      </c>
      <c r="B813" s="2">
        <v>4455.59</v>
      </c>
      <c r="C813" s="3">
        <f t="shared" si="36"/>
        <v>1.1706865481150006E-3</v>
      </c>
      <c r="D813" s="4">
        <f t="shared" si="37"/>
        <v>4449.9740000000002</v>
      </c>
      <c r="E813" s="2">
        <f t="shared" si="38"/>
        <v>36.115565674650625</v>
      </c>
    </row>
    <row r="814" spans="1:5" x14ac:dyDescent="0.25">
      <c r="A814" s="1">
        <v>45112</v>
      </c>
      <c r="B814" s="2">
        <v>4446.82</v>
      </c>
      <c r="C814" s="3">
        <f t="shared" si="36"/>
        <v>-1.9683139606652398E-3</v>
      </c>
      <c r="D814" s="4">
        <f t="shared" si="37"/>
        <v>4457.2149999999992</v>
      </c>
      <c r="E814" s="2">
        <f t="shared" si="38"/>
        <v>42.214955939808853</v>
      </c>
    </row>
    <row r="815" spans="1:5" x14ac:dyDescent="0.25">
      <c r="A815" s="1">
        <v>45113</v>
      </c>
      <c r="B815" s="2">
        <v>4411.59</v>
      </c>
      <c r="C815" s="3">
        <f t="shared" si="36"/>
        <v>-7.9225154155103117E-3</v>
      </c>
      <c r="D815" s="4">
        <f t="shared" si="37"/>
        <v>4467.1540000000005</v>
      </c>
      <c r="E815" s="2">
        <f t="shared" si="38"/>
        <v>51.369779481714687</v>
      </c>
    </row>
    <row r="816" spans="1:5" x14ac:dyDescent="0.25">
      <c r="A816" s="1">
        <v>45114</v>
      </c>
      <c r="B816" s="2">
        <v>4398.95</v>
      </c>
      <c r="C816" s="3">
        <f t="shared" si="36"/>
        <v>-2.8651801277998017E-3</v>
      </c>
      <c r="D816" s="4">
        <f t="shared" si="37"/>
        <v>4479.0439999999999</v>
      </c>
      <c r="E816" s="2">
        <f t="shared" si="38"/>
        <v>58.546226385651877</v>
      </c>
    </row>
    <row r="817" spans="1:5" x14ac:dyDescent="0.25">
      <c r="A817" s="1">
        <v>45117</v>
      </c>
      <c r="B817" s="2">
        <v>4409.53</v>
      </c>
      <c r="C817" s="3">
        <f t="shared" si="36"/>
        <v>2.4051194034939993E-3</v>
      </c>
      <c r="D817" s="4">
        <f t="shared" si="37"/>
        <v>4491.3720000000012</v>
      </c>
      <c r="E817" s="2">
        <f t="shared" si="38"/>
        <v>55.967231984438925</v>
      </c>
    </row>
    <row r="818" spans="1:5" x14ac:dyDescent="0.25">
      <c r="A818" s="1">
        <v>45118</v>
      </c>
      <c r="B818" s="2">
        <v>4439.26</v>
      </c>
      <c r="C818" s="3">
        <f t="shared" si="36"/>
        <v>6.7422151567174899E-3</v>
      </c>
      <c r="D818" s="4">
        <f t="shared" si="37"/>
        <v>4505.1109999999999</v>
      </c>
      <c r="E818" s="2">
        <f t="shared" si="38"/>
        <v>47.870663552952784</v>
      </c>
    </row>
    <row r="819" spans="1:5" x14ac:dyDescent="0.25">
      <c r="A819" s="1">
        <v>45119</v>
      </c>
      <c r="B819" s="2">
        <v>4472.16</v>
      </c>
      <c r="C819" s="3">
        <f t="shared" si="36"/>
        <v>7.4111451007599543E-3</v>
      </c>
      <c r="D819" s="4">
        <f t="shared" si="37"/>
        <v>4519.6220000000003</v>
      </c>
      <c r="E819" s="2">
        <f t="shared" si="38"/>
        <v>37.586842591523961</v>
      </c>
    </row>
    <row r="820" spans="1:5" x14ac:dyDescent="0.25">
      <c r="A820" s="1">
        <v>45120</v>
      </c>
      <c r="B820" s="2">
        <v>4510.04</v>
      </c>
      <c r="C820" s="3">
        <f t="shared" si="36"/>
        <v>8.470179957783288E-3</v>
      </c>
      <c r="D820" s="4">
        <f t="shared" si="37"/>
        <v>4532.442</v>
      </c>
      <c r="E820" s="2">
        <f t="shared" si="38"/>
        <v>28.835059493609567</v>
      </c>
    </row>
    <row r="821" spans="1:5" x14ac:dyDescent="0.25">
      <c r="A821" s="1">
        <v>45121</v>
      </c>
      <c r="B821" s="2">
        <v>4505.42</v>
      </c>
      <c r="C821" s="3">
        <f t="shared" si="36"/>
        <v>-1.0243811584819405E-3</v>
      </c>
      <c r="D821" s="4">
        <f t="shared" si="37"/>
        <v>4541.9009999999998</v>
      </c>
      <c r="E821" s="2">
        <f t="shared" si="38"/>
        <v>22.277789589633912</v>
      </c>
    </row>
    <row r="822" spans="1:5" x14ac:dyDescent="0.25">
      <c r="A822" s="1">
        <v>45124</v>
      </c>
      <c r="B822" s="2">
        <v>4522.79</v>
      </c>
      <c r="C822" s="3">
        <f t="shared" si="36"/>
        <v>3.8553564373576469E-3</v>
      </c>
      <c r="D822" s="4">
        <f t="shared" si="37"/>
        <v>4544.6380000000008</v>
      </c>
      <c r="E822" s="2">
        <f t="shared" si="38"/>
        <v>19.731024200481858</v>
      </c>
    </row>
    <row r="823" spans="1:5" x14ac:dyDescent="0.25">
      <c r="A823" s="1">
        <v>45125</v>
      </c>
      <c r="B823" s="2">
        <v>4554.9799999999996</v>
      </c>
      <c r="C823" s="3">
        <f t="shared" si="36"/>
        <v>7.1172882225351165E-3</v>
      </c>
      <c r="D823" s="4">
        <f t="shared" si="37"/>
        <v>4552.3190000000004</v>
      </c>
      <c r="E823" s="2">
        <f t="shared" si="38"/>
        <v>17.827682098354757</v>
      </c>
    </row>
    <row r="824" spans="1:5" x14ac:dyDescent="0.25">
      <c r="A824" s="1">
        <v>45126</v>
      </c>
      <c r="B824" s="2">
        <v>4565.72</v>
      </c>
      <c r="C824" s="3">
        <f t="shared" si="36"/>
        <v>2.3578588709501891E-3</v>
      </c>
      <c r="D824" s="4">
        <f t="shared" si="37"/>
        <v>4558.9359999999997</v>
      </c>
      <c r="E824" s="2">
        <f t="shared" si="38"/>
        <v>17.919309808137118</v>
      </c>
    </row>
    <row r="825" spans="1:5" x14ac:dyDescent="0.25">
      <c r="A825" s="1">
        <v>45127</v>
      </c>
      <c r="B825" s="2">
        <v>4534.87</v>
      </c>
      <c r="C825" s="3">
        <f t="shared" si="36"/>
        <v>-6.7568751478409459E-3</v>
      </c>
      <c r="D825" s="4">
        <f t="shared" si="37"/>
        <v>4561.1109999999999</v>
      </c>
      <c r="E825" s="2">
        <f t="shared" si="38"/>
        <v>18.613669412558004</v>
      </c>
    </row>
    <row r="826" spans="1:5" x14ac:dyDescent="0.25">
      <c r="A826" s="1">
        <v>45128</v>
      </c>
      <c r="B826" s="2">
        <v>4536.34</v>
      </c>
      <c r="C826" s="3">
        <f t="shared" si="36"/>
        <v>3.2415482693004533E-4</v>
      </c>
      <c r="D826" s="4">
        <f t="shared" si="37"/>
        <v>4555.8779999999997</v>
      </c>
      <c r="E826" s="2">
        <f t="shared" si="38"/>
        <v>23.338583847354446</v>
      </c>
    </row>
    <row r="827" spans="1:5" x14ac:dyDescent="0.25">
      <c r="A827" s="1">
        <v>45131</v>
      </c>
      <c r="B827" s="2">
        <v>4554.6400000000003</v>
      </c>
      <c r="C827" s="3">
        <f t="shared" si="36"/>
        <v>4.0340891555747981E-3</v>
      </c>
      <c r="D827" s="4">
        <f t="shared" si="37"/>
        <v>4552.58</v>
      </c>
      <c r="E827" s="2">
        <f t="shared" si="38"/>
        <v>27.949051862272356</v>
      </c>
    </row>
    <row r="828" spans="1:5" x14ac:dyDescent="0.25">
      <c r="A828" s="1">
        <v>45132</v>
      </c>
      <c r="B828" s="2">
        <v>4567.46</v>
      </c>
      <c r="C828" s="3">
        <f t="shared" si="36"/>
        <v>2.8147120299298533E-3</v>
      </c>
      <c r="D828" s="4">
        <f t="shared" si="37"/>
        <v>4546.7489999999998</v>
      </c>
      <c r="E828" s="2">
        <f t="shared" si="38"/>
        <v>35.728775923616439</v>
      </c>
    </row>
    <row r="829" spans="1:5" x14ac:dyDescent="0.25">
      <c r="A829" s="1">
        <v>45133</v>
      </c>
      <c r="B829" s="2">
        <v>4566.75</v>
      </c>
      <c r="C829" s="3">
        <f t="shared" si="36"/>
        <v>-1.554474478156429E-4</v>
      </c>
      <c r="D829" s="4">
        <f t="shared" si="37"/>
        <v>4543.1289999999999</v>
      </c>
      <c r="E829" s="2">
        <f t="shared" si="38"/>
        <v>36.569853554533069</v>
      </c>
    </row>
    <row r="830" spans="1:5" x14ac:dyDescent="0.25">
      <c r="A830" s="1">
        <v>45134</v>
      </c>
      <c r="B830" s="2">
        <v>4537.41</v>
      </c>
      <c r="C830" s="3">
        <f t="shared" si="36"/>
        <v>-6.4247002791920178E-3</v>
      </c>
      <c r="D830" s="4">
        <f t="shared" si="37"/>
        <v>4536.3209999999999</v>
      </c>
      <c r="E830" s="2">
        <f t="shared" si="38"/>
        <v>37.72536373582092</v>
      </c>
    </row>
    <row r="831" spans="1:5" x14ac:dyDescent="0.25">
      <c r="A831" s="1">
        <v>45135</v>
      </c>
      <c r="B831" s="2">
        <v>4582.2299999999996</v>
      </c>
      <c r="C831" s="3">
        <f t="shared" si="36"/>
        <v>9.8778818753429178E-3</v>
      </c>
      <c r="D831" s="4">
        <f t="shared" si="37"/>
        <v>4526.4169999999995</v>
      </c>
      <c r="E831" s="2">
        <f t="shared" si="38"/>
        <v>41.270672165594668</v>
      </c>
    </row>
    <row r="832" spans="1:5" x14ac:dyDescent="0.25">
      <c r="A832" s="1">
        <v>45138</v>
      </c>
      <c r="B832" s="2">
        <v>4588.96</v>
      </c>
      <c r="C832" s="3">
        <f t="shared" si="36"/>
        <v>1.4687171966488966E-3</v>
      </c>
      <c r="D832" s="4">
        <f t="shared" si="37"/>
        <v>4519.5589999999993</v>
      </c>
      <c r="E832" s="2">
        <f t="shared" si="38"/>
        <v>44.449722935019416</v>
      </c>
    </row>
    <row r="833" spans="1:5" x14ac:dyDescent="0.25">
      <c r="A833" s="1">
        <v>45139</v>
      </c>
      <c r="B833" s="2">
        <v>4576.7299999999996</v>
      </c>
      <c r="C833" s="3">
        <f t="shared" si="36"/>
        <v>-2.6650918726684202E-3</v>
      </c>
      <c r="D833" s="4">
        <f t="shared" si="37"/>
        <v>4507.741</v>
      </c>
      <c r="E833" s="2">
        <f t="shared" si="38"/>
        <v>41.85059412959383</v>
      </c>
    </row>
    <row r="834" spans="1:5" x14ac:dyDescent="0.25">
      <c r="A834" s="1">
        <v>45140</v>
      </c>
      <c r="B834" s="2">
        <v>4513.3900000000003</v>
      </c>
      <c r="C834" s="3">
        <f t="shared" si="36"/>
        <v>-1.3839575417382987E-2</v>
      </c>
      <c r="D834" s="4">
        <f t="shared" si="37"/>
        <v>4497.817</v>
      </c>
      <c r="E834" s="2">
        <f t="shared" si="38"/>
        <v>32.028260973708711</v>
      </c>
    </row>
    <row r="835" spans="1:5" x14ac:dyDescent="0.25">
      <c r="A835" s="1">
        <v>45141</v>
      </c>
      <c r="B835" s="2">
        <v>4501.8900000000003</v>
      </c>
      <c r="C835" s="3">
        <f t="shared" ref="C835:C898" si="39">(B835-B834)/B834</f>
        <v>-2.5479739176096014E-3</v>
      </c>
      <c r="D835" s="4">
        <f t="shared" ref="D835:D898" si="40">AVERAGE(B834:B843)</f>
        <v>4483.93</v>
      </c>
      <c r="E835" s="2">
        <f t="shared" ref="E835:E898" si="41">_xlfn.STDEV.P(B834:B843)</f>
        <v>23.868782122261784</v>
      </c>
    </row>
    <row r="836" spans="1:5" x14ac:dyDescent="0.25">
      <c r="A836" s="1">
        <v>45142</v>
      </c>
      <c r="B836" s="2">
        <v>4478.03</v>
      </c>
      <c r="C836" s="3">
        <f t="shared" si="39"/>
        <v>-5.2999962238083516E-3</v>
      </c>
      <c r="D836" s="4">
        <f t="shared" si="40"/>
        <v>4473.0239999999994</v>
      </c>
      <c r="E836" s="2">
        <f t="shared" si="41"/>
        <v>31.584881889916932</v>
      </c>
    </row>
    <row r="837" spans="1:5" x14ac:dyDescent="0.25">
      <c r="A837" s="1">
        <v>45145</v>
      </c>
      <c r="B837" s="2">
        <v>4518.4399999999996</v>
      </c>
      <c r="C837" s="3">
        <f t="shared" si="39"/>
        <v>9.024057453835695E-3</v>
      </c>
      <c r="D837" s="4">
        <f t="shared" si="40"/>
        <v>4459.8710000000001</v>
      </c>
      <c r="E837" s="2">
        <f t="shared" si="41"/>
        <v>42.370608315198936</v>
      </c>
    </row>
    <row r="838" spans="1:5" x14ac:dyDescent="0.25">
      <c r="A838" s="1">
        <v>45146</v>
      </c>
      <c r="B838" s="2">
        <v>4499.38</v>
      </c>
      <c r="C838" s="3">
        <f t="shared" si="39"/>
        <v>-4.218270022396998E-3</v>
      </c>
      <c r="D838" s="4">
        <f t="shared" si="40"/>
        <v>4449.0389999999998</v>
      </c>
      <c r="E838" s="2">
        <f t="shared" si="41"/>
        <v>49.576828145818325</v>
      </c>
    </row>
    <row r="839" spans="1:5" x14ac:dyDescent="0.25">
      <c r="A839" s="1">
        <v>45147</v>
      </c>
      <c r="B839" s="2">
        <v>4467.71</v>
      </c>
      <c r="C839" s="3">
        <f t="shared" si="39"/>
        <v>-7.0387475607750563E-3</v>
      </c>
      <c r="D839" s="4">
        <f t="shared" si="40"/>
        <v>4437.1720000000005</v>
      </c>
      <c r="E839" s="2">
        <f t="shared" si="41"/>
        <v>45.586508486612637</v>
      </c>
    </row>
    <row r="840" spans="1:5" x14ac:dyDescent="0.25">
      <c r="A840" s="1">
        <v>45148</v>
      </c>
      <c r="B840" s="2">
        <v>4468.83</v>
      </c>
      <c r="C840" s="3">
        <f t="shared" si="39"/>
        <v>2.5068771249698186E-4</v>
      </c>
      <c r="D840" s="4">
        <f t="shared" si="40"/>
        <v>4425.9889999999996</v>
      </c>
      <c r="E840" s="2">
        <f t="shared" si="41"/>
        <v>42.571363955128376</v>
      </c>
    </row>
    <row r="841" spans="1:5" x14ac:dyDescent="0.25">
      <c r="A841" s="1">
        <v>45149</v>
      </c>
      <c r="B841" s="2">
        <v>4464.05</v>
      </c>
      <c r="C841" s="3">
        <f t="shared" si="39"/>
        <v>-1.0696312010078132E-3</v>
      </c>
      <c r="D841" s="4">
        <f t="shared" si="40"/>
        <v>4422.8190000000013</v>
      </c>
      <c r="E841" s="2">
        <f t="shared" si="41"/>
        <v>40.47530097479207</v>
      </c>
    </row>
    <row r="842" spans="1:5" x14ac:dyDescent="0.25">
      <c r="A842" s="1">
        <v>45152</v>
      </c>
      <c r="B842" s="2">
        <v>4489.72</v>
      </c>
      <c r="C842" s="3">
        <f t="shared" si="39"/>
        <v>5.7503836202551653E-3</v>
      </c>
      <c r="D842" s="4">
        <f t="shared" si="40"/>
        <v>4413.567</v>
      </c>
      <c r="E842" s="2">
        <f t="shared" si="41"/>
        <v>39.462108167202658</v>
      </c>
    </row>
    <row r="843" spans="1:5" x14ac:dyDescent="0.25">
      <c r="A843" s="1">
        <v>45153</v>
      </c>
      <c r="B843" s="2">
        <v>4437.8599999999997</v>
      </c>
      <c r="C843" s="3">
        <f t="shared" si="39"/>
        <v>-1.1550831677699406E-2</v>
      </c>
      <c r="D843" s="4">
        <f t="shared" si="40"/>
        <v>4407.7329999999993</v>
      </c>
      <c r="E843" s="2">
        <f t="shared" si="41"/>
        <v>35.700733059700639</v>
      </c>
    </row>
    <row r="844" spans="1:5" x14ac:dyDescent="0.25">
      <c r="A844" s="1">
        <v>45154</v>
      </c>
      <c r="B844" s="2">
        <v>4404.33</v>
      </c>
      <c r="C844" s="3">
        <f t="shared" si="39"/>
        <v>-7.5554433893813113E-3</v>
      </c>
      <c r="D844" s="4">
        <f t="shared" si="40"/>
        <v>4402.0919999999987</v>
      </c>
      <c r="E844" s="2">
        <f t="shared" si="41"/>
        <v>25.218107304078167</v>
      </c>
    </row>
    <row r="845" spans="1:5" x14ac:dyDescent="0.25">
      <c r="A845" s="1">
        <v>45155</v>
      </c>
      <c r="B845" s="2">
        <v>4370.3599999999997</v>
      </c>
      <c r="C845" s="3">
        <f t="shared" si="39"/>
        <v>-7.7128643857295558E-3</v>
      </c>
      <c r="D845" s="4">
        <f t="shared" si="40"/>
        <v>4408.0689999999995</v>
      </c>
      <c r="E845" s="2">
        <f t="shared" si="41"/>
        <v>37.216184234819174</v>
      </c>
    </row>
    <row r="846" spans="1:5" x14ac:dyDescent="0.25">
      <c r="A846" s="1">
        <v>45156</v>
      </c>
      <c r="B846" s="2">
        <v>4369.71</v>
      </c>
      <c r="C846" s="3">
        <f t="shared" si="39"/>
        <v>-1.4872916647590501E-4</v>
      </c>
      <c r="D846" s="4">
        <f t="shared" si="40"/>
        <v>4419.1230000000005</v>
      </c>
      <c r="E846" s="2">
        <f t="shared" si="41"/>
        <v>49.011231376083565</v>
      </c>
    </row>
    <row r="847" spans="1:5" x14ac:dyDescent="0.25">
      <c r="A847" s="1">
        <v>45159</v>
      </c>
      <c r="B847" s="2">
        <v>4399.7700000000004</v>
      </c>
      <c r="C847" s="3">
        <f t="shared" si="39"/>
        <v>6.8791750482298363E-3</v>
      </c>
      <c r="D847" s="4">
        <f t="shared" si="40"/>
        <v>4432.8530000000001</v>
      </c>
      <c r="E847" s="2">
        <f t="shared" si="41"/>
        <v>52.53270334753379</v>
      </c>
    </row>
    <row r="848" spans="1:5" x14ac:dyDescent="0.25">
      <c r="A848" s="1">
        <v>45160</v>
      </c>
      <c r="B848" s="2">
        <v>4387.55</v>
      </c>
      <c r="C848" s="3">
        <f t="shared" si="39"/>
        <v>-2.777417910481742E-3</v>
      </c>
      <c r="D848" s="4">
        <f t="shared" si="40"/>
        <v>4447.4590000000007</v>
      </c>
      <c r="E848" s="2">
        <f t="shared" si="41"/>
        <v>53.246302491346661</v>
      </c>
    </row>
    <row r="849" spans="1:5" x14ac:dyDescent="0.25">
      <c r="A849" s="1">
        <v>45161</v>
      </c>
      <c r="B849" s="2">
        <v>4436.01</v>
      </c>
      <c r="C849" s="3">
        <f t="shared" si="39"/>
        <v>1.1044888377340438E-2</v>
      </c>
      <c r="D849" s="4">
        <f t="shared" si="40"/>
        <v>4457.1650000000009</v>
      </c>
      <c r="E849" s="2">
        <f t="shared" si="41"/>
        <v>52.509882736490567</v>
      </c>
    </row>
    <row r="850" spans="1:5" x14ac:dyDescent="0.25">
      <c r="A850" s="1">
        <v>45162</v>
      </c>
      <c r="B850" s="2">
        <v>4376.3100000000004</v>
      </c>
      <c r="C850" s="3">
        <f t="shared" si="39"/>
        <v>-1.3458039995401232E-2</v>
      </c>
      <c r="D850" s="4">
        <f t="shared" si="40"/>
        <v>4464.9580000000005</v>
      </c>
      <c r="E850" s="2">
        <f t="shared" si="41"/>
        <v>47.104628604840848</v>
      </c>
    </row>
    <row r="851" spans="1:5" x14ac:dyDescent="0.25">
      <c r="A851" s="1">
        <v>45163</v>
      </c>
      <c r="B851" s="2">
        <v>4405.71</v>
      </c>
      <c r="C851" s="3">
        <f t="shared" si="39"/>
        <v>6.7179884423177591E-3</v>
      </c>
      <c r="D851" s="4">
        <f t="shared" si="40"/>
        <v>4466.4710000000005</v>
      </c>
      <c r="E851" s="2">
        <f t="shared" si="41"/>
        <v>46.388057827419232</v>
      </c>
    </row>
    <row r="852" spans="1:5" x14ac:dyDescent="0.25">
      <c r="A852" s="1">
        <v>45166</v>
      </c>
      <c r="B852" s="2">
        <v>4433.3100000000004</v>
      </c>
      <c r="C852" s="3">
        <f t="shared" si="39"/>
        <v>6.2645975336552712E-3</v>
      </c>
      <c r="D852" s="4">
        <f t="shared" si="40"/>
        <v>4474.588999999999</v>
      </c>
      <c r="E852" s="2">
        <f t="shared" si="41"/>
        <v>35.79267004569509</v>
      </c>
    </row>
    <row r="853" spans="1:5" x14ac:dyDescent="0.25">
      <c r="A853" s="1">
        <v>45167</v>
      </c>
      <c r="B853" s="2">
        <v>4497.63</v>
      </c>
      <c r="C853" s="3">
        <f t="shared" si="39"/>
        <v>1.4508347036412907E-2</v>
      </c>
      <c r="D853" s="4">
        <f t="shared" si="40"/>
        <v>4482.7640000000001</v>
      </c>
      <c r="E853" s="2">
        <f t="shared" si="41"/>
        <v>27.50307626430175</v>
      </c>
    </row>
    <row r="854" spans="1:5" x14ac:dyDescent="0.25">
      <c r="A854" s="1">
        <v>45168</v>
      </c>
      <c r="B854" s="2">
        <v>4514.87</v>
      </c>
      <c r="C854" s="3">
        <f t="shared" si="39"/>
        <v>3.8331298928546325E-3</v>
      </c>
      <c r="D854" s="4">
        <f t="shared" si="40"/>
        <v>4485.6230000000005</v>
      </c>
      <c r="E854" s="2">
        <f t="shared" si="41"/>
        <v>23.392438115767323</v>
      </c>
    </row>
    <row r="855" spans="1:5" x14ac:dyDescent="0.25">
      <c r="A855" s="1">
        <v>45169</v>
      </c>
      <c r="B855" s="2">
        <v>4507.66</v>
      </c>
      <c r="C855" s="3">
        <f t="shared" si="39"/>
        <v>-1.5969452055098012E-3</v>
      </c>
      <c r="D855" s="4">
        <f t="shared" si="40"/>
        <v>4482.6040000000003</v>
      </c>
      <c r="E855" s="2">
        <f t="shared" si="41"/>
        <v>23.59527800217672</v>
      </c>
    </row>
    <row r="856" spans="1:5" x14ac:dyDescent="0.25">
      <c r="A856" s="1">
        <v>45170</v>
      </c>
      <c r="B856" s="2">
        <v>4515.7700000000004</v>
      </c>
      <c r="C856" s="3">
        <f t="shared" si="39"/>
        <v>1.7991596526802337E-3</v>
      </c>
      <c r="D856" s="4">
        <f t="shared" si="40"/>
        <v>4481.6269999999995</v>
      </c>
      <c r="E856" s="2">
        <f t="shared" si="41"/>
        <v>22.411607282834645</v>
      </c>
    </row>
    <row r="857" spans="1:5" x14ac:dyDescent="0.25">
      <c r="A857" s="1">
        <v>45174</v>
      </c>
      <c r="B857" s="2">
        <v>4496.83</v>
      </c>
      <c r="C857" s="3">
        <f t="shared" si="39"/>
        <v>-4.1941905810084458E-3</v>
      </c>
      <c r="D857" s="4">
        <f t="shared" si="40"/>
        <v>4475.893</v>
      </c>
      <c r="E857" s="2">
        <f t="shared" si="41"/>
        <v>22.352684424918824</v>
      </c>
    </row>
    <row r="858" spans="1:5" x14ac:dyDescent="0.25">
      <c r="A858" s="1">
        <v>45175</v>
      </c>
      <c r="B858" s="2">
        <v>4465.4799999999996</v>
      </c>
      <c r="C858" s="3">
        <f t="shared" si="39"/>
        <v>-6.9715777558858943E-3</v>
      </c>
      <c r="D858" s="4">
        <f t="shared" si="40"/>
        <v>4469.6689999999999</v>
      </c>
      <c r="E858" s="2">
        <f t="shared" si="41"/>
        <v>18.758922916841591</v>
      </c>
    </row>
    <row r="859" spans="1:5" x14ac:dyDescent="0.25">
      <c r="A859" s="1">
        <v>45176</v>
      </c>
      <c r="B859" s="2">
        <v>4451.1400000000003</v>
      </c>
      <c r="C859" s="3">
        <f t="shared" si="39"/>
        <v>-3.2113009127796425E-3</v>
      </c>
      <c r="D859" s="4">
        <f t="shared" si="40"/>
        <v>4464.3809999999994</v>
      </c>
      <c r="E859" s="2">
        <f t="shared" si="41"/>
        <v>17.785076581224061</v>
      </c>
    </row>
    <row r="860" spans="1:5" x14ac:dyDescent="0.25">
      <c r="A860" s="1">
        <v>45177</v>
      </c>
      <c r="B860" s="2">
        <v>4457.49</v>
      </c>
      <c r="C860" s="3">
        <f t="shared" si="39"/>
        <v>1.4266008258557255E-3</v>
      </c>
      <c r="D860" s="4">
        <f t="shared" si="40"/>
        <v>4458.052999999999</v>
      </c>
      <c r="E860" s="2">
        <f t="shared" si="41"/>
        <v>25.744752106011923</v>
      </c>
    </row>
    <row r="861" spans="1:5" x14ac:dyDescent="0.25">
      <c r="A861" s="1">
        <v>45180</v>
      </c>
      <c r="B861" s="2">
        <v>4487.46</v>
      </c>
      <c r="C861" s="3">
        <f t="shared" si="39"/>
        <v>6.723514803174041E-3</v>
      </c>
      <c r="D861" s="4">
        <f t="shared" si="40"/>
        <v>4445.9389999999994</v>
      </c>
      <c r="E861" s="2">
        <f t="shared" si="41"/>
        <v>46.379105090546993</v>
      </c>
    </row>
    <row r="862" spans="1:5" x14ac:dyDescent="0.25">
      <c r="A862" s="1">
        <v>45181</v>
      </c>
      <c r="B862" s="2">
        <v>4461.8999999999996</v>
      </c>
      <c r="C862" s="3">
        <f t="shared" si="39"/>
        <v>-5.6958724980279265E-3</v>
      </c>
      <c r="D862" s="4">
        <f t="shared" si="40"/>
        <v>4432.1959999999999</v>
      </c>
      <c r="E862" s="2">
        <f t="shared" si="41"/>
        <v>59.442081423853168</v>
      </c>
    </row>
    <row r="863" spans="1:5" x14ac:dyDescent="0.25">
      <c r="A863" s="1">
        <v>45182</v>
      </c>
      <c r="B863" s="2">
        <v>4467.4399999999996</v>
      </c>
      <c r="C863" s="3">
        <f t="shared" si="39"/>
        <v>1.2416235236110097E-3</v>
      </c>
      <c r="D863" s="4">
        <f t="shared" si="40"/>
        <v>4417.1940000000004</v>
      </c>
      <c r="E863" s="2">
        <f t="shared" si="41"/>
        <v>62.456064749550087</v>
      </c>
    </row>
    <row r="864" spans="1:5" x14ac:dyDescent="0.25">
      <c r="A864" s="1">
        <v>45183</v>
      </c>
      <c r="B864" s="2">
        <v>4505.1000000000004</v>
      </c>
      <c r="C864" s="3">
        <f t="shared" si="39"/>
        <v>8.429883781315645E-3</v>
      </c>
      <c r="D864" s="4">
        <f t="shared" si="40"/>
        <v>4398.357</v>
      </c>
      <c r="E864" s="2">
        <f t="shared" si="41"/>
        <v>73.552697442038109</v>
      </c>
    </row>
    <row r="865" spans="1:5" x14ac:dyDescent="0.25">
      <c r="A865" s="1">
        <v>45184</v>
      </c>
      <c r="B865" s="2">
        <v>4450.32</v>
      </c>
      <c r="C865" s="3">
        <f t="shared" si="39"/>
        <v>-1.2159552507158698E-2</v>
      </c>
      <c r="D865" s="4">
        <f t="shared" si="40"/>
        <v>4379.0640000000003</v>
      </c>
      <c r="E865" s="2">
        <f t="shared" si="41"/>
        <v>78.066262264822157</v>
      </c>
    </row>
    <row r="866" spans="1:5" x14ac:dyDescent="0.25">
      <c r="A866" s="1">
        <v>45187</v>
      </c>
      <c r="B866" s="2">
        <v>4453.53</v>
      </c>
      <c r="C866" s="3">
        <f t="shared" si="39"/>
        <v>7.2129644609826636E-4</v>
      </c>
      <c r="D866" s="4">
        <f t="shared" si="40"/>
        <v>4358.5239999999994</v>
      </c>
      <c r="E866" s="2">
        <f t="shared" si="41"/>
        <v>68.657168773551874</v>
      </c>
    </row>
    <row r="867" spans="1:5" x14ac:dyDescent="0.25">
      <c r="A867" s="1">
        <v>45188</v>
      </c>
      <c r="B867" s="2">
        <v>4443.95</v>
      </c>
      <c r="C867" s="3">
        <f t="shared" si="39"/>
        <v>-2.151102608492573E-3</v>
      </c>
      <c r="D867" s="4">
        <f t="shared" si="40"/>
        <v>4342.2970000000005</v>
      </c>
      <c r="E867" s="2">
        <f t="shared" si="41"/>
        <v>64.066365598494727</v>
      </c>
    </row>
    <row r="868" spans="1:5" x14ac:dyDescent="0.25">
      <c r="A868" s="1">
        <v>45189</v>
      </c>
      <c r="B868" s="2">
        <v>4402.2</v>
      </c>
      <c r="C868" s="3">
        <f t="shared" si="39"/>
        <v>-9.3947951709627692E-3</v>
      </c>
      <c r="D868" s="4">
        <f t="shared" si="40"/>
        <v>4325.7829999999994</v>
      </c>
      <c r="E868" s="2">
        <f t="shared" si="41"/>
        <v>53.713177535870933</v>
      </c>
    </row>
    <row r="869" spans="1:5" x14ac:dyDescent="0.25">
      <c r="A869" s="1">
        <v>45190</v>
      </c>
      <c r="B869" s="2">
        <v>4330</v>
      </c>
      <c r="C869" s="3">
        <f t="shared" si="39"/>
        <v>-1.6400890463858939E-2</v>
      </c>
      <c r="D869" s="4">
        <f t="shared" si="40"/>
        <v>4304.3329999999996</v>
      </c>
      <c r="E869" s="2">
        <f t="shared" si="41"/>
        <v>44.234190859560165</v>
      </c>
    </row>
    <row r="870" spans="1:5" x14ac:dyDescent="0.25">
      <c r="A870" s="1">
        <v>45191</v>
      </c>
      <c r="B870" s="2">
        <v>4320.0600000000004</v>
      </c>
      <c r="C870" s="3">
        <f t="shared" si="39"/>
        <v>-2.2956120092377827E-3</v>
      </c>
      <c r="D870" s="4">
        <f t="shared" si="40"/>
        <v>4290.4879999999994</v>
      </c>
      <c r="E870" s="2">
        <f t="shared" si="41"/>
        <v>31.175032253391503</v>
      </c>
    </row>
    <row r="871" spans="1:5" x14ac:dyDescent="0.25">
      <c r="A871" s="1">
        <v>45194</v>
      </c>
      <c r="B871" s="2">
        <v>4337.4399999999996</v>
      </c>
      <c r="C871" s="3">
        <f t="shared" si="39"/>
        <v>4.0230922718664085E-3</v>
      </c>
      <c r="D871" s="4">
        <f t="shared" si="40"/>
        <v>4283.3069999999998</v>
      </c>
      <c r="E871" s="2">
        <f t="shared" si="41"/>
        <v>29.470530042739348</v>
      </c>
    </row>
    <row r="872" spans="1:5" x14ac:dyDescent="0.25">
      <c r="A872" s="1">
        <v>45195</v>
      </c>
      <c r="B872" s="2">
        <v>4273.53</v>
      </c>
      <c r="C872" s="3">
        <f t="shared" si="39"/>
        <v>-1.4734497768268809E-2</v>
      </c>
      <c r="D872" s="4">
        <f t="shared" si="40"/>
        <v>4282.1509999999998</v>
      </c>
      <c r="E872" s="2">
        <f t="shared" si="41"/>
        <v>28.205783609040179</v>
      </c>
    </row>
    <row r="873" spans="1:5" x14ac:dyDescent="0.25">
      <c r="A873" s="1">
        <v>45196</v>
      </c>
      <c r="B873" s="2">
        <v>4274.51</v>
      </c>
      <c r="C873" s="3">
        <f t="shared" si="39"/>
        <v>2.2931861950202127E-4</v>
      </c>
      <c r="D873" s="4">
        <f t="shared" si="40"/>
        <v>4281.973</v>
      </c>
      <c r="E873" s="2">
        <f t="shared" si="41"/>
        <v>27.859800806897422</v>
      </c>
    </row>
    <row r="874" spans="1:5" x14ac:dyDescent="0.25">
      <c r="A874" s="1">
        <v>45197</v>
      </c>
      <c r="B874" s="2">
        <v>4299.7</v>
      </c>
      <c r="C874" s="3">
        <f t="shared" si="39"/>
        <v>5.8930731241708641E-3</v>
      </c>
      <c r="D874" s="4">
        <f t="shared" si="40"/>
        <v>4290.4439999999995</v>
      </c>
      <c r="E874" s="2">
        <f t="shared" si="41"/>
        <v>35.762379171414182</v>
      </c>
    </row>
    <row r="875" spans="1:5" x14ac:dyDescent="0.25">
      <c r="A875" s="1">
        <v>45198</v>
      </c>
      <c r="B875" s="2">
        <v>4288.05</v>
      </c>
      <c r="C875" s="3">
        <f t="shared" si="39"/>
        <v>-2.7094913598622317E-3</v>
      </c>
      <c r="D875" s="4">
        <f t="shared" si="40"/>
        <v>4300.6880000000001</v>
      </c>
      <c r="E875" s="2">
        <f t="shared" si="41"/>
        <v>43.553964182379524</v>
      </c>
    </row>
    <row r="876" spans="1:5" x14ac:dyDescent="0.25">
      <c r="A876" s="1">
        <v>45201</v>
      </c>
      <c r="B876" s="2">
        <v>4288.3900000000003</v>
      </c>
      <c r="C876" s="3">
        <f t="shared" si="39"/>
        <v>7.9290120217848556E-5</v>
      </c>
      <c r="D876" s="4">
        <f t="shared" si="40"/>
        <v>4305.6789999999992</v>
      </c>
      <c r="E876" s="2">
        <f t="shared" si="41"/>
        <v>45.948626845641385</v>
      </c>
    </row>
    <row r="877" spans="1:5" x14ac:dyDescent="0.25">
      <c r="A877" s="1">
        <v>45202</v>
      </c>
      <c r="B877" s="2">
        <v>4229.45</v>
      </c>
      <c r="C877" s="3">
        <f t="shared" si="39"/>
        <v>-1.3744085775780773E-2</v>
      </c>
      <c r="D877" s="4">
        <f t="shared" si="40"/>
        <v>4309.652</v>
      </c>
      <c r="E877" s="2">
        <f t="shared" si="41"/>
        <v>45.9701950833363</v>
      </c>
    </row>
    <row r="878" spans="1:5" x14ac:dyDescent="0.25">
      <c r="A878" s="1">
        <v>45203</v>
      </c>
      <c r="B878" s="2">
        <v>4263.75</v>
      </c>
      <c r="C878" s="3">
        <f t="shared" si="39"/>
        <v>8.1098015108347857E-3</v>
      </c>
      <c r="D878" s="4">
        <f t="shared" si="40"/>
        <v>4318.1759999999995</v>
      </c>
      <c r="E878" s="2">
        <f t="shared" si="41"/>
        <v>49.037857253350722</v>
      </c>
    </row>
    <row r="879" spans="1:5" x14ac:dyDescent="0.25">
      <c r="A879" s="1">
        <v>45204</v>
      </c>
      <c r="B879" s="2">
        <v>4258.1899999999996</v>
      </c>
      <c r="C879" s="3">
        <f t="shared" si="39"/>
        <v>-1.3040164174729757E-3</v>
      </c>
      <c r="D879" s="4">
        <f t="shared" si="40"/>
        <v>4332.5509999999995</v>
      </c>
      <c r="E879" s="2">
        <f t="shared" si="41"/>
        <v>41.395707132503503</v>
      </c>
    </row>
    <row r="880" spans="1:5" x14ac:dyDescent="0.25">
      <c r="A880" s="1">
        <v>45205</v>
      </c>
      <c r="B880" s="2">
        <v>4308.5</v>
      </c>
      <c r="C880" s="3">
        <f t="shared" si="39"/>
        <v>1.1814879091820798E-2</v>
      </c>
      <c r="D880" s="4">
        <f t="shared" si="40"/>
        <v>4337.6359999999995</v>
      </c>
      <c r="E880" s="2">
        <f t="shared" si="41"/>
        <v>35.307413159278632</v>
      </c>
    </row>
    <row r="881" spans="1:5" x14ac:dyDescent="0.25">
      <c r="A881" s="1">
        <v>45208</v>
      </c>
      <c r="B881" s="2">
        <v>4335.66</v>
      </c>
      <c r="C881" s="3">
        <f t="shared" si="39"/>
        <v>6.3038180341185692E-3</v>
      </c>
      <c r="D881" s="4">
        <f t="shared" si="40"/>
        <v>4339.6170000000002</v>
      </c>
      <c r="E881" s="2">
        <f t="shared" si="41"/>
        <v>31.099318658131331</v>
      </c>
    </row>
    <row r="882" spans="1:5" x14ac:dyDescent="0.25">
      <c r="A882" s="1">
        <v>45209</v>
      </c>
      <c r="B882" s="2">
        <v>4358.24</v>
      </c>
      <c r="C882" s="3">
        <f t="shared" si="39"/>
        <v>5.2079729499084175E-3</v>
      </c>
      <c r="D882" s="4">
        <f t="shared" si="40"/>
        <v>4331.183</v>
      </c>
      <c r="E882" s="2">
        <f t="shared" si="41"/>
        <v>46.176188463319463</v>
      </c>
    </row>
    <row r="883" spans="1:5" x14ac:dyDescent="0.25">
      <c r="A883" s="1">
        <v>45210</v>
      </c>
      <c r="B883" s="2">
        <v>4376.95</v>
      </c>
      <c r="C883" s="3">
        <f t="shared" si="39"/>
        <v>4.2930173648078208E-3</v>
      </c>
      <c r="D883" s="4">
        <f t="shared" si="40"/>
        <v>4319.3209999999999</v>
      </c>
      <c r="E883" s="2">
        <f t="shared" si="41"/>
        <v>57.379364139035175</v>
      </c>
    </row>
    <row r="884" spans="1:5" x14ac:dyDescent="0.25">
      <c r="A884" s="1">
        <v>45211</v>
      </c>
      <c r="B884" s="2">
        <v>4349.6099999999997</v>
      </c>
      <c r="C884" s="3">
        <f t="shared" si="39"/>
        <v>-6.246358765807274E-3</v>
      </c>
      <c r="D884" s="4">
        <f t="shared" si="40"/>
        <v>4308.2650000000012</v>
      </c>
      <c r="E884" s="2">
        <f t="shared" si="41"/>
        <v>59.430049007215139</v>
      </c>
    </row>
    <row r="885" spans="1:5" x14ac:dyDescent="0.25">
      <c r="A885" s="1">
        <v>45212</v>
      </c>
      <c r="B885" s="2">
        <v>4327.78</v>
      </c>
      <c r="C885" s="3">
        <f t="shared" si="39"/>
        <v>-5.0188407696322036E-3</v>
      </c>
      <c r="D885" s="4">
        <f t="shared" si="40"/>
        <v>4289.2470000000003</v>
      </c>
      <c r="E885" s="2">
        <f t="shared" si="41"/>
        <v>64.611043800576269</v>
      </c>
    </row>
    <row r="886" spans="1:5" x14ac:dyDescent="0.25">
      <c r="A886" s="1">
        <v>45215</v>
      </c>
      <c r="B886" s="2">
        <v>4373.63</v>
      </c>
      <c r="C886" s="3">
        <f t="shared" si="39"/>
        <v>1.0594346293018676E-2</v>
      </c>
      <c r="D886" s="4">
        <f t="shared" si="40"/>
        <v>4268.009</v>
      </c>
      <c r="E886" s="2">
        <f t="shared" si="41"/>
        <v>75.299946806090134</v>
      </c>
    </row>
    <row r="887" spans="1:5" x14ac:dyDescent="0.25">
      <c r="A887" s="1">
        <v>45216</v>
      </c>
      <c r="B887" s="2">
        <v>4373.2</v>
      </c>
      <c r="C887" s="3">
        <f t="shared" si="39"/>
        <v>-9.8316501395932218E-5</v>
      </c>
      <c r="D887" s="4">
        <f t="shared" si="40"/>
        <v>4246.9679999999998</v>
      </c>
      <c r="E887" s="2">
        <f t="shared" si="41"/>
        <v>84.494448906422321</v>
      </c>
    </row>
    <row r="888" spans="1:5" x14ac:dyDescent="0.25">
      <c r="A888" s="1">
        <v>45217</v>
      </c>
      <c r="B888" s="2">
        <v>4314.6000000000004</v>
      </c>
      <c r="C888" s="3">
        <f t="shared" si="39"/>
        <v>-1.3399798774352753E-2</v>
      </c>
      <c r="D888" s="4">
        <f t="shared" si="40"/>
        <v>4226.2870000000003</v>
      </c>
      <c r="E888" s="2">
        <f t="shared" si="41"/>
        <v>75.826460427742589</v>
      </c>
    </row>
    <row r="889" spans="1:5" x14ac:dyDescent="0.25">
      <c r="A889" s="1">
        <v>45218</v>
      </c>
      <c r="B889" s="2">
        <v>4278</v>
      </c>
      <c r="C889" s="3">
        <f t="shared" si="39"/>
        <v>-8.4828257544153247E-3</v>
      </c>
      <c r="D889" s="4">
        <f t="shared" si="40"/>
        <v>4208.3469999999998</v>
      </c>
      <c r="E889" s="2">
        <f t="shared" si="41"/>
        <v>58.094802357870343</v>
      </c>
    </row>
    <row r="890" spans="1:5" x14ac:dyDescent="0.25">
      <c r="A890" s="1">
        <v>45219</v>
      </c>
      <c r="B890" s="2">
        <v>4224.16</v>
      </c>
      <c r="C890" s="3">
        <f t="shared" si="39"/>
        <v>-1.2585320243104289E-2</v>
      </c>
      <c r="D890" s="4">
        <f t="shared" si="40"/>
        <v>4200.6730000000007</v>
      </c>
      <c r="E890" s="2">
        <f t="shared" si="41"/>
        <v>47.689071085522386</v>
      </c>
    </row>
    <row r="891" spans="1:5" x14ac:dyDescent="0.25">
      <c r="A891" s="1">
        <v>45222</v>
      </c>
      <c r="B891" s="2">
        <v>4217.04</v>
      </c>
      <c r="C891" s="3">
        <f t="shared" si="39"/>
        <v>-1.6855422143100382E-3</v>
      </c>
      <c r="D891" s="4">
        <f t="shared" si="40"/>
        <v>4204.6509999999998</v>
      </c>
      <c r="E891" s="2">
        <f t="shared" si="41"/>
        <v>55.062523271277733</v>
      </c>
    </row>
    <row r="892" spans="1:5" x14ac:dyDescent="0.25">
      <c r="A892" s="1">
        <v>45223</v>
      </c>
      <c r="B892" s="2">
        <v>4247.68</v>
      </c>
      <c r="C892" s="3">
        <f t="shared" si="39"/>
        <v>7.2657598694819891E-3</v>
      </c>
      <c r="D892" s="4">
        <f t="shared" si="40"/>
        <v>4218.0690000000004</v>
      </c>
      <c r="E892" s="2">
        <f t="shared" si="41"/>
        <v>71.943099106168674</v>
      </c>
    </row>
    <row r="893" spans="1:5" x14ac:dyDescent="0.25">
      <c r="A893" s="1">
        <v>45224</v>
      </c>
      <c r="B893" s="2">
        <v>4186.7700000000004</v>
      </c>
      <c r="C893" s="3">
        <f t="shared" si="39"/>
        <v>-1.4339592436341685E-2</v>
      </c>
      <c r="D893" s="4">
        <f t="shared" si="40"/>
        <v>4232.9629999999988</v>
      </c>
      <c r="E893" s="2">
        <f t="shared" si="41"/>
        <v>84.508217239508724</v>
      </c>
    </row>
    <row r="894" spans="1:5" x14ac:dyDescent="0.25">
      <c r="A894" s="1">
        <v>45225</v>
      </c>
      <c r="B894" s="2">
        <v>4137.2299999999996</v>
      </c>
      <c r="C894" s="3">
        <f t="shared" si="39"/>
        <v>-1.1832510503323772E-2</v>
      </c>
      <c r="D894" s="4">
        <f t="shared" si="40"/>
        <v>4246.0329999999994</v>
      </c>
      <c r="E894" s="2">
        <f t="shared" si="41"/>
        <v>95.203809067704867</v>
      </c>
    </row>
    <row r="895" spans="1:5" x14ac:dyDescent="0.25">
      <c r="A895" s="1">
        <v>45226</v>
      </c>
      <c r="B895" s="2">
        <v>4117.37</v>
      </c>
      <c r="C895" s="3">
        <f t="shared" si="39"/>
        <v>-4.800313253070212E-3</v>
      </c>
      <c r="D895" s="4">
        <f t="shared" si="40"/>
        <v>4265.6339999999991</v>
      </c>
      <c r="E895" s="2">
        <f t="shared" si="41"/>
        <v>100.98678103593562</v>
      </c>
    </row>
    <row r="896" spans="1:5" x14ac:dyDescent="0.25">
      <c r="A896" s="1">
        <v>45229</v>
      </c>
      <c r="B896" s="2">
        <v>4166.82</v>
      </c>
      <c r="C896" s="3">
        <f t="shared" si="39"/>
        <v>1.2010093822027125E-2</v>
      </c>
      <c r="D896" s="4">
        <f t="shared" si="40"/>
        <v>4286.6459999999988</v>
      </c>
      <c r="E896" s="2">
        <f t="shared" si="41"/>
        <v>93.67933360138727</v>
      </c>
    </row>
    <row r="897" spans="1:5" x14ac:dyDescent="0.25">
      <c r="A897" s="1">
        <v>45230</v>
      </c>
      <c r="B897" s="2">
        <v>4193.8</v>
      </c>
      <c r="C897" s="3">
        <f t="shared" si="39"/>
        <v>6.4749617214087665E-3</v>
      </c>
      <c r="D897" s="4">
        <f t="shared" si="40"/>
        <v>4316.4329999999991</v>
      </c>
      <c r="E897" s="2">
        <f t="shared" si="41"/>
        <v>81.711427848251446</v>
      </c>
    </row>
    <row r="898" spans="1:5" x14ac:dyDescent="0.25">
      <c r="A898" s="1">
        <v>45231</v>
      </c>
      <c r="B898" s="2">
        <v>4237.8599999999997</v>
      </c>
      <c r="C898" s="3">
        <f t="shared" si="39"/>
        <v>1.0505985025513732E-2</v>
      </c>
      <c r="D898" s="4">
        <f t="shared" si="40"/>
        <v>4340.9059999999999</v>
      </c>
      <c r="E898" s="2">
        <f t="shared" si="41"/>
        <v>68.877783820329171</v>
      </c>
    </row>
    <row r="899" spans="1:5" x14ac:dyDescent="0.25">
      <c r="A899" s="1">
        <v>45232</v>
      </c>
      <c r="B899" s="2">
        <v>4317.78</v>
      </c>
      <c r="C899" s="3">
        <f t="shared" ref="C899:C962" si="42">(B899-B898)/B898</f>
        <v>1.8858574846738703E-2</v>
      </c>
      <c r="D899" s="4">
        <f t="shared" ref="D899:D962" si="43">AVERAGE(B898:B907)</f>
        <v>4371.0959999999995</v>
      </c>
      <c r="E899" s="2">
        <f t="shared" ref="E899:E962" si="44">_xlfn.STDEV.P(B898:B907)</f>
        <v>63.755891680691008</v>
      </c>
    </row>
    <row r="900" spans="1:5" x14ac:dyDescent="0.25">
      <c r="A900" s="1">
        <v>45233</v>
      </c>
      <c r="B900" s="2">
        <v>4358.34</v>
      </c>
      <c r="C900" s="3">
        <f t="shared" si="42"/>
        <v>9.3937162152773878E-3</v>
      </c>
      <c r="D900" s="4">
        <f t="shared" si="43"/>
        <v>4397.598</v>
      </c>
      <c r="E900" s="2">
        <f t="shared" si="44"/>
        <v>57.653940160235372</v>
      </c>
    </row>
    <row r="901" spans="1:5" x14ac:dyDescent="0.25">
      <c r="A901" s="1">
        <v>45236</v>
      </c>
      <c r="B901" s="2">
        <v>4365.9799999999996</v>
      </c>
      <c r="C901" s="3">
        <f t="shared" si="42"/>
        <v>1.7529609897344901E-3</v>
      </c>
      <c r="D901" s="4">
        <f t="shared" si="43"/>
        <v>4416.6439999999993</v>
      </c>
      <c r="E901" s="2">
        <f t="shared" si="44"/>
        <v>59.567613717522661</v>
      </c>
    </row>
    <row r="902" spans="1:5" x14ac:dyDescent="0.25">
      <c r="A902" s="1">
        <v>45237</v>
      </c>
      <c r="B902" s="2">
        <v>4378.38</v>
      </c>
      <c r="C902" s="3">
        <f t="shared" si="42"/>
        <v>2.8401412741241479E-3</v>
      </c>
      <c r="D902" s="4">
        <f t="shared" si="43"/>
        <v>4432.2119999999995</v>
      </c>
      <c r="E902" s="2">
        <f t="shared" si="44"/>
        <v>62.563654592742616</v>
      </c>
    </row>
    <row r="903" spans="1:5" x14ac:dyDescent="0.25">
      <c r="A903" s="1">
        <v>45238</v>
      </c>
      <c r="B903" s="2">
        <v>4382.78</v>
      </c>
      <c r="C903" s="3">
        <f t="shared" si="42"/>
        <v>1.0049378994056331E-3</v>
      </c>
      <c r="D903" s="4">
        <f t="shared" si="43"/>
        <v>4450.3519999999999</v>
      </c>
      <c r="E903" s="2">
        <f t="shared" si="44"/>
        <v>66.879371378624654</v>
      </c>
    </row>
    <row r="904" spans="1:5" x14ac:dyDescent="0.25">
      <c r="A904" s="1">
        <v>45239</v>
      </c>
      <c r="B904" s="2">
        <v>4347.3500000000004</v>
      </c>
      <c r="C904" s="3">
        <f t="shared" si="42"/>
        <v>-8.0839102122395798E-3</v>
      </c>
      <c r="D904" s="4">
        <f t="shared" si="43"/>
        <v>4466.3330000000005</v>
      </c>
      <c r="E904" s="2">
        <f t="shared" si="44"/>
        <v>66.865630192199603</v>
      </c>
    </row>
    <row r="905" spans="1:5" x14ac:dyDescent="0.25">
      <c r="A905" s="1">
        <v>45240</v>
      </c>
      <c r="B905" s="2">
        <v>4415.24</v>
      </c>
      <c r="C905" s="3">
        <f t="shared" si="42"/>
        <v>1.5616409996894525E-2</v>
      </c>
      <c r="D905" s="4">
        <f t="shared" si="43"/>
        <v>4483.7170000000006</v>
      </c>
      <c r="E905" s="2">
        <f t="shared" si="44"/>
        <v>65.466578503844147</v>
      </c>
    </row>
    <row r="906" spans="1:5" x14ac:dyDescent="0.25">
      <c r="A906" s="1">
        <v>45243</v>
      </c>
      <c r="B906" s="2">
        <v>4411.55</v>
      </c>
      <c r="C906" s="3">
        <f t="shared" si="42"/>
        <v>-8.3574165843750285E-4</v>
      </c>
      <c r="D906" s="4">
        <f t="shared" si="43"/>
        <v>4504.9160000000002</v>
      </c>
      <c r="E906" s="2">
        <f t="shared" si="44"/>
        <v>50.485277497504164</v>
      </c>
    </row>
    <row r="907" spans="1:5" x14ac:dyDescent="0.25">
      <c r="A907" s="1">
        <v>45244</v>
      </c>
      <c r="B907" s="2">
        <v>4495.7</v>
      </c>
      <c r="C907" s="3">
        <f t="shared" si="42"/>
        <v>1.9074928313177825E-2</v>
      </c>
      <c r="D907" s="4">
        <f t="shared" si="43"/>
        <v>4518.4349999999995</v>
      </c>
      <c r="E907" s="2">
        <f t="shared" si="44"/>
        <v>42.059170284255465</v>
      </c>
    </row>
    <row r="908" spans="1:5" x14ac:dyDescent="0.25">
      <c r="A908" s="1">
        <v>45245</v>
      </c>
      <c r="B908" s="2">
        <v>4502.88</v>
      </c>
      <c r="C908" s="3">
        <f t="shared" si="42"/>
        <v>1.5970816558045001E-3</v>
      </c>
      <c r="D908" s="4">
        <f t="shared" si="43"/>
        <v>4532.7689999999993</v>
      </c>
      <c r="E908" s="2">
        <f t="shared" si="44"/>
        <v>23.536495682237891</v>
      </c>
    </row>
    <row r="909" spans="1:5" x14ac:dyDescent="0.25">
      <c r="A909" s="1">
        <v>45246</v>
      </c>
      <c r="B909" s="2">
        <v>4508.24</v>
      </c>
      <c r="C909" s="3">
        <f t="shared" si="42"/>
        <v>1.1903492875669954E-3</v>
      </c>
      <c r="D909" s="4">
        <f t="shared" si="43"/>
        <v>4538.2569999999996</v>
      </c>
      <c r="E909" s="2">
        <f t="shared" si="44"/>
        <v>20.448975059889932</v>
      </c>
    </row>
    <row r="910" spans="1:5" x14ac:dyDescent="0.25">
      <c r="A910" s="1">
        <v>45247</v>
      </c>
      <c r="B910" s="2">
        <v>4514.0200000000004</v>
      </c>
      <c r="C910" s="3">
        <f t="shared" si="42"/>
        <v>1.2820967827801215E-3</v>
      </c>
      <c r="D910" s="4">
        <f t="shared" si="43"/>
        <v>4544.7490000000007</v>
      </c>
      <c r="E910" s="2">
        <f t="shared" si="44"/>
        <v>18.388588553774358</v>
      </c>
    </row>
    <row r="911" spans="1:5" x14ac:dyDescent="0.25">
      <c r="A911" s="1">
        <v>45250</v>
      </c>
      <c r="B911" s="2">
        <v>4547.38</v>
      </c>
      <c r="C911" s="3">
        <f t="shared" si="42"/>
        <v>7.390308416887756E-3</v>
      </c>
      <c r="D911" s="4">
        <f t="shared" si="43"/>
        <v>4553.3879999999999</v>
      </c>
      <c r="E911" s="2">
        <f t="shared" si="44"/>
        <v>19.468656245360108</v>
      </c>
    </row>
    <row r="912" spans="1:5" x14ac:dyDescent="0.25">
      <c r="A912" s="1">
        <v>45251</v>
      </c>
      <c r="B912" s="2">
        <v>4538.1899999999996</v>
      </c>
      <c r="C912" s="3">
        <f t="shared" si="42"/>
        <v>-2.0209439281521466E-3</v>
      </c>
      <c r="D912" s="4">
        <f t="shared" si="43"/>
        <v>4558.9639999999999</v>
      </c>
      <c r="E912" s="2">
        <f t="shared" si="44"/>
        <v>14.826416424746789</v>
      </c>
    </row>
    <row r="913" spans="1:5" x14ac:dyDescent="0.25">
      <c r="A913" s="1">
        <v>45252</v>
      </c>
      <c r="B913" s="2">
        <v>4556.62</v>
      </c>
      <c r="C913" s="3">
        <f t="shared" si="42"/>
        <v>4.0610904347328546E-3</v>
      </c>
      <c r="D913" s="4">
        <f t="shared" si="43"/>
        <v>4560.9440000000004</v>
      </c>
      <c r="E913" s="2">
        <f t="shared" si="44"/>
        <v>14.464908710392953</v>
      </c>
    </row>
    <row r="914" spans="1:5" x14ac:dyDescent="0.25">
      <c r="A914" s="1">
        <v>45254</v>
      </c>
      <c r="B914" s="2">
        <v>4559.34</v>
      </c>
      <c r="C914" s="3">
        <f t="shared" si="42"/>
        <v>5.969336920788336E-4</v>
      </c>
      <c r="D914" s="4">
        <f t="shared" si="43"/>
        <v>4562.0589999999993</v>
      </c>
      <c r="E914" s="2">
        <f t="shared" si="44"/>
        <v>13.026173229310269</v>
      </c>
    </row>
    <row r="915" spans="1:5" x14ac:dyDescent="0.25">
      <c r="A915" s="1">
        <v>45257</v>
      </c>
      <c r="B915" s="2">
        <v>4550.43</v>
      </c>
      <c r="C915" s="3">
        <f t="shared" si="42"/>
        <v>-1.9542302175314529E-3</v>
      </c>
      <c r="D915" s="4">
        <f t="shared" si="43"/>
        <v>4564.9560000000001</v>
      </c>
      <c r="E915" s="2">
        <f t="shared" si="44"/>
        <v>14.618519213654963</v>
      </c>
    </row>
    <row r="916" spans="1:5" x14ac:dyDescent="0.25">
      <c r="A916" s="1">
        <v>45258</v>
      </c>
      <c r="B916" s="2">
        <v>4554.8900000000003</v>
      </c>
      <c r="C916" s="3">
        <f t="shared" si="42"/>
        <v>9.8012715281853269E-4</v>
      </c>
      <c r="D916" s="4">
        <f t="shared" si="43"/>
        <v>4569.4590000000007</v>
      </c>
      <c r="E916" s="2">
        <f t="shared" si="44"/>
        <v>18.590763539994736</v>
      </c>
    </row>
    <row r="917" spans="1:5" x14ac:dyDescent="0.25">
      <c r="A917" s="1">
        <v>45259</v>
      </c>
      <c r="B917" s="2">
        <v>4550.58</v>
      </c>
      <c r="C917" s="3">
        <f t="shared" si="42"/>
        <v>-9.4623580371872864E-4</v>
      </c>
      <c r="D917" s="4">
        <f t="shared" si="43"/>
        <v>4576.6600000000008</v>
      </c>
      <c r="E917" s="2">
        <f t="shared" si="44"/>
        <v>23.200224998908826</v>
      </c>
    </row>
    <row r="918" spans="1:5" x14ac:dyDescent="0.25">
      <c r="A918" s="1">
        <v>45260</v>
      </c>
      <c r="B918" s="2">
        <v>4567.8</v>
      </c>
      <c r="C918" s="3">
        <f t="shared" si="42"/>
        <v>3.7841330116161575E-3</v>
      </c>
      <c r="D918" s="4">
        <f t="shared" si="43"/>
        <v>4585.5410000000002</v>
      </c>
      <c r="E918" s="2">
        <f t="shared" si="44"/>
        <v>29.349976984658664</v>
      </c>
    </row>
    <row r="919" spans="1:5" x14ac:dyDescent="0.25">
      <c r="A919" s="1">
        <v>45261</v>
      </c>
      <c r="B919" s="2">
        <v>4594.63</v>
      </c>
      <c r="C919" s="3">
        <f t="shared" si="42"/>
        <v>5.873724769035406E-3</v>
      </c>
      <c r="D919" s="4">
        <f t="shared" si="43"/>
        <v>4601.192</v>
      </c>
      <c r="E919" s="2">
        <f t="shared" si="44"/>
        <v>44.403334739634097</v>
      </c>
    </row>
    <row r="920" spans="1:5" x14ac:dyDescent="0.25">
      <c r="A920" s="1">
        <v>45264</v>
      </c>
      <c r="B920" s="2">
        <v>4569.78</v>
      </c>
      <c r="C920" s="3">
        <f t="shared" si="42"/>
        <v>-5.4084877345945952E-3</v>
      </c>
      <c r="D920" s="4">
        <f t="shared" si="43"/>
        <v>4616.3670000000002</v>
      </c>
      <c r="E920" s="2">
        <f t="shared" si="44"/>
        <v>55.052107688988627</v>
      </c>
    </row>
    <row r="921" spans="1:5" x14ac:dyDescent="0.25">
      <c r="A921" s="1">
        <v>45265</v>
      </c>
      <c r="B921" s="2">
        <v>4567.18</v>
      </c>
      <c r="C921" s="3">
        <f t="shared" si="42"/>
        <v>-5.68955179461474E-4</v>
      </c>
      <c r="D921" s="4">
        <f t="shared" si="43"/>
        <v>4628.8230000000003</v>
      </c>
      <c r="E921" s="2">
        <f t="shared" si="44"/>
        <v>62.334499604953869</v>
      </c>
    </row>
    <row r="922" spans="1:5" x14ac:dyDescent="0.25">
      <c r="A922" s="1">
        <v>45266</v>
      </c>
      <c r="B922" s="2">
        <v>4549.34</v>
      </c>
      <c r="C922" s="3">
        <f t="shared" si="42"/>
        <v>-3.9061302598102426E-3</v>
      </c>
      <c r="D922" s="4">
        <f t="shared" si="43"/>
        <v>4645.9009999999998</v>
      </c>
      <c r="E922" s="2">
        <f t="shared" si="44"/>
        <v>67.036108844413093</v>
      </c>
    </row>
    <row r="923" spans="1:5" x14ac:dyDescent="0.25">
      <c r="A923" s="1">
        <v>45267</v>
      </c>
      <c r="B923" s="2">
        <v>4585.59</v>
      </c>
      <c r="C923" s="3">
        <f t="shared" si="42"/>
        <v>7.9681887922204101E-3</v>
      </c>
      <c r="D923" s="4">
        <f t="shared" si="43"/>
        <v>4666.0199999999995</v>
      </c>
      <c r="E923" s="2">
        <f t="shared" si="44"/>
        <v>70.49277792795516</v>
      </c>
    </row>
    <row r="924" spans="1:5" x14ac:dyDescent="0.25">
      <c r="A924" s="1">
        <v>45268</v>
      </c>
      <c r="B924" s="2">
        <v>4604.37</v>
      </c>
      <c r="C924" s="3">
        <f t="shared" si="42"/>
        <v>4.0954381006587468E-3</v>
      </c>
      <c r="D924" s="4">
        <f t="shared" si="43"/>
        <v>4680.9210000000003</v>
      </c>
      <c r="E924" s="2">
        <f t="shared" si="44"/>
        <v>59.078698267649813</v>
      </c>
    </row>
    <row r="925" spans="1:5" x14ac:dyDescent="0.25">
      <c r="A925" s="1">
        <v>45271</v>
      </c>
      <c r="B925" s="2">
        <v>4622.4399999999996</v>
      </c>
      <c r="C925" s="3">
        <f t="shared" si="42"/>
        <v>3.9245325636297059E-3</v>
      </c>
      <c r="D925" s="4">
        <f t="shared" si="43"/>
        <v>4697.0369999999994</v>
      </c>
      <c r="E925" s="2">
        <f t="shared" si="44"/>
        <v>52.489169368546989</v>
      </c>
    </row>
    <row r="926" spans="1:5" x14ac:dyDescent="0.25">
      <c r="A926" s="1">
        <v>45272</v>
      </c>
      <c r="B926" s="2">
        <v>4643.7</v>
      </c>
      <c r="C926" s="3">
        <f t="shared" si="42"/>
        <v>4.5993025328614802E-3</v>
      </c>
      <c r="D926" s="4">
        <f t="shared" si="43"/>
        <v>4712.0630000000001</v>
      </c>
      <c r="E926" s="2">
        <f t="shared" si="44"/>
        <v>44.74718204535354</v>
      </c>
    </row>
    <row r="927" spans="1:5" x14ac:dyDescent="0.25">
      <c r="A927" s="1">
        <v>45273</v>
      </c>
      <c r="B927" s="2">
        <v>4707.09</v>
      </c>
      <c r="C927" s="3">
        <f t="shared" si="42"/>
        <v>1.3650752632599076E-2</v>
      </c>
      <c r="D927" s="4">
        <f t="shared" si="43"/>
        <v>4727.2939999999999</v>
      </c>
      <c r="E927" s="2">
        <f t="shared" si="44"/>
        <v>36.879055356665539</v>
      </c>
    </row>
    <row r="928" spans="1:5" x14ac:dyDescent="0.25">
      <c r="A928" s="1">
        <v>45274</v>
      </c>
      <c r="B928" s="2">
        <v>4719.55</v>
      </c>
      <c r="C928" s="3">
        <f t="shared" si="42"/>
        <v>2.6470706954827795E-3</v>
      </c>
      <c r="D928" s="4">
        <f t="shared" si="43"/>
        <v>4741.0820000000003</v>
      </c>
      <c r="E928" s="2">
        <f t="shared" si="44"/>
        <v>27.674122858728438</v>
      </c>
    </row>
    <row r="929" spans="1:5" x14ac:dyDescent="0.25">
      <c r="A929" s="1">
        <v>45275</v>
      </c>
      <c r="B929" s="2">
        <v>4719.1899999999996</v>
      </c>
      <c r="C929" s="3">
        <f t="shared" si="42"/>
        <v>-7.6278458751487336E-5</v>
      </c>
      <c r="D929" s="4">
        <f t="shared" si="43"/>
        <v>4748.7079999999996</v>
      </c>
      <c r="E929" s="2">
        <f t="shared" si="44"/>
        <v>27.763536806394075</v>
      </c>
    </row>
    <row r="930" spans="1:5" x14ac:dyDescent="0.25">
      <c r="A930" s="1">
        <v>45278</v>
      </c>
      <c r="B930" s="2">
        <v>4740.5600000000004</v>
      </c>
      <c r="C930" s="3">
        <f t="shared" si="42"/>
        <v>4.5283194785547525E-3</v>
      </c>
      <c r="D930" s="4">
        <f t="shared" si="43"/>
        <v>4753.7360000000008</v>
      </c>
      <c r="E930" s="2">
        <f t="shared" si="44"/>
        <v>26.554249829358746</v>
      </c>
    </row>
    <row r="931" spans="1:5" x14ac:dyDescent="0.25">
      <c r="A931" s="1">
        <v>45279</v>
      </c>
      <c r="B931" s="2">
        <v>4768.37</v>
      </c>
      <c r="C931" s="3">
        <f t="shared" si="42"/>
        <v>5.8663955313295237E-3</v>
      </c>
      <c r="D931" s="4">
        <f t="shared" si="43"/>
        <v>4756.1000000000004</v>
      </c>
      <c r="E931" s="2">
        <f t="shared" si="44"/>
        <v>24.332923375541949</v>
      </c>
    </row>
    <row r="932" spans="1:5" x14ac:dyDescent="0.25">
      <c r="A932" s="1">
        <v>45280</v>
      </c>
      <c r="B932" s="2">
        <v>4698.3500000000004</v>
      </c>
      <c r="C932" s="3">
        <f t="shared" si="42"/>
        <v>-1.4684263175886001E-2</v>
      </c>
      <c r="D932" s="4">
        <f t="shared" si="43"/>
        <v>4752.5249999999996</v>
      </c>
      <c r="E932" s="2">
        <f t="shared" si="44"/>
        <v>28.604681172842909</v>
      </c>
    </row>
    <row r="933" spans="1:5" x14ac:dyDescent="0.25">
      <c r="A933" s="1">
        <v>45281</v>
      </c>
      <c r="B933" s="2">
        <v>4746.75</v>
      </c>
      <c r="C933" s="3">
        <f t="shared" si="42"/>
        <v>1.0301488820543304E-2</v>
      </c>
      <c r="D933" s="4">
        <f t="shared" si="43"/>
        <v>4744.5559999999996</v>
      </c>
      <c r="E933" s="2">
        <f t="shared" si="44"/>
        <v>33.722912448363537</v>
      </c>
    </row>
    <row r="934" spans="1:5" x14ac:dyDescent="0.25">
      <c r="A934" s="1">
        <v>45282</v>
      </c>
      <c r="B934" s="2">
        <v>4754.63</v>
      </c>
      <c r="C934" s="3">
        <f t="shared" si="42"/>
        <v>1.6600832148312233E-3</v>
      </c>
      <c r="D934" s="4">
        <f t="shared" si="43"/>
        <v>4744.4449999999997</v>
      </c>
      <c r="E934" s="2">
        <f t="shared" si="44"/>
        <v>33.876296211362863</v>
      </c>
    </row>
    <row r="935" spans="1:5" x14ac:dyDescent="0.25">
      <c r="A935" s="1">
        <v>45286</v>
      </c>
      <c r="B935" s="2">
        <v>4774.75</v>
      </c>
      <c r="C935" s="3">
        <f t="shared" si="42"/>
        <v>4.2316647141838358E-3</v>
      </c>
      <c r="D935" s="4">
        <f t="shared" si="43"/>
        <v>4746.1239999999998</v>
      </c>
      <c r="E935" s="2">
        <f t="shared" si="44"/>
        <v>34.361533784160414</v>
      </c>
    </row>
    <row r="936" spans="1:5" x14ac:dyDescent="0.25">
      <c r="A936" s="1">
        <v>45287</v>
      </c>
      <c r="B936" s="2">
        <v>4781.58</v>
      </c>
      <c r="C936" s="3">
        <f t="shared" si="42"/>
        <v>1.4304413843656584E-3</v>
      </c>
      <c r="D936" s="4">
        <f t="shared" si="43"/>
        <v>4746.3109999999997</v>
      </c>
      <c r="E936" s="2">
        <f t="shared" si="44"/>
        <v>34.412366512636083</v>
      </c>
    </row>
    <row r="937" spans="1:5" x14ac:dyDescent="0.25">
      <c r="A937" s="1">
        <v>45288</v>
      </c>
      <c r="B937" s="2">
        <v>4783.3500000000004</v>
      </c>
      <c r="C937" s="3">
        <f t="shared" si="42"/>
        <v>3.7017052940668913E-4</v>
      </c>
      <c r="D937" s="4">
        <f t="shared" si="43"/>
        <v>4747.1809999999996</v>
      </c>
      <c r="E937" s="2">
        <f t="shared" si="44"/>
        <v>35.220830895934242</v>
      </c>
    </row>
    <row r="938" spans="1:5" x14ac:dyDescent="0.25">
      <c r="A938" s="1">
        <v>45289</v>
      </c>
      <c r="B938" s="2">
        <v>4769.83</v>
      </c>
      <c r="C938" s="3">
        <f t="shared" si="42"/>
        <v>-2.8264709879060566E-3</v>
      </c>
      <c r="D938" s="4">
        <f t="shared" si="43"/>
        <v>4747.0469999999996</v>
      </c>
      <c r="E938" s="2">
        <f t="shared" si="44"/>
        <v>35.092016200269754</v>
      </c>
    </row>
    <row r="939" spans="1:5" x14ac:dyDescent="0.25">
      <c r="A939" s="1">
        <v>45293</v>
      </c>
      <c r="B939" s="2">
        <v>4742.83</v>
      </c>
      <c r="C939" s="3">
        <f t="shared" si="42"/>
        <v>-5.6605790982068548E-3</v>
      </c>
      <c r="D939" s="4">
        <f t="shared" si="43"/>
        <v>4747.0949999999993</v>
      </c>
      <c r="E939" s="2">
        <f t="shared" si="44"/>
        <v>35.141932573493897</v>
      </c>
    </row>
    <row r="940" spans="1:5" x14ac:dyDescent="0.25">
      <c r="A940" s="1">
        <v>45294</v>
      </c>
      <c r="B940" s="2">
        <v>4704.8100000000004</v>
      </c>
      <c r="C940" s="3">
        <f t="shared" si="42"/>
        <v>-8.0163109367191159E-3</v>
      </c>
      <c r="D940" s="4">
        <f t="shared" si="43"/>
        <v>4746.7099999999991</v>
      </c>
      <c r="E940" s="2">
        <f t="shared" si="44"/>
        <v>34.911079903090801</v>
      </c>
    </row>
    <row r="941" spans="1:5" x14ac:dyDescent="0.25">
      <c r="A941" s="1">
        <v>45295</v>
      </c>
      <c r="B941" s="2">
        <v>4688.68</v>
      </c>
      <c r="C941" s="3">
        <f t="shared" si="42"/>
        <v>-3.4284062480738025E-3</v>
      </c>
      <c r="D941" s="4">
        <f t="shared" si="43"/>
        <v>4746.348</v>
      </c>
      <c r="E941" s="2">
        <f t="shared" si="44"/>
        <v>34.968157171918428</v>
      </c>
    </row>
    <row r="942" spans="1:5" x14ac:dyDescent="0.25">
      <c r="A942" s="1">
        <v>45296</v>
      </c>
      <c r="B942" s="2">
        <v>4697.24</v>
      </c>
      <c r="C942" s="3">
        <f t="shared" si="42"/>
        <v>1.8256737503944587E-3</v>
      </c>
      <c r="D942" s="4">
        <f t="shared" si="43"/>
        <v>4753.9610000000011</v>
      </c>
      <c r="E942" s="2">
        <f t="shared" si="44"/>
        <v>33.345679615206414</v>
      </c>
    </row>
    <row r="943" spans="1:5" x14ac:dyDescent="0.25">
      <c r="A943" s="1">
        <v>45299</v>
      </c>
      <c r="B943" s="2">
        <v>4763.54</v>
      </c>
      <c r="C943" s="3">
        <f t="shared" si="42"/>
        <v>1.4114671594383123E-2</v>
      </c>
      <c r="D943" s="4">
        <f t="shared" si="43"/>
        <v>4769.0739999999996</v>
      </c>
      <c r="E943" s="2">
        <f t="shared" si="44"/>
        <v>34.559741955055266</v>
      </c>
    </row>
    <row r="944" spans="1:5" x14ac:dyDescent="0.25">
      <c r="A944" s="1">
        <v>45300</v>
      </c>
      <c r="B944" s="2">
        <v>4756.5</v>
      </c>
      <c r="C944" s="3">
        <f t="shared" si="42"/>
        <v>-1.4778924917183364E-3</v>
      </c>
      <c r="D944" s="4">
        <f t="shared" si="43"/>
        <v>4784.3930000000009</v>
      </c>
      <c r="E944" s="2">
        <f t="shared" si="44"/>
        <v>33.25013565385877</v>
      </c>
    </row>
    <row r="945" spans="1:5" x14ac:dyDescent="0.25">
      <c r="A945" s="1">
        <v>45301</v>
      </c>
      <c r="B945" s="2">
        <v>4783.45</v>
      </c>
      <c r="C945" s="3">
        <f t="shared" si="42"/>
        <v>5.6659308314937068E-3</v>
      </c>
      <c r="D945" s="4">
        <f t="shared" si="43"/>
        <v>4794.4989999999998</v>
      </c>
      <c r="E945" s="2">
        <f t="shared" si="44"/>
        <v>40.040876726165926</v>
      </c>
    </row>
    <row r="946" spans="1:5" x14ac:dyDescent="0.25">
      <c r="A946" s="1">
        <v>45302</v>
      </c>
      <c r="B946" s="2">
        <v>4780.24</v>
      </c>
      <c r="C946" s="3">
        <f t="shared" si="42"/>
        <v>-6.7106377196375763E-4</v>
      </c>
      <c r="D946" s="4">
        <f t="shared" si="43"/>
        <v>4805.7039999999997</v>
      </c>
      <c r="E946" s="2">
        <f t="shared" si="44"/>
        <v>43.378363777348952</v>
      </c>
    </row>
    <row r="947" spans="1:5" x14ac:dyDescent="0.25">
      <c r="A947" s="1">
        <v>45303</v>
      </c>
      <c r="B947" s="2">
        <v>4783.83</v>
      </c>
      <c r="C947" s="3">
        <f t="shared" si="42"/>
        <v>7.5100831757404351E-4</v>
      </c>
      <c r="D947" s="4">
        <f t="shared" si="43"/>
        <v>4816.7749999999996</v>
      </c>
      <c r="E947" s="2">
        <f t="shared" si="44"/>
        <v>49.920313951336645</v>
      </c>
    </row>
    <row r="948" spans="1:5" x14ac:dyDescent="0.25">
      <c r="A948" s="1">
        <v>45307</v>
      </c>
      <c r="B948" s="2">
        <v>4765.9799999999996</v>
      </c>
      <c r="C948" s="3">
        <f t="shared" si="42"/>
        <v>-3.7313198838588254E-3</v>
      </c>
      <c r="D948" s="4">
        <f t="shared" si="43"/>
        <v>4827.8480000000009</v>
      </c>
      <c r="E948" s="2">
        <f t="shared" si="44"/>
        <v>52.786699044361704</v>
      </c>
    </row>
    <row r="949" spans="1:5" x14ac:dyDescent="0.25">
      <c r="A949" s="1">
        <v>45308</v>
      </c>
      <c r="B949" s="2">
        <v>4739.21</v>
      </c>
      <c r="C949" s="3">
        <f t="shared" si="42"/>
        <v>-5.6168930629166575E-3</v>
      </c>
      <c r="D949" s="4">
        <f t="shared" si="43"/>
        <v>4842.2580000000007</v>
      </c>
      <c r="E949" s="2">
        <f t="shared" si="44"/>
        <v>58.195100618523028</v>
      </c>
    </row>
    <row r="950" spans="1:5" x14ac:dyDescent="0.25">
      <c r="A950" s="1">
        <v>45309</v>
      </c>
      <c r="B950" s="2">
        <v>4780.9399999999996</v>
      </c>
      <c r="C950" s="3">
        <f t="shared" si="42"/>
        <v>8.8052650125230916E-3</v>
      </c>
      <c r="D950" s="4">
        <f t="shared" si="43"/>
        <v>4858.1570000000002</v>
      </c>
      <c r="E950" s="2">
        <f t="shared" si="44"/>
        <v>56.887482814763501</v>
      </c>
    </row>
    <row r="951" spans="1:5" x14ac:dyDescent="0.25">
      <c r="A951" s="1">
        <v>45310</v>
      </c>
      <c r="B951" s="2">
        <v>4839.8100000000004</v>
      </c>
      <c r="C951" s="3">
        <f t="shared" si="42"/>
        <v>1.2313478102632705E-2</v>
      </c>
      <c r="D951" s="4">
        <f t="shared" si="43"/>
        <v>4868.8010000000004</v>
      </c>
      <c r="E951" s="2">
        <f t="shared" si="44"/>
        <v>41.517401038600809</v>
      </c>
    </row>
    <row r="952" spans="1:5" x14ac:dyDescent="0.25">
      <c r="A952" s="1">
        <v>45313</v>
      </c>
      <c r="B952" s="2">
        <v>4850.43</v>
      </c>
      <c r="C952" s="3">
        <f t="shared" si="42"/>
        <v>2.1943010159489506E-3</v>
      </c>
      <c r="D952" s="4">
        <f t="shared" si="43"/>
        <v>4881.3260000000009</v>
      </c>
      <c r="E952" s="2">
        <f t="shared" si="44"/>
        <v>30.572163220812474</v>
      </c>
    </row>
    <row r="953" spans="1:5" x14ac:dyDescent="0.25">
      <c r="A953" s="1">
        <v>45314</v>
      </c>
      <c r="B953" s="2">
        <v>4864.6000000000004</v>
      </c>
      <c r="C953" s="3">
        <f t="shared" si="42"/>
        <v>2.9213904746589626E-3</v>
      </c>
      <c r="D953" s="4">
        <f t="shared" si="43"/>
        <v>4893.2060000000001</v>
      </c>
      <c r="E953" s="2">
        <f t="shared" si="44"/>
        <v>34.906254511190348</v>
      </c>
    </row>
    <row r="954" spans="1:5" x14ac:dyDescent="0.25">
      <c r="A954" s="1">
        <v>45315</v>
      </c>
      <c r="B954" s="2">
        <v>4868.55</v>
      </c>
      <c r="C954" s="3">
        <f t="shared" si="42"/>
        <v>8.119886527154993E-4</v>
      </c>
      <c r="D954" s="4">
        <f t="shared" si="43"/>
        <v>4902.4440000000004</v>
      </c>
      <c r="E954" s="2">
        <f t="shared" si="44"/>
        <v>34.585878968156955</v>
      </c>
    </row>
    <row r="955" spans="1:5" x14ac:dyDescent="0.25">
      <c r="A955" s="1">
        <v>45316</v>
      </c>
      <c r="B955" s="2">
        <v>4894.16</v>
      </c>
      <c r="C955" s="3">
        <f t="shared" si="42"/>
        <v>5.2602931057501049E-3</v>
      </c>
      <c r="D955" s="4">
        <f t="shared" si="43"/>
        <v>4911.4070000000011</v>
      </c>
      <c r="E955" s="2">
        <f t="shared" si="44"/>
        <v>35.22513024816233</v>
      </c>
    </row>
    <row r="956" spans="1:5" x14ac:dyDescent="0.25">
      <c r="A956" s="1">
        <v>45317</v>
      </c>
      <c r="B956" s="2">
        <v>4890.97</v>
      </c>
      <c r="C956" s="3">
        <f t="shared" si="42"/>
        <v>-6.5179724406222927E-4</v>
      </c>
      <c r="D956" s="4">
        <f t="shared" si="43"/>
        <v>4924.0579999999991</v>
      </c>
      <c r="E956" s="2">
        <f t="shared" si="44"/>
        <v>39.960883323570428</v>
      </c>
    </row>
    <row r="957" spans="1:5" x14ac:dyDescent="0.25">
      <c r="A957" s="1">
        <v>45320</v>
      </c>
      <c r="B957" s="2">
        <v>4927.93</v>
      </c>
      <c r="C957" s="3">
        <f t="shared" si="42"/>
        <v>7.5567832147815329E-3</v>
      </c>
      <c r="D957" s="4">
        <f t="shared" si="43"/>
        <v>4934.433</v>
      </c>
      <c r="E957" s="2">
        <f t="shared" si="44"/>
        <v>44.105037365362314</v>
      </c>
    </row>
    <row r="958" spans="1:5" x14ac:dyDescent="0.25">
      <c r="A958" s="1">
        <v>45321</v>
      </c>
      <c r="B958" s="2">
        <v>4924.97</v>
      </c>
      <c r="C958" s="3">
        <f t="shared" si="42"/>
        <v>-6.0065788272155578E-4</v>
      </c>
      <c r="D958" s="4">
        <f t="shared" si="43"/>
        <v>4947.9970000000003</v>
      </c>
      <c r="E958" s="2">
        <f t="shared" si="44"/>
        <v>49.214113026651248</v>
      </c>
    </row>
    <row r="959" spans="1:5" x14ac:dyDescent="0.25">
      <c r="A959" s="1">
        <v>45322</v>
      </c>
      <c r="B959" s="2">
        <v>4845.6499999999996</v>
      </c>
      <c r="C959" s="3">
        <f t="shared" si="42"/>
        <v>-1.6105681862021621E-2</v>
      </c>
      <c r="D959" s="4">
        <f t="shared" si="43"/>
        <v>4957.387999999999</v>
      </c>
      <c r="E959" s="2">
        <f t="shared" si="44"/>
        <v>53.280845113417712</v>
      </c>
    </row>
    <row r="960" spans="1:5" x14ac:dyDescent="0.25">
      <c r="A960" s="1">
        <v>45323</v>
      </c>
      <c r="B960" s="2">
        <v>4906.1899999999996</v>
      </c>
      <c r="C960" s="3">
        <f t="shared" si="42"/>
        <v>1.2493679898465627E-2</v>
      </c>
      <c r="D960" s="4">
        <f t="shared" si="43"/>
        <v>4960.2080000000005</v>
      </c>
      <c r="E960" s="2">
        <f t="shared" si="44"/>
        <v>52.226262895214042</v>
      </c>
    </row>
    <row r="961" spans="1:5" x14ac:dyDescent="0.25">
      <c r="A961" s="1">
        <v>45324</v>
      </c>
      <c r="B961" s="2">
        <v>4958.6099999999997</v>
      </c>
      <c r="C961" s="3">
        <f t="shared" si="42"/>
        <v>1.0684461873673884E-2</v>
      </c>
      <c r="D961" s="4">
        <f t="shared" si="43"/>
        <v>4975.7049999999999</v>
      </c>
      <c r="E961" s="2">
        <f t="shared" si="44"/>
        <v>36.583944087536594</v>
      </c>
    </row>
    <row r="962" spans="1:5" x14ac:dyDescent="0.25">
      <c r="A962" s="1">
        <v>45327</v>
      </c>
      <c r="B962" s="2">
        <v>4942.8100000000004</v>
      </c>
      <c r="C962" s="3">
        <f t="shared" si="42"/>
        <v>-3.1863768273768804E-3</v>
      </c>
      <c r="D962" s="4">
        <f t="shared" si="43"/>
        <v>4988.0589999999993</v>
      </c>
      <c r="E962" s="2">
        <f t="shared" si="44"/>
        <v>31.534111514358472</v>
      </c>
    </row>
    <row r="963" spans="1:5" x14ac:dyDescent="0.25">
      <c r="A963" s="1">
        <v>45328</v>
      </c>
      <c r="B963" s="2">
        <v>4954.2299999999996</v>
      </c>
      <c r="C963" s="3">
        <f t="shared" ref="C963:C1026" si="45">(B963-B962)/B962</f>
        <v>2.3104266601384968E-3</v>
      </c>
      <c r="D963" s="4">
        <f t="shared" ref="D963:D1026" si="46">AVERAGE(B962:B971)</f>
        <v>4992.755000000001</v>
      </c>
      <c r="E963" s="2">
        <f t="shared" ref="E963:E1026" si="47">_xlfn.STDEV.P(B962:B971)</f>
        <v>30.270231664128264</v>
      </c>
    </row>
    <row r="964" spans="1:5" x14ac:dyDescent="0.25">
      <c r="A964" s="1">
        <v>45329</v>
      </c>
      <c r="B964" s="2">
        <v>4995.0600000000004</v>
      </c>
      <c r="C964" s="3">
        <f t="shared" si="45"/>
        <v>8.2414421615469684E-3</v>
      </c>
      <c r="D964" s="4">
        <f t="shared" si="46"/>
        <v>4996.0249999999996</v>
      </c>
      <c r="E964" s="2">
        <f t="shared" si="47"/>
        <v>26.189362821573134</v>
      </c>
    </row>
    <row r="965" spans="1:5" x14ac:dyDescent="0.25">
      <c r="A965" s="1">
        <v>45330</v>
      </c>
      <c r="B965" s="2">
        <v>4997.91</v>
      </c>
      <c r="C965" s="3">
        <f t="shared" si="45"/>
        <v>5.7056371695223961E-4</v>
      </c>
      <c r="D965" s="4">
        <f t="shared" si="46"/>
        <v>4998.7820000000011</v>
      </c>
      <c r="E965" s="2">
        <f t="shared" si="47"/>
        <v>22.887431834961152</v>
      </c>
    </row>
    <row r="966" spans="1:5" x14ac:dyDescent="0.25">
      <c r="A966" s="1">
        <v>45331</v>
      </c>
      <c r="B966" s="2">
        <v>5026.6099999999997</v>
      </c>
      <c r="C966" s="3">
        <f t="shared" si="45"/>
        <v>5.7424003233351182E-3</v>
      </c>
      <c r="D966" s="4">
        <f t="shared" si="46"/>
        <v>5007.9790000000003</v>
      </c>
      <c r="E966" s="2">
        <f t="shared" si="47"/>
        <v>34.880300299739261</v>
      </c>
    </row>
    <row r="967" spans="1:5" x14ac:dyDescent="0.25">
      <c r="A967" s="1">
        <v>45334</v>
      </c>
      <c r="B967" s="2">
        <v>5021.84</v>
      </c>
      <c r="C967" s="3">
        <f t="shared" si="45"/>
        <v>-9.4894968975105037E-4</v>
      </c>
      <c r="D967" s="4">
        <f t="shared" si="46"/>
        <v>5017.0680000000011</v>
      </c>
      <c r="E967" s="2">
        <f t="shared" si="47"/>
        <v>42.155549527909074</v>
      </c>
    </row>
    <row r="968" spans="1:5" x14ac:dyDescent="0.25">
      <c r="A968" s="1">
        <v>45335</v>
      </c>
      <c r="B968" s="2">
        <v>4953.17</v>
      </c>
      <c r="C968" s="3">
        <f t="shared" si="45"/>
        <v>-1.3674270785210215E-2</v>
      </c>
      <c r="D968" s="4">
        <f t="shared" si="46"/>
        <v>5021.3600000000006</v>
      </c>
      <c r="E968" s="2">
        <f t="shared" si="47"/>
        <v>44.997669495208228</v>
      </c>
    </row>
    <row r="969" spans="1:5" x14ac:dyDescent="0.25">
      <c r="A969" s="1">
        <v>45336</v>
      </c>
      <c r="B969" s="2">
        <v>5000.62</v>
      </c>
      <c r="C969" s="3">
        <f t="shared" si="45"/>
        <v>9.5797236921001741E-3</v>
      </c>
      <c r="D969" s="4">
        <f t="shared" si="46"/>
        <v>5026.9940000000006</v>
      </c>
      <c r="E969" s="2">
        <f t="shared" si="47"/>
        <v>48.123554565306137</v>
      </c>
    </row>
    <row r="970" spans="1:5" x14ac:dyDescent="0.25">
      <c r="A970" s="1">
        <v>45337</v>
      </c>
      <c r="B970" s="2">
        <v>5029.7299999999996</v>
      </c>
      <c r="C970" s="3">
        <f t="shared" si="45"/>
        <v>5.8212781615079078E-3</v>
      </c>
      <c r="D970" s="4">
        <f t="shared" si="46"/>
        <v>5038.6530000000002</v>
      </c>
      <c r="E970" s="2">
        <f t="shared" si="47"/>
        <v>42.636123193836468</v>
      </c>
    </row>
    <row r="971" spans="1:5" x14ac:dyDescent="0.25">
      <c r="A971" s="1">
        <v>45338</v>
      </c>
      <c r="B971" s="2">
        <v>5005.57</v>
      </c>
      <c r="C971" s="3">
        <f t="shared" si="45"/>
        <v>-4.8034387531736009E-3</v>
      </c>
      <c r="D971" s="4">
        <f t="shared" si="46"/>
        <v>5048.2180000000008</v>
      </c>
      <c r="E971" s="2">
        <f t="shared" si="47"/>
        <v>43.745522468019551</v>
      </c>
    </row>
    <row r="972" spans="1:5" x14ac:dyDescent="0.25">
      <c r="A972" s="1">
        <v>45342</v>
      </c>
      <c r="B972" s="2">
        <v>4975.51</v>
      </c>
      <c r="C972" s="3">
        <f t="shared" si="45"/>
        <v>-6.0053100845656919E-3</v>
      </c>
      <c r="D972" s="4">
        <f t="shared" si="46"/>
        <v>5058.9529999999995</v>
      </c>
      <c r="E972" s="2">
        <f t="shared" si="47"/>
        <v>50.536080190295721</v>
      </c>
    </row>
    <row r="973" spans="1:5" x14ac:dyDescent="0.25">
      <c r="A973" s="1">
        <v>45343</v>
      </c>
      <c r="B973" s="2">
        <v>4981.8</v>
      </c>
      <c r="C973" s="3">
        <f t="shared" si="45"/>
        <v>1.2641920124771056E-3</v>
      </c>
      <c r="D973" s="4">
        <f t="shared" si="46"/>
        <v>5071.491</v>
      </c>
      <c r="E973" s="2">
        <f t="shared" si="47"/>
        <v>51.284269410804626</v>
      </c>
    </row>
    <row r="974" spans="1:5" x14ac:dyDescent="0.25">
      <c r="A974" s="1">
        <v>45344</v>
      </c>
      <c r="B974" s="2">
        <v>5087.03</v>
      </c>
      <c r="C974" s="3">
        <f t="shared" si="45"/>
        <v>2.112288730980761E-2</v>
      </c>
      <c r="D974" s="4">
        <f t="shared" si="46"/>
        <v>5081.8049999999994</v>
      </c>
      <c r="E974" s="2">
        <f t="shared" si="47"/>
        <v>40.094732634100389</v>
      </c>
    </row>
    <row r="975" spans="1:5" x14ac:dyDescent="0.25">
      <c r="A975" s="1">
        <v>45345</v>
      </c>
      <c r="B975" s="2">
        <v>5088.8</v>
      </c>
      <c r="C975" s="3">
        <f t="shared" si="45"/>
        <v>3.4794369209547351E-4</v>
      </c>
      <c r="D975" s="4">
        <f t="shared" si="46"/>
        <v>5094.1010000000006</v>
      </c>
      <c r="E975" s="2">
        <f t="shared" si="47"/>
        <v>22.560788306262687</v>
      </c>
    </row>
    <row r="976" spans="1:5" x14ac:dyDescent="0.25">
      <c r="A976" s="1">
        <v>45348</v>
      </c>
      <c r="B976" s="2">
        <v>5069.53</v>
      </c>
      <c r="C976" s="3">
        <f t="shared" si="45"/>
        <v>-3.7867473667663174E-3</v>
      </c>
      <c r="D976" s="4">
        <f t="shared" si="46"/>
        <v>5101.134</v>
      </c>
      <c r="E976" s="2">
        <f t="shared" si="47"/>
        <v>29.235189139117853</v>
      </c>
    </row>
    <row r="977" spans="1:5" x14ac:dyDescent="0.25">
      <c r="A977" s="1">
        <v>45349</v>
      </c>
      <c r="B977" s="2">
        <v>5078.18</v>
      </c>
      <c r="C977" s="3">
        <f t="shared" si="45"/>
        <v>1.7062725735917425E-3</v>
      </c>
      <c r="D977" s="4">
        <f t="shared" si="46"/>
        <v>5104.6230000000005</v>
      </c>
      <c r="E977" s="2">
        <f t="shared" si="47"/>
        <v>29.634232249207898</v>
      </c>
    </row>
    <row r="978" spans="1:5" x14ac:dyDescent="0.25">
      <c r="A978" s="1">
        <v>45350</v>
      </c>
      <c r="B978" s="2">
        <v>5069.76</v>
      </c>
      <c r="C978" s="3">
        <f t="shared" si="45"/>
        <v>-1.6580743494716754E-3</v>
      </c>
      <c r="D978" s="4">
        <f t="shared" si="46"/>
        <v>5109.4640000000009</v>
      </c>
      <c r="E978" s="2">
        <f t="shared" si="47"/>
        <v>27.373980784679294</v>
      </c>
    </row>
    <row r="979" spans="1:5" x14ac:dyDescent="0.25">
      <c r="A979" s="1">
        <v>45351</v>
      </c>
      <c r="B979" s="2">
        <v>5096.2700000000004</v>
      </c>
      <c r="C979" s="3">
        <f t="shared" si="45"/>
        <v>5.2290443729092143E-3</v>
      </c>
      <c r="D979" s="4">
        <f t="shared" si="46"/>
        <v>5119.1730000000007</v>
      </c>
      <c r="E979" s="2">
        <f t="shared" si="47"/>
        <v>31.468146450021482</v>
      </c>
    </row>
    <row r="980" spans="1:5" x14ac:dyDescent="0.25">
      <c r="A980" s="1">
        <v>45352</v>
      </c>
      <c r="B980" s="2">
        <v>5137.08</v>
      </c>
      <c r="C980" s="3">
        <f t="shared" si="45"/>
        <v>8.0078174821976641E-3</v>
      </c>
      <c r="D980" s="4">
        <f t="shared" si="46"/>
        <v>5128.7280000000001</v>
      </c>
      <c r="E980" s="2">
        <f t="shared" si="47"/>
        <v>29.455798003109781</v>
      </c>
    </row>
    <row r="981" spans="1:5" x14ac:dyDescent="0.25">
      <c r="A981" s="1">
        <v>45355</v>
      </c>
      <c r="B981" s="2">
        <v>5130.95</v>
      </c>
      <c r="C981" s="3">
        <f t="shared" si="45"/>
        <v>-1.1932849011500909E-3</v>
      </c>
      <c r="D981" s="4">
        <f t="shared" si="46"/>
        <v>5134.1489999999994</v>
      </c>
      <c r="E981" s="2">
        <f t="shared" si="47"/>
        <v>27.932410726609476</v>
      </c>
    </row>
    <row r="982" spans="1:5" x14ac:dyDescent="0.25">
      <c r="A982" s="1">
        <v>45356</v>
      </c>
      <c r="B982" s="2">
        <v>5078.6499999999996</v>
      </c>
      <c r="C982" s="3">
        <f t="shared" si="45"/>
        <v>-1.019304417310638E-2</v>
      </c>
      <c r="D982" s="4">
        <f t="shared" si="46"/>
        <v>5132.1499999999987</v>
      </c>
      <c r="E982" s="2">
        <f t="shared" si="47"/>
        <v>28.363099971618183</v>
      </c>
    </row>
    <row r="983" spans="1:5" x14ac:dyDescent="0.25">
      <c r="A983" s="1">
        <v>45357</v>
      </c>
      <c r="B983" s="2">
        <v>5104.76</v>
      </c>
      <c r="C983" s="3">
        <f t="shared" si="45"/>
        <v>5.1411300247114064E-3</v>
      </c>
      <c r="D983" s="4">
        <f t="shared" si="46"/>
        <v>5133.9969999999985</v>
      </c>
      <c r="E983" s="2">
        <f t="shared" si="47"/>
        <v>28.822479438799288</v>
      </c>
    </row>
    <row r="984" spans="1:5" x14ac:dyDescent="0.25">
      <c r="A984" s="1">
        <v>45358</v>
      </c>
      <c r="B984" s="2">
        <v>5157.3599999999997</v>
      </c>
      <c r="C984" s="3">
        <f t="shared" si="45"/>
        <v>1.0304108322428372E-2</v>
      </c>
      <c r="D984" s="4">
        <f t="shared" si="46"/>
        <v>5143.9829999999993</v>
      </c>
      <c r="E984" s="2">
        <f t="shared" si="47"/>
        <v>24.956498171819014</v>
      </c>
    </row>
    <row r="985" spans="1:5" x14ac:dyDescent="0.25">
      <c r="A985" s="1">
        <v>45359</v>
      </c>
      <c r="B985" s="2">
        <v>5123.6899999999996</v>
      </c>
      <c r="C985" s="3">
        <f t="shared" si="45"/>
        <v>-6.5285339786247372E-3</v>
      </c>
      <c r="D985" s="4">
        <f t="shared" si="46"/>
        <v>5155.9690000000001</v>
      </c>
      <c r="E985" s="2">
        <f t="shared" si="47"/>
        <v>31.233808749494621</v>
      </c>
    </row>
    <row r="986" spans="1:5" x14ac:dyDescent="0.25">
      <c r="A986" s="1">
        <v>45362</v>
      </c>
      <c r="B986" s="2">
        <v>5117.9399999999996</v>
      </c>
      <c r="C986" s="3">
        <f t="shared" si="45"/>
        <v>-1.1222380745127048E-3</v>
      </c>
      <c r="D986" s="4">
        <f t="shared" si="46"/>
        <v>5164.3860000000004</v>
      </c>
      <c r="E986" s="2">
        <f t="shared" si="47"/>
        <v>40.454664799006842</v>
      </c>
    </row>
    <row r="987" spans="1:5" x14ac:dyDescent="0.25">
      <c r="A987" s="1">
        <v>45363</v>
      </c>
      <c r="B987" s="2">
        <v>5175.2700000000004</v>
      </c>
      <c r="C987" s="3">
        <f t="shared" si="45"/>
        <v>1.1201772588189943E-2</v>
      </c>
      <c r="D987" s="4">
        <f t="shared" si="46"/>
        <v>5175.4350000000004</v>
      </c>
      <c r="E987" s="2">
        <f t="shared" si="47"/>
        <v>42.848609137287092</v>
      </c>
    </row>
    <row r="988" spans="1:5" x14ac:dyDescent="0.25">
      <c r="A988" s="1">
        <v>45364</v>
      </c>
      <c r="B988" s="2">
        <v>5165.3100000000004</v>
      </c>
      <c r="C988" s="3">
        <f t="shared" si="45"/>
        <v>-1.9245372705192262E-3</v>
      </c>
      <c r="D988" s="4">
        <f t="shared" si="46"/>
        <v>5185.4600000000009</v>
      </c>
      <c r="E988" s="2">
        <f t="shared" si="47"/>
        <v>39.846382269912461</v>
      </c>
    </row>
    <row r="989" spans="1:5" x14ac:dyDescent="0.25">
      <c r="A989" s="1">
        <v>45365</v>
      </c>
      <c r="B989" s="2">
        <v>5150.4799999999996</v>
      </c>
      <c r="C989" s="3">
        <f t="shared" si="45"/>
        <v>-2.8710764697570594E-3</v>
      </c>
      <c r="D989" s="4">
        <f t="shared" si="46"/>
        <v>5188.2910000000011</v>
      </c>
      <c r="E989" s="2">
        <f t="shared" si="47"/>
        <v>40.027108926326356</v>
      </c>
    </row>
    <row r="990" spans="1:5" x14ac:dyDescent="0.25">
      <c r="A990" s="1">
        <v>45366</v>
      </c>
      <c r="B990" s="2">
        <v>5117.09</v>
      </c>
      <c r="C990" s="3">
        <f t="shared" si="45"/>
        <v>-6.4828909150214005E-3</v>
      </c>
      <c r="D990" s="4">
        <f t="shared" si="46"/>
        <v>5196.6090000000004</v>
      </c>
      <c r="E990" s="2">
        <f t="shared" si="47"/>
        <v>42.925046872426307</v>
      </c>
    </row>
    <row r="991" spans="1:5" x14ac:dyDescent="0.25">
      <c r="A991" s="1">
        <v>45369</v>
      </c>
      <c r="B991" s="2">
        <v>5149.42</v>
      </c>
      <c r="C991" s="3">
        <f t="shared" si="45"/>
        <v>6.3180440445643766E-3</v>
      </c>
      <c r="D991" s="4">
        <f t="shared" si="46"/>
        <v>5206.9960000000001</v>
      </c>
      <c r="E991" s="2">
        <f t="shared" si="47"/>
        <v>43.073004585238714</v>
      </c>
    </row>
    <row r="992" spans="1:5" x14ac:dyDescent="0.25">
      <c r="A992" s="1">
        <v>45370</v>
      </c>
      <c r="B992" s="2">
        <v>5178.51</v>
      </c>
      <c r="C992" s="3">
        <f t="shared" si="45"/>
        <v>5.6491799076401122E-3</v>
      </c>
      <c r="D992" s="4">
        <f t="shared" si="46"/>
        <v>5219.6639999999998</v>
      </c>
      <c r="E992" s="2">
        <f t="shared" si="47"/>
        <v>31.964500997200009</v>
      </c>
    </row>
    <row r="993" spans="1:5" x14ac:dyDescent="0.25">
      <c r="A993" s="1">
        <v>45371</v>
      </c>
      <c r="B993" s="2">
        <v>5224.62</v>
      </c>
      <c r="C993" s="3">
        <f t="shared" si="45"/>
        <v>8.9041056211148911E-3</v>
      </c>
      <c r="D993" s="4">
        <f t="shared" si="46"/>
        <v>5225.3029999999999</v>
      </c>
      <c r="E993" s="2">
        <f t="shared" si="47"/>
        <v>22.709081465352131</v>
      </c>
    </row>
    <row r="994" spans="1:5" x14ac:dyDescent="0.25">
      <c r="A994" s="1">
        <v>45372</v>
      </c>
      <c r="B994" s="2">
        <v>5241.53</v>
      </c>
      <c r="C994" s="3">
        <f t="shared" si="45"/>
        <v>3.2365990253836363E-3</v>
      </c>
      <c r="D994" s="4">
        <f t="shared" si="46"/>
        <v>5228.6009999999987</v>
      </c>
      <c r="E994" s="2">
        <f t="shared" si="47"/>
        <v>17.46273143010572</v>
      </c>
    </row>
    <row r="995" spans="1:5" x14ac:dyDescent="0.25">
      <c r="A995" s="1">
        <v>45373</v>
      </c>
      <c r="B995" s="2">
        <v>5234.18</v>
      </c>
      <c r="C995" s="3">
        <f t="shared" si="45"/>
        <v>-1.4022623165372429E-3</v>
      </c>
      <c r="D995" s="4">
        <f t="shared" si="46"/>
        <v>5220.8599999999988</v>
      </c>
      <c r="E995" s="2">
        <f t="shared" si="47"/>
        <v>30.097982656649965</v>
      </c>
    </row>
    <row r="996" spans="1:5" x14ac:dyDescent="0.25">
      <c r="A996" s="1">
        <v>45376</v>
      </c>
      <c r="B996" s="2">
        <v>5218.1899999999996</v>
      </c>
      <c r="C996" s="3">
        <f t="shared" si="45"/>
        <v>-3.054919777310045E-3</v>
      </c>
      <c r="D996" s="4">
        <f t="shared" si="46"/>
        <v>5217.1410000000005</v>
      </c>
      <c r="E996" s="2">
        <f t="shared" si="47"/>
        <v>29.607832561671977</v>
      </c>
    </row>
    <row r="997" spans="1:5" x14ac:dyDescent="0.25">
      <c r="A997" s="1">
        <v>45377</v>
      </c>
      <c r="B997" s="2">
        <v>5203.58</v>
      </c>
      <c r="C997" s="3">
        <f t="shared" si="45"/>
        <v>-2.7998213940082046E-3</v>
      </c>
      <c r="D997" s="4">
        <f t="shared" si="46"/>
        <v>5213.9619999999995</v>
      </c>
      <c r="E997" s="2">
        <f t="shared" si="47"/>
        <v>29.312866731181408</v>
      </c>
    </row>
    <row r="998" spans="1:5" x14ac:dyDescent="0.25">
      <c r="A998" s="1">
        <v>45378</v>
      </c>
      <c r="B998" s="2">
        <v>5248.49</v>
      </c>
      <c r="C998" s="3">
        <f t="shared" si="45"/>
        <v>8.6305966277062818E-3</v>
      </c>
      <c r="D998" s="4">
        <f t="shared" si="46"/>
        <v>5213.1340000000009</v>
      </c>
      <c r="E998" s="2">
        <f t="shared" si="47"/>
        <v>29.298683315125313</v>
      </c>
    </row>
    <row r="999" spans="1:5" x14ac:dyDescent="0.25">
      <c r="A999" s="1">
        <v>45379</v>
      </c>
      <c r="B999" s="2">
        <v>5254.35</v>
      </c>
      <c r="C999" s="3">
        <f t="shared" si="45"/>
        <v>1.1165116061954167E-3</v>
      </c>
      <c r="D999" s="4">
        <f t="shared" si="46"/>
        <v>5208.8400000000011</v>
      </c>
      <c r="E999" s="2">
        <f t="shared" si="47"/>
        <v>33.262719672329865</v>
      </c>
    </row>
    <row r="1000" spans="1:5" x14ac:dyDescent="0.25">
      <c r="A1000" s="1">
        <v>45383</v>
      </c>
      <c r="B1000" s="2">
        <v>5243.77</v>
      </c>
      <c r="C1000" s="3">
        <f t="shared" si="45"/>
        <v>-2.0135697089078432E-3</v>
      </c>
      <c r="D1000" s="4">
        <f t="shared" si="46"/>
        <v>5203.8969999999999</v>
      </c>
      <c r="E1000" s="2">
        <f t="shared" si="47"/>
        <v>30.566777079044549</v>
      </c>
    </row>
    <row r="1001" spans="1:5" x14ac:dyDescent="0.25">
      <c r="A1001" s="1">
        <v>45384</v>
      </c>
      <c r="B1001" s="2">
        <v>5205.8100000000004</v>
      </c>
      <c r="C1001" s="3">
        <f t="shared" si="45"/>
        <v>-7.2390665494482089E-3</v>
      </c>
      <c r="D1001" s="4">
        <f t="shared" si="46"/>
        <v>5190.8029999999999</v>
      </c>
      <c r="E1001" s="2">
        <f t="shared" si="47"/>
        <v>34.002062011001712</v>
      </c>
    </row>
    <row r="1002" spans="1:5" x14ac:dyDescent="0.25">
      <c r="A1002" s="1">
        <v>45385</v>
      </c>
      <c r="B1002" s="2">
        <v>5211.49</v>
      </c>
      <c r="C1002" s="3">
        <f t="shared" si="45"/>
        <v>1.0910886106099496E-3</v>
      </c>
      <c r="D1002" s="4">
        <f t="shared" si="46"/>
        <v>5172.6079999999993</v>
      </c>
      <c r="E1002" s="2">
        <f t="shared" si="47"/>
        <v>46.991417471704466</v>
      </c>
    </row>
    <row r="1003" spans="1:5" x14ac:dyDescent="0.25">
      <c r="A1003" s="1">
        <v>45386</v>
      </c>
      <c r="B1003" s="2">
        <v>5147.21</v>
      </c>
      <c r="C1003" s="3">
        <f t="shared" si="45"/>
        <v>-1.2334284436888443E-2</v>
      </c>
      <c r="D1003" s="4">
        <f t="shared" si="46"/>
        <v>5157.1679999999997</v>
      </c>
      <c r="E1003" s="2">
        <f t="shared" si="47"/>
        <v>57.692789462809074</v>
      </c>
    </row>
    <row r="1004" spans="1:5" x14ac:dyDescent="0.25">
      <c r="A1004" s="1">
        <v>45387</v>
      </c>
      <c r="B1004" s="2">
        <v>5204.34</v>
      </c>
      <c r="C1004" s="3">
        <f t="shared" si="45"/>
        <v>1.1099216857287755E-2</v>
      </c>
      <c r="D1004" s="4">
        <f t="shared" si="46"/>
        <v>5138.24</v>
      </c>
      <c r="E1004" s="2">
        <f t="shared" si="47"/>
        <v>67.055700577952493</v>
      </c>
    </row>
    <row r="1005" spans="1:5" x14ac:dyDescent="0.25">
      <c r="A1005" s="1">
        <v>45390</v>
      </c>
      <c r="B1005" s="2">
        <v>5202.3900000000003</v>
      </c>
      <c r="C1005" s="3">
        <f t="shared" si="45"/>
        <v>-3.7468728023146413E-4</v>
      </c>
      <c r="D1005" s="4">
        <f t="shared" si="46"/>
        <v>5124.6309999999994</v>
      </c>
      <c r="E1005" s="2">
        <f t="shared" si="47"/>
        <v>76.936112775471187</v>
      </c>
    </row>
    <row r="1006" spans="1:5" x14ac:dyDescent="0.25">
      <c r="A1006" s="1">
        <v>45391</v>
      </c>
      <c r="B1006" s="2">
        <v>5209.91</v>
      </c>
      <c r="C1006" s="3">
        <f t="shared" si="45"/>
        <v>1.4454894769518483E-3</v>
      </c>
      <c r="D1006" s="4">
        <f t="shared" si="46"/>
        <v>5100.92</v>
      </c>
      <c r="E1006" s="2">
        <f t="shared" si="47"/>
        <v>84.847562958520101</v>
      </c>
    </row>
    <row r="1007" spans="1:5" x14ac:dyDescent="0.25">
      <c r="A1007" s="1">
        <v>45392</v>
      </c>
      <c r="B1007" s="2">
        <v>5160.6400000000003</v>
      </c>
      <c r="C1007" s="3">
        <f t="shared" si="45"/>
        <v>-9.456977183866809E-3</v>
      </c>
      <c r="D1007" s="4">
        <f t="shared" si="46"/>
        <v>5081.741</v>
      </c>
      <c r="E1007" s="2">
        <f t="shared" si="47"/>
        <v>81.347581703453329</v>
      </c>
    </row>
    <row r="1008" spans="1:5" x14ac:dyDescent="0.25">
      <c r="A1008" s="1">
        <v>45393</v>
      </c>
      <c r="B1008" s="2">
        <v>5199.0600000000004</v>
      </c>
      <c r="C1008" s="3">
        <f t="shared" si="45"/>
        <v>7.4448130464438659E-3</v>
      </c>
      <c r="D1008" s="4">
        <f t="shared" si="46"/>
        <v>5067.8049999999994</v>
      </c>
      <c r="E1008" s="2">
        <f t="shared" si="47"/>
        <v>69.231579102314441</v>
      </c>
    </row>
    <row r="1009" spans="1:5" x14ac:dyDescent="0.25">
      <c r="A1009" s="1">
        <v>45394</v>
      </c>
      <c r="B1009" s="2">
        <v>5123.41</v>
      </c>
      <c r="C1009" s="3">
        <f t="shared" si="45"/>
        <v>-1.4550707243232534E-2</v>
      </c>
      <c r="D1009" s="4">
        <f t="shared" si="46"/>
        <v>5058.9039999999995</v>
      </c>
      <c r="E1009" s="2">
        <f t="shared" si="47"/>
        <v>62.075865551758639</v>
      </c>
    </row>
    <row r="1010" spans="1:5" x14ac:dyDescent="0.25">
      <c r="A1010" s="1">
        <v>45397</v>
      </c>
      <c r="B1010" s="2">
        <v>5061.82</v>
      </c>
      <c r="C1010" s="3">
        <f t="shared" si="45"/>
        <v>-1.2021290507689244E-2</v>
      </c>
      <c r="D1010" s="4">
        <f t="shared" si="46"/>
        <v>5043.8399999999992</v>
      </c>
      <c r="E1010" s="2">
        <f t="shared" si="47"/>
        <v>40.903667072769927</v>
      </c>
    </row>
    <row r="1011" spans="1:5" x14ac:dyDescent="0.25">
      <c r="A1011" s="1">
        <v>45398</v>
      </c>
      <c r="B1011" s="2">
        <v>5051.41</v>
      </c>
      <c r="C1011" s="3">
        <f t="shared" si="45"/>
        <v>-2.0565725371506404E-3</v>
      </c>
      <c r="D1011" s="4">
        <f t="shared" si="46"/>
        <v>5041.4949999999999</v>
      </c>
      <c r="E1011" s="2">
        <f t="shared" si="47"/>
        <v>36.734423978061848</v>
      </c>
    </row>
    <row r="1012" spans="1:5" x14ac:dyDescent="0.25">
      <c r="A1012" s="1">
        <v>45399</v>
      </c>
      <c r="B1012" s="2">
        <v>5022.21</v>
      </c>
      <c r="C1012" s="3">
        <f t="shared" si="45"/>
        <v>-5.7805642384997098E-3</v>
      </c>
      <c r="D1012" s="4">
        <f t="shared" si="46"/>
        <v>5046.9299999999994</v>
      </c>
      <c r="E1012" s="2">
        <f t="shared" si="47"/>
        <v>42.850947247406417</v>
      </c>
    </row>
    <row r="1013" spans="1:5" x14ac:dyDescent="0.25">
      <c r="A1013" s="1">
        <v>45400</v>
      </c>
      <c r="B1013" s="2">
        <v>5011.12</v>
      </c>
      <c r="C1013" s="3">
        <f t="shared" si="45"/>
        <v>-2.2081912146246665E-3</v>
      </c>
      <c r="D1013" s="4">
        <f t="shared" si="46"/>
        <v>5045.3580000000002</v>
      </c>
      <c r="E1013" s="2">
        <f t="shared" si="47"/>
        <v>42.946003492758308</v>
      </c>
    </row>
    <row r="1014" spans="1:5" x14ac:dyDescent="0.25">
      <c r="A1014" s="1">
        <v>45401</v>
      </c>
      <c r="B1014" s="2">
        <v>4967.2299999999996</v>
      </c>
      <c r="C1014" s="3">
        <f t="shared" si="45"/>
        <v>-8.7585210491866738E-3</v>
      </c>
      <c r="D1014" s="4">
        <f t="shared" si="46"/>
        <v>5044.9760000000006</v>
      </c>
      <c r="E1014" s="2">
        <f t="shared" si="47"/>
        <v>43.166626043739008</v>
      </c>
    </row>
    <row r="1015" spans="1:5" x14ac:dyDescent="0.25">
      <c r="A1015" s="1">
        <v>45404</v>
      </c>
      <c r="B1015" s="2">
        <v>5010.6000000000004</v>
      </c>
      <c r="C1015" s="3">
        <f t="shared" si="45"/>
        <v>8.7312244450127741E-3</v>
      </c>
      <c r="D1015" s="4">
        <f t="shared" si="46"/>
        <v>5050.2839999999997</v>
      </c>
      <c r="E1015" s="2">
        <f t="shared" si="47"/>
        <v>41.92273946201518</v>
      </c>
    </row>
    <row r="1016" spans="1:5" x14ac:dyDescent="0.25">
      <c r="A1016" s="1">
        <v>45405</v>
      </c>
      <c r="B1016" s="2">
        <v>5070.55</v>
      </c>
      <c r="C1016" s="3">
        <f t="shared" si="45"/>
        <v>1.1964634973855389E-2</v>
      </c>
      <c r="D1016" s="4">
        <f t="shared" si="46"/>
        <v>5066.34</v>
      </c>
      <c r="E1016" s="2">
        <f t="shared" si="47"/>
        <v>37.558517808880531</v>
      </c>
    </row>
    <row r="1017" spans="1:5" x14ac:dyDescent="0.25">
      <c r="A1017" s="1">
        <v>45406</v>
      </c>
      <c r="B1017" s="2">
        <v>5071.63</v>
      </c>
      <c r="C1017" s="3">
        <f t="shared" si="45"/>
        <v>2.1299464555125721E-4</v>
      </c>
      <c r="D1017" s="4">
        <f t="shared" si="46"/>
        <v>5083.3540000000003</v>
      </c>
      <c r="E1017" s="2">
        <f t="shared" si="47"/>
        <v>46.034848799577858</v>
      </c>
    </row>
    <row r="1018" spans="1:5" x14ac:dyDescent="0.25">
      <c r="A1018" s="1">
        <v>45407</v>
      </c>
      <c r="B1018" s="2">
        <v>5048.42</v>
      </c>
      <c r="C1018" s="3">
        <f t="shared" si="45"/>
        <v>-4.5764379499293201E-3</v>
      </c>
      <c r="D1018" s="4">
        <f t="shared" si="46"/>
        <v>5095.0689999999995</v>
      </c>
      <c r="E1018" s="2">
        <f t="shared" si="47"/>
        <v>55.26645102591619</v>
      </c>
    </row>
    <row r="1019" spans="1:5" x14ac:dyDescent="0.25">
      <c r="A1019" s="1">
        <v>45408</v>
      </c>
      <c r="B1019" s="2">
        <v>5099.96</v>
      </c>
      <c r="C1019" s="3">
        <f t="shared" si="45"/>
        <v>1.0209134739185718E-2</v>
      </c>
      <c r="D1019" s="4">
        <f t="shared" si="46"/>
        <v>5106.6729999999998</v>
      </c>
      <c r="E1019" s="2">
        <f t="shared" si="47"/>
        <v>61.010520740278849</v>
      </c>
    </row>
    <row r="1020" spans="1:5" x14ac:dyDescent="0.25">
      <c r="A1020" s="1">
        <v>45411</v>
      </c>
      <c r="B1020" s="2">
        <v>5116.17</v>
      </c>
      <c r="C1020" s="3">
        <f t="shared" si="45"/>
        <v>3.1784563016180592E-3</v>
      </c>
      <c r="D1020" s="4">
        <f t="shared" si="46"/>
        <v>5123.2389999999996</v>
      </c>
      <c r="E1020" s="2">
        <f t="shared" si="47"/>
        <v>65.285040009178189</v>
      </c>
    </row>
    <row r="1021" spans="1:5" x14ac:dyDescent="0.25">
      <c r="A1021" s="1">
        <v>45412</v>
      </c>
      <c r="B1021" s="2">
        <v>5035.6899999999996</v>
      </c>
      <c r="C1021" s="3">
        <f t="shared" si="45"/>
        <v>-1.5730517164206911E-2</v>
      </c>
      <c r="D1021" s="4">
        <f t="shared" si="46"/>
        <v>5135.5110000000004</v>
      </c>
      <c r="E1021" s="2">
        <f t="shared" si="47"/>
        <v>71.036571771165896</v>
      </c>
    </row>
    <row r="1022" spans="1:5" x14ac:dyDescent="0.25">
      <c r="A1022" s="1">
        <v>45413</v>
      </c>
      <c r="B1022" s="2">
        <v>5018.3900000000003</v>
      </c>
      <c r="C1022" s="3">
        <f t="shared" si="45"/>
        <v>-3.4354775611682357E-3</v>
      </c>
      <c r="D1022" s="4">
        <f t="shared" si="46"/>
        <v>5146.0360000000001</v>
      </c>
      <c r="E1022" s="2">
        <f t="shared" si="47"/>
        <v>75.07361123590637</v>
      </c>
    </row>
    <row r="1023" spans="1:5" x14ac:dyDescent="0.25">
      <c r="A1023" s="1">
        <v>45414</v>
      </c>
      <c r="B1023" s="2">
        <v>5064.2</v>
      </c>
      <c r="C1023" s="3">
        <f t="shared" si="45"/>
        <v>9.128425650457515E-3</v>
      </c>
      <c r="D1023" s="4">
        <f t="shared" si="46"/>
        <v>5167.1350000000002</v>
      </c>
      <c r="E1023" s="2">
        <f t="shared" si="47"/>
        <v>70.612865718649331</v>
      </c>
    </row>
    <row r="1024" spans="1:5" x14ac:dyDescent="0.25">
      <c r="A1024" s="1">
        <v>45415</v>
      </c>
      <c r="B1024" s="2">
        <v>5127.79</v>
      </c>
      <c r="C1024" s="3">
        <f t="shared" si="45"/>
        <v>1.2556771059594832E-2</v>
      </c>
      <c r="D1024" s="4">
        <f t="shared" si="46"/>
        <v>5196.1109999999999</v>
      </c>
      <c r="E1024" s="2">
        <f t="shared" si="47"/>
        <v>62.630533679667799</v>
      </c>
    </row>
    <row r="1025" spans="1:5" x14ac:dyDescent="0.25">
      <c r="A1025" s="1">
        <v>45418</v>
      </c>
      <c r="B1025" s="2">
        <v>5180.74</v>
      </c>
      <c r="C1025" s="3">
        <f t="shared" si="45"/>
        <v>1.0326085896653299E-2</v>
      </c>
      <c r="D1025" s="4">
        <f t="shared" si="46"/>
        <v>5219.4009999999998</v>
      </c>
      <c r="E1025" s="2">
        <f t="shared" si="47"/>
        <v>51.575054716403393</v>
      </c>
    </row>
    <row r="1026" spans="1:5" x14ac:dyDescent="0.25">
      <c r="A1026" s="1">
        <v>45419</v>
      </c>
      <c r="B1026" s="2">
        <v>5187.7</v>
      </c>
      <c r="C1026" s="3">
        <f t="shared" si="45"/>
        <v>1.3434374239973512E-3</v>
      </c>
      <c r="D1026" s="4">
        <f t="shared" si="46"/>
        <v>5236.9490000000005</v>
      </c>
      <c r="E1026" s="2">
        <f t="shared" si="47"/>
        <v>47.076505275986747</v>
      </c>
    </row>
    <row r="1027" spans="1:5" x14ac:dyDescent="0.25">
      <c r="A1027" s="1">
        <v>45420</v>
      </c>
      <c r="B1027" s="2">
        <v>5187.67</v>
      </c>
      <c r="C1027" s="3">
        <f t="shared" ref="C1027:C1090" si="48">(B1027-B1026)/B1026</f>
        <v>-5.7829095745215304E-6</v>
      </c>
      <c r="D1027" s="4">
        <f t="shared" ref="D1027:D1090" si="49">AVERAGE(B1026:B1035)</f>
        <v>5249.6880000000001</v>
      </c>
      <c r="E1027" s="2">
        <f t="shared" ref="E1027:E1090" si="50">_xlfn.STDEV.P(B1026:B1035)</f>
        <v>47.377669170190345</v>
      </c>
    </row>
    <row r="1028" spans="1:5" x14ac:dyDescent="0.25">
      <c r="A1028" s="1">
        <v>45421</v>
      </c>
      <c r="B1028" s="2">
        <v>5214.08</v>
      </c>
      <c r="C1028" s="3">
        <f t="shared" si="48"/>
        <v>5.0909175024625416E-3</v>
      </c>
      <c r="D1028" s="4">
        <f t="shared" si="49"/>
        <v>5263.0589999999993</v>
      </c>
      <c r="E1028" s="2">
        <f t="shared" si="50"/>
        <v>46.861638991823554</v>
      </c>
    </row>
    <row r="1029" spans="1:5" x14ac:dyDescent="0.25">
      <c r="A1029" s="1">
        <v>45422</v>
      </c>
      <c r="B1029" s="2">
        <v>5222.68</v>
      </c>
      <c r="C1029" s="3">
        <f t="shared" si="48"/>
        <v>1.6493801399288779E-3</v>
      </c>
      <c r="D1029" s="4">
        <f t="shared" si="49"/>
        <v>5274.9930000000004</v>
      </c>
      <c r="E1029" s="2">
        <f t="shared" si="50"/>
        <v>40.968423950647626</v>
      </c>
    </row>
    <row r="1030" spans="1:5" x14ac:dyDescent="0.25">
      <c r="A1030" s="1">
        <v>45425</v>
      </c>
      <c r="B1030" s="2">
        <v>5221.42</v>
      </c>
      <c r="C1030" s="3">
        <f t="shared" si="48"/>
        <v>-2.412554473948659E-4</v>
      </c>
      <c r="D1030" s="4">
        <f t="shared" si="49"/>
        <v>5280.3690000000006</v>
      </c>
      <c r="E1030" s="2">
        <f t="shared" si="50"/>
        <v>35.8271903587205</v>
      </c>
    </row>
    <row r="1031" spans="1:5" x14ac:dyDescent="0.25">
      <c r="A1031" s="1">
        <v>45426</v>
      </c>
      <c r="B1031" s="2">
        <v>5246.68</v>
      </c>
      <c r="C1031" s="3">
        <f t="shared" si="48"/>
        <v>4.8377644395586296E-3</v>
      </c>
      <c r="D1031" s="4">
        <f t="shared" si="49"/>
        <v>5288.5730000000012</v>
      </c>
      <c r="E1031" s="2">
        <f t="shared" si="50"/>
        <v>30.704673927596062</v>
      </c>
    </row>
    <row r="1032" spans="1:5" x14ac:dyDescent="0.25">
      <c r="A1032" s="1">
        <v>45427</v>
      </c>
      <c r="B1032" s="2">
        <v>5308.15</v>
      </c>
      <c r="C1032" s="3">
        <f t="shared" si="48"/>
        <v>1.17159803914093E-2</v>
      </c>
      <c r="D1032" s="4">
        <f t="shared" si="49"/>
        <v>5297.0349999999999</v>
      </c>
      <c r="E1032" s="2">
        <f t="shared" si="50"/>
        <v>21.230370345333032</v>
      </c>
    </row>
    <row r="1033" spans="1:5" x14ac:dyDescent="0.25">
      <c r="A1033" s="1">
        <v>45428</v>
      </c>
      <c r="B1033" s="2">
        <v>5297.1</v>
      </c>
      <c r="C1033" s="3">
        <f t="shared" si="48"/>
        <v>-2.0817045486655941E-3</v>
      </c>
      <c r="D1033" s="4">
        <f t="shared" si="49"/>
        <v>5299.0619999999999</v>
      </c>
      <c r="E1033" s="2">
        <f t="shared" si="50"/>
        <v>16.839477901645285</v>
      </c>
    </row>
    <row r="1034" spans="1:5" x14ac:dyDescent="0.25">
      <c r="A1034" s="1">
        <v>45429</v>
      </c>
      <c r="B1034" s="2">
        <v>5303.27</v>
      </c>
      <c r="C1034" s="3">
        <f t="shared" si="48"/>
        <v>1.1647882803798441E-3</v>
      </c>
      <c r="D1034" s="4">
        <f t="shared" si="49"/>
        <v>5291.7950000000001</v>
      </c>
      <c r="E1034" s="2">
        <f t="shared" si="50"/>
        <v>25.035307567513669</v>
      </c>
    </row>
    <row r="1035" spans="1:5" x14ac:dyDescent="0.25">
      <c r="A1035" s="1">
        <v>45432</v>
      </c>
      <c r="B1035" s="2">
        <v>5308.13</v>
      </c>
      <c r="C1035" s="3">
        <f t="shared" si="48"/>
        <v>9.1641572086649786E-4</v>
      </c>
      <c r="D1035" s="4">
        <f t="shared" si="49"/>
        <v>5289.8359999999993</v>
      </c>
      <c r="E1035" s="2">
        <f t="shared" si="50"/>
        <v>25.308511690733742</v>
      </c>
    </row>
    <row r="1036" spans="1:5" x14ac:dyDescent="0.25">
      <c r="A1036" s="1">
        <v>45433</v>
      </c>
      <c r="B1036" s="2">
        <v>5321.41</v>
      </c>
      <c r="C1036" s="3">
        <f t="shared" si="48"/>
        <v>2.5018226757821953E-3</v>
      </c>
      <c r="D1036" s="4">
        <f t="shared" si="49"/>
        <v>5287.8490000000002</v>
      </c>
      <c r="E1036" s="2">
        <f t="shared" si="50"/>
        <v>24.953307776725833</v>
      </c>
    </row>
    <row r="1037" spans="1:5" x14ac:dyDescent="0.25">
      <c r="A1037" s="1">
        <v>45434</v>
      </c>
      <c r="B1037" s="2">
        <v>5307.01</v>
      </c>
      <c r="C1037" s="3">
        <f t="shared" si="48"/>
        <v>-2.7060497123881895E-3</v>
      </c>
      <c r="D1037" s="4">
        <f t="shared" si="49"/>
        <v>5286.17</v>
      </c>
      <c r="E1037" s="2">
        <f t="shared" si="50"/>
        <v>24.081846689986325</v>
      </c>
    </row>
    <row r="1038" spans="1:5" x14ac:dyDescent="0.25">
      <c r="A1038" s="1">
        <v>45435</v>
      </c>
      <c r="B1038" s="2">
        <v>5267.84</v>
      </c>
      <c r="C1038" s="3">
        <f t="shared" si="48"/>
        <v>-7.3808038801509834E-3</v>
      </c>
      <c r="D1038" s="4">
        <f t="shared" si="49"/>
        <v>5289.4320000000007</v>
      </c>
      <c r="E1038" s="2">
        <f t="shared" si="50"/>
        <v>30.093303175291393</v>
      </c>
    </row>
    <row r="1039" spans="1:5" x14ac:dyDescent="0.25">
      <c r="A1039" s="1">
        <v>45436</v>
      </c>
      <c r="B1039" s="2">
        <v>5304.72</v>
      </c>
      <c r="C1039" s="3">
        <f t="shared" si="48"/>
        <v>7.0009719353663191E-3</v>
      </c>
      <c r="D1039" s="4">
        <f t="shared" si="49"/>
        <v>5294.027</v>
      </c>
      <c r="E1039" s="2">
        <f t="shared" si="50"/>
        <v>35.456662857635145</v>
      </c>
    </row>
    <row r="1040" spans="1:5" x14ac:dyDescent="0.25">
      <c r="A1040" s="1">
        <v>45440</v>
      </c>
      <c r="B1040" s="2">
        <v>5306.04</v>
      </c>
      <c r="C1040" s="3">
        <f t="shared" si="48"/>
        <v>2.4883499977373149E-4</v>
      </c>
      <c r="D1040" s="4">
        <f t="shared" si="49"/>
        <v>5301.942</v>
      </c>
      <c r="E1040" s="2">
        <f t="shared" si="50"/>
        <v>37.502796642383927</v>
      </c>
    </row>
    <row r="1041" spans="1:5" x14ac:dyDescent="0.25">
      <c r="A1041" s="1">
        <v>45441</v>
      </c>
      <c r="B1041" s="2">
        <v>5266.95</v>
      </c>
      <c r="C1041" s="3">
        <f t="shared" si="48"/>
        <v>-7.3670760114888214E-3</v>
      </c>
      <c r="D1041" s="4">
        <f t="shared" si="49"/>
        <v>5307.549</v>
      </c>
      <c r="E1041" s="2">
        <f t="shared" si="50"/>
        <v>41.479612932138167</v>
      </c>
    </row>
    <row r="1042" spans="1:5" x14ac:dyDescent="0.25">
      <c r="A1042" s="1">
        <v>45442</v>
      </c>
      <c r="B1042" s="2">
        <v>5235.4799999999996</v>
      </c>
      <c r="C1042" s="3">
        <f t="shared" si="48"/>
        <v>-5.9749950160909553E-3</v>
      </c>
      <c r="D1042" s="4">
        <f t="shared" si="49"/>
        <v>5314.4769999999999</v>
      </c>
      <c r="E1042" s="2">
        <f t="shared" si="50"/>
        <v>46.169516360906378</v>
      </c>
    </row>
    <row r="1043" spans="1:5" x14ac:dyDescent="0.25">
      <c r="A1043" s="1">
        <v>45443</v>
      </c>
      <c r="B1043" s="2">
        <v>5277.51</v>
      </c>
      <c r="C1043" s="3">
        <f t="shared" si="48"/>
        <v>8.0279172110294863E-3</v>
      </c>
      <c r="D1043" s="4">
        <f t="shared" si="49"/>
        <v>5329.8850000000002</v>
      </c>
      <c r="E1043" s="2">
        <f t="shared" si="50"/>
        <v>52.949885599498693</v>
      </c>
    </row>
    <row r="1044" spans="1:5" x14ac:dyDescent="0.25">
      <c r="A1044" s="1">
        <v>45446</v>
      </c>
      <c r="B1044" s="2">
        <v>5283.4</v>
      </c>
      <c r="C1044" s="3">
        <f t="shared" si="48"/>
        <v>1.1160566251886624E-3</v>
      </c>
      <c r="D1044" s="4">
        <f t="shared" si="49"/>
        <v>5349.7109999999993</v>
      </c>
      <c r="E1044" s="2">
        <f t="shared" si="50"/>
        <v>50.97034244538672</v>
      </c>
    </row>
    <row r="1045" spans="1:5" x14ac:dyDescent="0.25">
      <c r="A1045" s="1">
        <v>45447</v>
      </c>
      <c r="B1045" s="2">
        <v>5291.34</v>
      </c>
      <c r="C1045" s="3">
        <f t="shared" si="48"/>
        <v>1.502820153689009E-3</v>
      </c>
      <c r="D1045" s="4">
        <f t="shared" si="49"/>
        <v>5365.12</v>
      </c>
      <c r="E1045" s="2">
        <f t="shared" si="50"/>
        <v>50.09811293851299</v>
      </c>
    </row>
    <row r="1046" spans="1:5" x14ac:dyDescent="0.25">
      <c r="A1046" s="1">
        <v>45448</v>
      </c>
      <c r="B1046" s="2">
        <v>5354.03</v>
      </c>
      <c r="C1046" s="3">
        <f t="shared" si="48"/>
        <v>1.1847660516995619E-2</v>
      </c>
      <c r="D1046" s="4">
        <f t="shared" si="49"/>
        <v>5384.1030000000001</v>
      </c>
      <c r="E1046" s="2">
        <f t="shared" si="50"/>
        <v>51.48230765029858</v>
      </c>
    </row>
    <row r="1047" spans="1:5" x14ac:dyDescent="0.25">
      <c r="A1047" s="1">
        <v>45449</v>
      </c>
      <c r="B1047" s="2">
        <v>5352.96</v>
      </c>
      <c r="C1047" s="3">
        <f t="shared" si="48"/>
        <v>-1.9984945919236706E-4</v>
      </c>
      <c r="D1047" s="4">
        <f t="shared" si="49"/>
        <v>5403.6720000000005</v>
      </c>
      <c r="E1047" s="2">
        <f t="shared" si="50"/>
        <v>49.662677696636493</v>
      </c>
    </row>
    <row r="1048" spans="1:5" x14ac:dyDescent="0.25">
      <c r="A1048" s="1">
        <v>45450</v>
      </c>
      <c r="B1048" s="2">
        <v>5346.99</v>
      </c>
      <c r="C1048" s="3">
        <f t="shared" si="48"/>
        <v>-1.1152708034433761E-3</v>
      </c>
      <c r="D1048" s="4">
        <f t="shared" si="49"/>
        <v>5415.5860000000002</v>
      </c>
      <c r="E1048" s="2">
        <f t="shared" si="50"/>
        <v>50.606348850712372</v>
      </c>
    </row>
    <row r="1049" spans="1:5" x14ac:dyDescent="0.25">
      <c r="A1049" s="1">
        <v>45453</v>
      </c>
      <c r="B1049" s="2">
        <v>5360.79</v>
      </c>
      <c r="C1049" s="3">
        <f t="shared" si="48"/>
        <v>2.5808913052016522E-3</v>
      </c>
      <c r="D1049" s="4">
        <f t="shared" si="49"/>
        <v>5426.7519999999995</v>
      </c>
      <c r="E1049" s="2">
        <f t="shared" si="50"/>
        <v>47.79701576458514</v>
      </c>
    </row>
    <row r="1050" spans="1:5" x14ac:dyDescent="0.25">
      <c r="A1050" s="1">
        <v>45454</v>
      </c>
      <c r="B1050" s="2">
        <v>5375.32</v>
      </c>
      <c r="C1050" s="3">
        <f t="shared" si="48"/>
        <v>2.7104214117694863E-3</v>
      </c>
      <c r="D1050" s="4">
        <f t="shared" si="49"/>
        <v>5436.84</v>
      </c>
      <c r="E1050" s="2">
        <f t="shared" si="50"/>
        <v>39.889676609368472</v>
      </c>
    </row>
    <row r="1051" spans="1:5" x14ac:dyDescent="0.25">
      <c r="A1051" s="1">
        <v>45455</v>
      </c>
      <c r="B1051" s="2">
        <v>5421.03</v>
      </c>
      <c r="C1051" s="3">
        <f t="shared" si="48"/>
        <v>8.5036797809246775E-3</v>
      </c>
      <c r="D1051" s="4">
        <f t="shared" si="49"/>
        <v>5447.6910000000007</v>
      </c>
      <c r="E1051" s="2">
        <f t="shared" si="50"/>
        <v>31.62984364488705</v>
      </c>
    </row>
    <row r="1052" spans="1:5" x14ac:dyDescent="0.25">
      <c r="A1052" s="1">
        <v>45456</v>
      </c>
      <c r="B1052" s="2">
        <v>5433.74</v>
      </c>
      <c r="C1052" s="3">
        <f t="shared" si="48"/>
        <v>2.3445728948188883E-3</v>
      </c>
      <c r="D1052" s="4">
        <f t="shared" si="49"/>
        <v>5457.9490000000005</v>
      </c>
      <c r="E1052" s="2">
        <f t="shared" si="50"/>
        <v>21.510989028866092</v>
      </c>
    </row>
    <row r="1053" spans="1:5" x14ac:dyDescent="0.25">
      <c r="A1053" s="1">
        <v>45457</v>
      </c>
      <c r="B1053" s="2">
        <v>5431.6</v>
      </c>
      <c r="C1053" s="3">
        <f t="shared" si="48"/>
        <v>-3.9383555341245956E-4</v>
      </c>
      <c r="D1053" s="4">
        <f t="shared" si="49"/>
        <v>5464.1329999999998</v>
      </c>
      <c r="E1053" s="2">
        <f t="shared" si="50"/>
        <v>18.715906630457319</v>
      </c>
    </row>
    <row r="1054" spans="1:5" x14ac:dyDescent="0.25">
      <c r="A1054" s="1">
        <v>45460</v>
      </c>
      <c r="B1054" s="2">
        <v>5473.23</v>
      </c>
      <c r="C1054" s="3">
        <f t="shared" si="48"/>
        <v>7.6644082774871489E-3</v>
      </c>
      <c r="D1054" s="4">
        <f t="shared" si="49"/>
        <v>5466.8070000000007</v>
      </c>
      <c r="E1054" s="2">
        <f t="shared" si="50"/>
        <v>15.877527546818992</v>
      </c>
    </row>
    <row r="1055" spans="1:5" x14ac:dyDescent="0.25">
      <c r="A1055" s="1">
        <v>45461</v>
      </c>
      <c r="B1055" s="2">
        <v>5487.03</v>
      </c>
      <c r="C1055" s="3">
        <f t="shared" si="48"/>
        <v>2.5213630708010048E-3</v>
      </c>
      <c r="D1055" s="4">
        <f t="shared" si="49"/>
        <v>5471.1559999999999</v>
      </c>
      <c r="E1055" s="2">
        <f t="shared" si="50"/>
        <v>10.774488572549508</v>
      </c>
    </row>
    <row r="1056" spans="1:5" x14ac:dyDescent="0.25">
      <c r="A1056" s="1">
        <v>45463</v>
      </c>
      <c r="B1056" s="2">
        <v>5473.17</v>
      </c>
      <c r="C1056" s="3">
        <f t="shared" si="48"/>
        <v>-2.5259566650810499E-3</v>
      </c>
      <c r="D1056" s="4">
        <f t="shared" si="49"/>
        <v>5474.7340000000004</v>
      </c>
      <c r="E1056" s="2">
        <f t="shared" si="50"/>
        <v>15.689165178555625</v>
      </c>
    </row>
    <row r="1057" spans="1:5" x14ac:dyDescent="0.25">
      <c r="A1057" s="1">
        <v>45464</v>
      </c>
      <c r="B1057" s="2">
        <v>5464.62</v>
      </c>
      <c r="C1057" s="3">
        <f t="shared" si="48"/>
        <v>-1.5621659842468226E-3</v>
      </c>
      <c r="D1057" s="4">
        <f t="shared" si="49"/>
        <v>5479.7330000000002</v>
      </c>
      <c r="E1057" s="2">
        <f t="shared" si="50"/>
        <v>24.372019222871305</v>
      </c>
    </row>
    <row r="1058" spans="1:5" x14ac:dyDescent="0.25">
      <c r="A1058" s="1">
        <v>45467</v>
      </c>
      <c r="B1058" s="2">
        <v>5447.87</v>
      </c>
      <c r="C1058" s="3">
        <f t="shared" si="48"/>
        <v>-3.0651719607218799E-3</v>
      </c>
      <c r="D1058" s="4">
        <f t="shared" si="49"/>
        <v>5489.1350000000002</v>
      </c>
      <c r="E1058" s="2">
        <f t="shared" si="50"/>
        <v>35.583185706173111</v>
      </c>
    </row>
    <row r="1059" spans="1:5" x14ac:dyDescent="0.25">
      <c r="A1059" s="1">
        <v>45468</v>
      </c>
      <c r="B1059" s="2">
        <v>5469.3</v>
      </c>
      <c r="C1059" s="3">
        <f t="shared" si="48"/>
        <v>3.9336474622192327E-3</v>
      </c>
      <c r="D1059" s="4">
        <f t="shared" si="49"/>
        <v>5499.9579999999996</v>
      </c>
      <c r="E1059" s="2">
        <f t="shared" si="50"/>
        <v>42.305405990251508</v>
      </c>
    </row>
    <row r="1060" spans="1:5" x14ac:dyDescent="0.25">
      <c r="A1060" s="1">
        <v>45469</v>
      </c>
      <c r="B1060" s="2">
        <v>5477.9</v>
      </c>
      <c r="C1060" s="3">
        <f t="shared" si="48"/>
        <v>1.5724132887205773E-3</v>
      </c>
      <c r="D1060" s="4">
        <f t="shared" si="49"/>
        <v>5512.8690000000006</v>
      </c>
      <c r="E1060" s="2">
        <f t="shared" si="50"/>
        <v>44.101885776007371</v>
      </c>
    </row>
    <row r="1061" spans="1:5" x14ac:dyDescent="0.25">
      <c r="A1061" s="1">
        <v>45470</v>
      </c>
      <c r="B1061" s="2">
        <v>5482.87</v>
      </c>
      <c r="C1061" s="3">
        <f t="shared" si="48"/>
        <v>9.0728198762304077E-4</v>
      </c>
      <c r="D1061" s="4">
        <f t="shared" si="49"/>
        <v>5529.33</v>
      </c>
      <c r="E1061" s="2">
        <f t="shared" si="50"/>
        <v>54.307259183280479</v>
      </c>
    </row>
    <row r="1062" spans="1:5" x14ac:dyDescent="0.25">
      <c r="A1062" s="1">
        <v>45471</v>
      </c>
      <c r="B1062" s="2">
        <v>5460.48</v>
      </c>
      <c r="C1062" s="3">
        <f t="shared" si="48"/>
        <v>-4.0836277351095915E-3</v>
      </c>
      <c r="D1062" s="4">
        <f t="shared" si="49"/>
        <v>5539.9939999999997</v>
      </c>
      <c r="E1062" s="2">
        <f t="shared" si="50"/>
        <v>53.627114634296689</v>
      </c>
    </row>
    <row r="1063" spans="1:5" x14ac:dyDescent="0.25">
      <c r="A1063" s="1">
        <v>45474</v>
      </c>
      <c r="B1063" s="2">
        <v>5475.09</v>
      </c>
      <c r="C1063" s="3">
        <f t="shared" si="48"/>
        <v>2.6755889592124838E-3</v>
      </c>
      <c r="D1063" s="4">
        <f t="shared" si="49"/>
        <v>5553.2420000000002</v>
      </c>
      <c r="E1063" s="2">
        <f t="shared" si="50"/>
        <v>54.239242767575611</v>
      </c>
    </row>
    <row r="1064" spans="1:5" x14ac:dyDescent="0.25">
      <c r="A1064" s="1">
        <v>45475</v>
      </c>
      <c r="B1064" s="2">
        <v>5509.01</v>
      </c>
      <c r="C1064" s="3">
        <f t="shared" si="48"/>
        <v>6.1953319488812185E-3</v>
      </c>
      <c r="D1064" s="4">
        <f t="shared" si="49"/>
        <v>5570.3160000000007</v>
      </c>
      <c r="E1064" s="2">
        <f t="shared" si="50"/>
        <v>48.968887714547854</v>
      </c>
    </row>
    <row r="1065" spans="1:5" x14ac:dyDescent="0.25">
      <c r="A1065" s="1">
        <v>45476</v>
      </c>
      <c r="B1065" s="2">
        <v>5537.02</v>
      </c>
      <c r="C1065" s="3">
        <f t="shared" si="48"/>
        <v>5.0843981041966196E-3</v>
      </c>
      <c r="D1065" s="4">
        <f t="shared" si="49"/>
        <v>5589.527</v>
      </c>
      <c r="E1065" s="2">
        <f t="shared" si="50"/>
        <v>45.395388323044379</v>
      </c>
    </row>
    <row r="1066" spans="1:5" x14ac:dyDescent="0.25">
      <c r="A1066" s="1">
        <v>45478</v>
      </c>
      <c r="B1066" s="2">
        <v>5567.19</v>
      </c>
      <c r="C1066" s="3">
        <f t="shared" si="48"/>
        <v>5.4487793072806601E-3</v>
      </c>
      <c r="D1066" s="4">
        <f t="shared" si="49"/>
        <v>5597.4529999999995</v>
      </c>
      <c r="E1066" s="2">
        <f t="shared" si="50"/>
        <v>36.739339691943236</v>
      </c>
    </row>
    <row r="1067" spans="1:5" x14ac:dyDescent="0.25">
      <c r="A1067" s="1">
        <v>45481</v>
      </c>
      <c r="B1067" s="2">
        <v>5572.85</v>
      </c>
      <c r="C1067" s="3">
        <f t="shared" si="48"/>
        <v>1.0166708878268506E-3</v>
      </c>
      <c r="D1067" s="4">
        <f t="shared" si="49"/>
        <v>5598.2099999999991</v>
      </c>
      <c r="E1067" s="2">
        <f t="shared" si="50"/>
        <v>35.544914685507401</v>
      </c>
    </row>
    <row r="1068" spans="1:5" x14ac:dyDescent="0.25">
      <c r="A1068" s="1">
        <v>45482</v>
      </c>
      <c r="B1068" s="2">
        <v>5576.98</v>
      </c>
      <c r="C1068" s="3">
        <f t="shared" si="48"/>
        <v>7.4109297756070941E-4</v>
      </c>
      <c r="D1068" s="4">
        <f t="shared" si="49"/>
        <v>5591.9909999999991</v>
      </c>
      <c r="E1068" s="2">
        <f t="shared" si="50"/>
        <v>44.691737144577381</v>
      </c>
    </row>
    <row r="1069" spans="1:5" x14ac:dyDescent="0.25">
      <c r="A1069" s="1">
        <v>45483</v>
      </c>
      <c r="B1069" s="2">
        <v>5633.91</v>
      </c>
      <c r="C1069" s="3">
        <f t="shared" si="48"/>
        <v>1.0208033738690168E-2</v>
      </c>
      <c r="D1069" s="4">
        <f t="shared" si="49"/>
        <v>5591.1469999999999</v>
      </c>
      <c r="E1069" s="2">
        <f t="shared" si="50"/>
        <v>45.122858963057737</v>
      </c>
    </row>
    <row r="1070" spans="1:5" x14ac:dyDescent="0.25">
      <c r="A1070" s="1">
        <v>45484</v>
      </c>
      <c r="B1070" s="2">
        <v>5584.54</v>
      </c>
      <c r="C1070" s="3">
        <f t="shared" si="48"/>
        <v>-8.7630082837673821E-3</v>
      </c>
      <c r="D1070" s="4">
        <f t="shared" si="49"/>
        <v>5589.0230000000001</v>
      </c>
      <c r="E1070" s="2">
        <f t="shared" si="50"/>
        <v>46.226141965342521</v>
      </c>
    </row>
    <row r="1071" spans="1:5" x14ac:dyDescent="0.25">
      <c r="A1071" s="1">
        <v>45485</v>
      </c>
      <c r="B1071" s="2">
        <v>5615.35</v>
      </c>
      <c r="C1071" s="3">
        <f t="shared" si="48"/>
        <v>5.5170166208855882E-3</v>
      </c>
      <c r="D1071" s="4">
        <f t="shared" si="49"/>
        <v>5568.3449999999993</v>
      </c>
      <c r="E1071" s="2">
        <f t="shared" si="50"/>
        <v>64.255167768826212</v>
      </c>
    </row>
    <row r="1072" spans="1:5" x14ac:dyDescent="0.25">
      <c r="A1072" s="1">
        <v>45488</v>
      </c>
      <c r="B1072" s="2">
        <v>5631.22</v>
      </c>
      <c r="C1072" s="3">
        <f t="shared" si="48"/>
        <v>2.8261818052302866E-3</v>
      </c>
      <c r="D1072" s="4">
        <f t="shared" si="49"/>
        <v>5549.8130000000001</v>
      </c>
      <c r="E1072" s="2">
        <f t="shared" si="50"/>
        <v>81.359635698545233</v>
      </c>
    </row>
    <row r="1073" spans="1:5" x14ac:dyDescent="0.25">
      <c r="A1073" s="1">
        <v>45489</v>
      </c>
      <c r="B1073" s="2">
        <v>5667.2</v>
      </c>
      <c r="C1073" s="3">
        <f t="shared" si="48"/>
        <v>6.389379210899159E-3</v>
      </c>
      <c r="D1073" s="4">
        <f t="shared" si="49"/>
        <v>5534.1880000000001</v>
      </c>
      <c r="E1073" s="2">
        <f t="shared" si="50"/>
        <v>82.271651837069541</v>
      </c>
    </row>
    <row r="1074" spans="1:5" x14ac:dyDescent="0.25">
      <c r="A1074" s="1">
        <v>45490</v>
      </c>
      <c r="B1074" s="2">
        <v>5588.27</v>
      </c>
      <c r="C1074" s="3">
        <f t="shared" si="48"/>
        <v>-1.3927512704686508E-2</v>
      </c>
      <c r="D1074" s="4">
        <f t="shared" si="49"/>
        <v>5517.42</v>
      </c>
      <c r="E1074" s="2">
        <f t="shared" si="50"/>
        <v>77.749932218619875</v>
      </c>
    </row>
    <row r="1075" spans="1:5" x14ac:dyDescent="0.25">
      <c r="A1075" s="1">
        <v>45491</v>
      </c>
      <c r="B1075" s="2">
        <v>5544.59</v>
      </c>
      <c r="C1075" s="3">
        <f t="shared" si="48"/>
        <v>-7.8163725088444703E-3</v>
      </c>
      <c r="D1075" s="4">
        <f t="shared" si="49"/>
        <v>5494.3440000000001</v>
      </c>
      <c r="E1075" s="2">
        <f t="shared" si="50"/>
        <v>62.649193003581473</v>
      </c>
    </row>
    <row r="1076" spans="1:5" x14ac:dyDescent="0.25">
      <c r="A1076" s="1">
        <v>45492</v>
      </c>
      <c r="B1076" s="2">
        <v>5505</v>
      </c>
      <c r="C1076" s="3">
        <f t="shared" si="48"/>
        <v>-7.1402935113326947E-3</v>
      </c>
      <c r="D1076" s="4">
        <f t="shared" si="49"/>
        <v>5487.7470000000003</v>
      </c>
      <c r="E1076" s="2">
        <f t="shared" si="50"/>
        <v>55.473826449957414</v>
      </c>
    </row>
    <row r="1077" spans="1:5" x14ac:dyDescent="0.25">
      <c r="A1077" s="1">
        <v>45495</v>
      </c>
      <c r="B1077" s="2">
        <v>5564.41</v>
      </c>
      <c r="C1077" s="3">
        <f t="shared" si="48"/>
        <v>1.0792007266121681E-2</v>
      </c>
      <c r="D1077" s="4">
        <f t="shared" si="49"/>
        <v>5477.956000000001</v>
      </c>
      <c r="E1077" s="2">
        <f t="shared" si="50"/>
        <v>53.169718110969811</v>
      </c>
    </row>
    <row r="1078" spans="1:5" x14ac:dyDescent="0.25">
      <c r="A1078" s="1">
        <v>45496</v>
      </c>
      <c r="B1078" s="2">
        <v>5555.74</v>
      </c>
      <c r="C1078" s="3">
        <f t="shared" si="48"/>
        <v>-1.5581166736455569E-3</v>
      </c>
      <c r="D1078" s="4">
        <f t="shared" si="49"/>
        <v>5462.1120000000001</v>
      </c>
      <c r="E1078" s="2">
        <f t="shared" si="50"/>
        <v>65.03337355542908</v>
      </c>
    </row>
    <row r="1079" spans="1:5" x14ac:dyDescent="0.25">
      <c r="A1079" s="1">
        <v>45497</v>
      </c>
      <c r="B1079" s="2">
        <v>5427.13</v>
      </c>
      <c r="C1079" s="3">
        <f t="shared" si="48"/>
        <v>-2.314903145215573E-2</v>
      </c>
      <c r="D1079" s="4">
        <f t="shared" si="49"/>
        <v>5424.3040000000001</v>
      </c>
      <c r="E1079" s="2">
        <f t="shared" si="50"/>
        <v>96.741810423415146</v>
      </c>
    </row>
    <row r="1080" spans="1:5" x14ac:dyDescent="0.25">
      <c r="A1080" s="1">
        <v>45498</v>
      </c>
      <c r="B1080" s="2">
        <v>5399.22</v>
      </c>
      <c r="C1080" s="3">
        <f t="shared" si="48"/>
        <v>-5.1426813066943033E-3</v>
      </c>
      <c r="D1080" s="4">
        <f t="shared" si="49"/>
        <v>5392.7330000000002</v>
      </c>
      <c r="E1080" s="2">
        <f t="shared" si="50"/>
        <v>100.15187637283695</v>
      </c>
    </row>
    <row r="1081" spans="1:5" x14ac:dyDescent="0.25">
      <c r="A1081" s="1">
        <v>45499</v>
      </c>
      <c r="B1081" s="2">
        <v>5459.1</v>
      </c>
      <c r="C1081" s="3">
        <f t="shared" si="48"/>
        <v>1.1090490848678162E-2</v>
      </c>
      <c r="D1081" s="4">
        <f t="shared" si="49"/>
        <v>5369.9699999999993</v>
      </c>
      <c r="E1081" s="2">
        <f t="shared" si="50"/>
        <v>114.57673428755079</v>
      </c>
    </row>
    <row r="1082" spans="1:5" x14ac:dyDescent="0.25">
      <c r="A1082" s="1">
        <v>45502</v>
      </c>
      <c r="B1082" s="2">
        <v>5463.54</v>
      </c>
      <c r="C1082" s="3">
        <f t="shared" si="48"/>
        <v>8.1332087706757511E-4</v>
      </c>
      <c r="D1082" s="4">
        <f t="shared" si="49"/>
        <v>5361.9789999999994</v>
      </c>
      <c r="E1082" s="2">
        <f t="shared" si="50"/>
        <v>115.04372763866796</v>
      </c>
    </row>
    <row r="1083" spans="1:5" x14ac:dyDescent="0.25">
      <c r="A1083" s="1">
        <v>45503</v>
      </c>
      <c r="B1083" s="2">
        <v>5436.44</v>
      </c>
      <c r="C1083" s="3">
        <f t="shared" si="48"/>
        <v>-4.960154039322557E-3</v>
      </c>
      <c r="D1083" s="4">
        <f t="shared" si="49"/>
        <v>5350.4849999999988</v>
      </c>
      <c r="E1083" s="2">
        <f t="shared" si="50"/>
        <v>110.41489956070245</v>
      </c>
    </row>
    <row r="1084" spans="1:5" x14ac:dyDescent="0.25">
      <c r="A1084" s="1">
        <v>45504</v>
      </c>
      <c r="B1084" s="2">
        <v>5522.3</v>
      </c>
      <c r="C1084" s="3">
        <f t="shared" si="48"/>
        <v>1.5793423637527608E-2</v>
      </c>
      <c r="D1084" s="4">
        <f t="shared" si="49"/>
        <v>5338.57</v>
      </c>
      <c r="E1084" s="2">
        <f t="shared" si="50"/>
        <v>103.80295959171883</v>
      </c>
    </row>
    <row r="1085" spans="1:5" x14ac:dyDescent="0.25">
      <c r="A1085" s="1">
        <v>45505</v>
      </c>
      <c r="B1085" s="2">
        <v>5446.68</v>
      </c>
      <c r="C1085" s="3">
        <f t="shared" si="48"/>
        <v>-1.3693569708273706E-2</v>
      </c>
      <c r="D1085" s="4">
        <f t="shared" si="49"/>
        <v>5338.3689999999997</v>
      </c>
      <c r="E1085" s="2">
        <f t="shared" si="50"/>
        <v>103.61502926216846</v>
      </c>
    </row>
    <row r="1086" spans="1:5" x14ac:dyDescent="0.25">
      <c r="A1086" s="1">
        <v>45506</v>
      </c>
      <c r="B1086" s="2">
        <v>5346.56</v>
      </c>
      <c r="C1086" s="3">
        <f t="shared" si="48"/>
        <v>-1.8381839946536218E-2</v>
      </c>
      <c r="D1086" s="4">
        <f t="shared" si="49"/>
        <v>5331.6600000000008</v>
      </c>
      <c r="E1086" s="2">
        <f t="shared" si="50"/>
        <v>93.129932137847177</v>
      </c>
    </row>
    <row r="1087" spans="1:5" x14ac:dyDescent="0.25">
      <c r="A1087" s="1">
        <v>45509</v>
      </c>
      <c r="B1087" s="2">
        <v>5186.33</v>
      </c>
      <c r="C1087" s="3">
        <f t="shared" si="48"/>
        <v>-2.9968802370122182E-2</v>
      </c>
      <c r="D1087" s="4">
        <f t="shared" si="49"/>
        <v>5341.3140000000003</v>
      </c>
      <c r="E1087" s="2">
        <f t="shared" si="50"/>
        <v>108.31799418379211</v>
      </c>
    </row>
    <row r="1088" spans="1:5" x14ac:dyDescent="0.25">
      <c r="A1088" s="1">
        <v>45510</v>
      </c>
      <c r="B1088" s="2">
        <v>5240.03</v>
      </c>
      <c r="C1088" s="3">
        <f t="shared" si="48"/>
        <v>1.0354142524675409E-2</v>
      </c>
      <c r="D1088" s="4">
        <f t="shared" si="49"/>
        <v>5362.0830000000005</v>
      </c>
      <c r="E1088" s="2">
        <f t="shared" si="50"/>
        <v>125.82868695571776</v>
      </c>
    </row>
    <row r="1089" spans="1:5" x14ac:dyDescent="0.25">
      <c r="A1089" s="1">
        <v>45511</v>
      </c>
      <c r="B1089" s="2">
        <v>5199.5</v>
      </c>
      <c r="C1089" s="3">
        <f t="shared" si="48"/>
        <v>-7.7346885418594453E-3</v>
      </c>
      <c r="D1089" s="4">
        <f t="shared" si="49"/>
        <v>5404.2749999999996</v>
      </c>
      <c r="E1089" s="2">
        <f t="shared" si="50"/>
        <v>130.47452274294781</v>
      </c>
    </row>
    <row r="1090" spans="1:5" x14ac:dyDescent="0.25">
      <c r="A1090" s="1">
        <v>45512</v>
      </c>
      <c r="B1090" s="2">
        <v>5319.31</v>
      </c>
      <c r="C1090" s="3">
        <f t="shared" si="48"/>
        <v>2.3042600250024119E-2</v>
      </c>
      <c r="D1090" s="4">
        <f t="shared" si="49"/>
        <v>5439.9840000000004</v>
      </c>
      <c r="E1090" s="2">
        <f t="shared" si="50"/>
        <v>129.49805328266518</v>
      </c>
    </row>
    <row r="1091" spans="1:5" x14ac:dyDescent="0.25">
      <c r="A1091" s="1">
        <v>45513</v>
      </c>
      <c r="B1091" s="2">
        <v>5344.16</v>
      </c>
      <c r="C1091" s="3">
        <f t="shared" ref="C1091:C1154" si="51">(B1091-B1090)/B1090</f>
        <v>4.6716585421792403E-3</v>
      </c>
      <c r="D1091" s="4">
        <f t="shared" ref="D1091:D1154" si="52">AVERAGE(B1090:B1099)</f>
        <v>5482.1190000000006</v>
      </c>
      <c r="E1091" s="2">
        <f t="shared" ref="E1091:E1154" si="53">_xlfn.STDEV.P(B1090:B1099)</f>
        <v>111.7245861437848</v>
      </c>
    </row>
    <row r="1092" spans="1:5" x14ac:dyDescent="0.25">
      <c r="A1092" s="1">
        <v>45516</v>
      </c>
      <c r="B1092" s="2">
        <v>5344.39</v>
      </c>
      <c r="C1092" s="3">
        <f t="shared" si="51"/>
        <v>4.3037633603872814E-5</v>
      </c>
      <c r="D1092" s="4">
        <f t="shared" si="52"/>
        <v>5507.2520000000004</v>
      </c>
      <c r="E1092" s="2">
        <f t="shared" si="53"/>
        <v>99.918142276565575</v>
      </c>
    </row>
    <row r="1093" spans="1:5" x14ac:dyDescent="0.25">
      <c r="A1093" s="1">
        <v>45517</v>
      </c>
      <c r="B1093" s="2">
        <v>5434.43</v>
      </c>
      <c r="C1093" s="3">
        <f t="shared" si="51"/>
        <v>1.6847572875482508E-2</v>
      </c>
      <c r="D1093" s="4">
        <f t="shared" si="52"/>
        <v>5536.2970000000005</v>
      </c>
      <c r="E1093" s="2">
        <f t="shared" si="53"/>
        <v>90.011827561715364</v>
      </c>
    </row>
    <row r="1094" spans="1:5" x14ac:dyDescent="0.25">
      <c r="A1094" s="1">
        <v>45518</v>
      </c>
      <c r="B1094" s="2">
        <v>5455.21</v>
      </c>
      <c r="C1094" s="3">
        <f t="shared" si="51"/>
        <v>3.8237680860733776E-3</v>
      </c>
      <c r="D1094" s="4">
        <f t="shared" si="52"/>
        <v>5563.5419999999995</v>
      </c>
      <c r="E1094" s="2">
        <f t="shared" si="53"/>
        <v>65.770258445592205</v>
      </c>
    </row>
    <row r="1095" spans="1:5" x14ac:dyDescent="0.25">
      <c r="A1095" s="1">
        <v>45519</v>
      </c>
      <c r="B1095" s="2">
        <v>5543.22</v>
      </c>
      <c r="C1095" s="3">
        <f t="shared" si="51"/>
        <v>1.6133201104998749E-2</v>
      </c>
      <c r="D1095" s="4">
        <f t="shared" si="52"/>
        <v>5582.679000000001</v>
      </c>
      <c r="E1095" s="2">
        <f t="shared" si="53"/>
        <v>51.769847681831145</v>
      </c>
    </row>
    <row r="1096" spans="1:5" x14ac:dyDescent="0.25">
      <c r="A1096" s="1">
        <v>45520</v>
      </c>
      <c r="B1096" s="2">
        <v>5554.25</v>
      </c>
      <c r="C1096" s="3">
        <f t="shared" si="51"/>
        <v>1.9898181923141685E-3</v>
      </c>
      <c r="D1096" s="4">
        <f t="shared" si="52"/>
        <v>5596.3760000000002</v>
      </c>
      <c r="E1096" s="2">
        <f t="shared" si="53"/>
        <v>29.609147640551832</v>
      </c>
    </row>
    <row r="1097" spans="1:5" x14ac:dyDescent="0.25">
      <c r="A1097" s="1">
        <v>45523</v>
      </c>
      <c r="B1097" s="2">
        <v>5608.25</v>
      </c>
      <c r="C1097" s="3">
        <f t="shared" si="51"/>
        <v>9.722284736913174E-3</v>
      </c>
      <c r="D1097" s="4">
        <f t="shared" si="52"/>
        <v>5601.25</v>
      </c>
      <c r="E1097" s="2">
        <f t="shared" si="53"/>
        <v>23.923624725362963</v>
      </c>
    </row>
    <row r="1098" spans="1:5" x14ac:dyDescent="0.25">
      <c r="A1098" s="1">
        <v>45524</v>
      </c>
      <c r="B1098" s="2">
        <v>5597.12</v>
      </c>
      <c r="C1098" s="3">
        <f t="shared" si="51"/>
        <v>-1.9845762938528258E-3</v>
      </c>
      <c r="D1098" s="4">
        <f t="shared" si="52"/>
        <v>5610.665</v>
      </c>
      <c r="E1098" s="2">
        <f t="shared" si="53"/>
        <v>22.025209306610314</v>
      </c>
    </row>
    <row r="1099" spans="1:5" x14ac:dyDescent="0.25">
      <c r="A1099" s="1">
        <v>45525</v>
      </c>
      <c r="B1099" s="2">
        <v>5620.85</v>
      </c>
      <c r="C1099" s="3">
        <f t="shared" si="51"/>
        <v>4.2396804070665758E-3</v>
      </c>
      <c r="D1099" s="4">
        <f t="shared" si="52"/>
        <v>5602.7330000000002</v>
      </c>
      <c r="E1099" s="2">
        <f t="shared" si="53"/>
        <v>33.010165419155207</v>
      </c>
    </row>
    <row r="1100" spans="1:5" x14ac:dyDescent="0.25">
      <c r="A1100" s="1">
        <v>45526</v>
      </c>
      <c r="B1100" s="2">
        <v>5570.64</v>
      </c>
      <c r="C1100" s="3">
        <f t="shared" si="51"/>
        <v>-8.9328126528905837E-3</v>
      </c>
      <c r="D1100" s="4">
        <f t="shared" si="52"/>
        <v>5595.0280000000002</v>
      </c>
      <c r="E1100" s="2">
        <f t="shared" si="53"/>
        <v>41.357835726739808</v>
      </c>
    </row>
    <row r="1101" spans="1:5" x14ac:dyDescent="0.25">
      <c r="A1101" s="1">
        <v>45527</v>
      </c>
      <c r="B1101" s="2">
        <v>5634.61</v>
      </c>
      <c r="C1101" s="3">
        <f t="shared" si="51"/>
        <v>1.1483420217425528E-2</v>
      </c>
      <c r="D1101" s="4">
        <f t="shared" si="52"/>
        <v>5583.2839999999997</v>
      </c>
      <c r="E1101" s="2">
        <f t="shared" si="53"/>
        <v>48.42785628127676</v>
      </c>
    </row>
    <row r="1102" spans="1:5" x14ac:dyDescent="0.25">
      <c r="A1102" s="1">
        <v>45530</v>
      </c>
      <c r="B1102" s="2">
        <v>5616.84</v>
      </c>
      <c r="C1102" s="3">
        <f t="shared" si="51"/>
        <v>-3.1537231503155549E-3</v>
      </c>
      <c r="D1102" s="4">
        <f t="shared" si="52"/>
        <v>5567.0619999999999</v>
      </c>
      <c r="E1102" s="2">
        <f t="shared" si="53"/>
        <v>71.581134078750082</v>
      </c>
    </row>
    <row r="1103" spans="1:5" x14ac:dyDescent="0.25">
      <c r="A1103" s="1">
        <v>45531</v>
      </c>
      <c r="B1103" s="2">
        <v>5625.8</v>
      </c>
      <c r="C1103" s="3">
        <f t="shared" si="51"/>
        <v>1.5952029967027789E-3</v>
      </c>
      <c r="D1103" s="4">
        <f t="shared" si="52"/>
        <v>5550.7060000000001</v>
      </c>
      <c r="E1103" s="2">
        <f t="shared" si="53"/>
        <v>72.95133449087821</v>
      </c>
    </row>
    <row r="1104" spans="1:5" x14ac:dyDescent="0.25">
      <c r="A1104" s="1">
        <v>45532</v>
      </c>
      <c r="B1104" s="2">
        <v>5592.18</v>
      </c>
      <c r="C1104" s="3">
        <f t="shared" si="51"/>
        <v>-5.9760389633474152E-3</v>
      </c>
      <c r="D1104" s="4">
        <f t="shared" si="52"/>
        <v>5538.5740000000005</v>
      </c>
      <c r="E1104" s="2">
        <f t="shared" si="53"/>
        <v>71.006271863828985</v>
      </c>
    </row>
    <row r="1105" spans="1:5" x14ac:dyDescent="0.25">
      <c r="A1105" s="1">
        <v>45533</v>
      </c>
      <c r="B1105" s="2">
        <v>5591.96</v>
      </c>
      <c r="C1105" s="3">
        <f t="shared" si="51"/>
        <v>-3.9340650694408023E-5</v>
      </c>
      <c r="D1105" s="4">
        <f t="shared" si="52"/>
        <v>5531.4070000000002</v>
      </c>
      <c r="E1105" s="2">
        <f t="shared" si="53"/>
        <v>65.221822735952344</v>
      </c>
    </row>
    <row r="1106" spans="1:5" x14ac:dyDescent="0.25">
      <c r="A1106" s="1">
        <v>45534</v>
      </c>
      <c r="B1106" s="2">
        <v>5648.4</v>
      </c>
      <c r="C1106" s="3">
        <f t="shared" si="51"/>
        <v>1.0093062182132849E-2</v>
      </c>
      <c r="D1106" s="4">
        <f t="shared" si="52"/>
        <v>5531.7650000000012</v>
      </c>
      <c r="E1106" s="2">
        <f t="shared" si="53"/>
        <v>65.563351843846334</v>
      </c>
    </row>
    <row r="1107" spans="1:5" x14ac:dyDescent="0.25">
      <c r="A1107" s="1">
        <v>45538</v>
      </c>
      <c r="B1107" s="2">
        <v>5528.93</v>
      </c>
      <c r="C1107" s="3">
        <f t="shared" si="51"/>
        <v>-2.1151122441753302E-2</v>
      </c>
      <c r="D1107" s="4">
        <f t="shared" si="52"/>
        <v>5535.1710000000003</v>
      </c>
      <c r="E1107" s="2">
        <f t="shared" si="53"/>
        <v>69.375852924486608</v>
      </c>
    </row>
    <row r="1108" spans="1:5" x14ac:dyDescent="0.25">
      <c r="A1108" s="1">
        <v>45539</v>
      </c>
      <c r="B1108" s="2">
        <v>5520.07</v>
      </c>
      <c r="C1108" s="3">
        <f t="shared" si="51"/>
        <v>-1.6024800458679313E-3</v>
      </c>
      <c r="D1108" s="4">
        <f t="shared" si="52"/>
        <v>5533.6399999999994</v>
      </c>
      <c r="E1108" s="2">
        <f t="shared" si="53"/>
        <v>66.988039380175977</v>
      </c>
    </row>
    <row r="1109" spans="1:5" x14ac:dyDescent="0.25">
      <c r="A1109" s="1">
        <v>45540</v>
      </c>
      <c r="B1109" s="2">
        <v>5503.41</v>
      </c>
      <c r="C1109" s="3">
        <f t="shared" si="51"/>
        <v>-3.018077669304892E-3</v>
      </c>
      <c r="D1109" s="4">
        <f t="shared" si="52"/>
        <v>5544.2049999999999</v>
      </c>
      <c r="E1109" s="2">
        <f t="shared" si="53"/>
        <v>73.433290441052719</v>
      </c>
    </row>
    <row r="1110" spans="1:5" x14ac:dyDescent="0.25">
      <c r="A1110" s="1">
        <v>45541</v>
      </c>
      <c r="B1110" s="2">
        <v>5408.42</v>
      </c>
      <c r="C1110" s="3">
        <f t="shared" si="51"/>
        <v>-1.7260207762096552E-2</v>
      </c>
      <c r="D1110" s="4">
        <f t="shared" si="52"/>
        <v>5554.0239999999994</v>
      </c>
      <c r="E1110" s="2">
        <f t="shared" si="53"/>
        <v>76.067074769574276</v>
      </c>
    </row>
    <row r="1111" spans="1:5" x14ac:dyDescent="0.25">
      <c r="A1111" s="1">
        <v>45544</v>
      </c>
      <c r="B1111" s="2">
        <v>5471.05</v>
      </c>
      <c r="C1111" s="3">
        <f t="shared" si="51"/>
        <v>1.1580091782812746E-2</v>
      </c>
      <c r="D1111" s="4">
        <f t="shared" si="52"/>
        <v>5575.0470000000005</v>
      </c>
      <c r="E1111" s="2">
        <f t="shared" si="53"/>
        <v>87.382963906015476</v>
      </c>
    </row>
    <row r="1112" spans="1:5" x14ac:dyDescent="0.25">
      <c r="A1112" s="1">
        <v>45545</v>
      </c>
      <c r="B1112" s="2">
        <v>5495.52</v>
      </c>
      <c r="C1112" s="3">
        <f t="shared" si="51"/>
        <v>4.4726332239698515E-3</v>
      </c>
      <c r="D1112" s="4">
        <f t="shared" si="52"/>
        <v>5604.4600000000009</v>
      </c>
      <c r="E1112" s="2">
        <f t="shared" si="53"/>
        <v>74.966016300721208</v>
      </c>
    </row>
    <row r="1113" spans="1:5" x14ac:dyDescent="0.25">
      <c r="A1113" s="1">
        <v>45546</v>
      </c>
      <c r="B1113" s="2">
        <v>5554.13</v>
      </c>
      <c r="C1113" s="3">
        <f t="shared" si="51"/>
        <v>1.06650508050193E-2</v>
      </c>
      <c r="D1113" s="4">
        <f t="shared" si="52"/>
        <v>5629.2120000000014</v>
      </c>
      <c r="E1113" s="2">
        <f t="shared" si="53"/>
        <v>67.301771863748044</v>
      </c>
    </row>
    <row r="1114" spans="1:5" x14ac:dyDescent="0.25">
      <c r="A1114" s="1">
        <v>45547</v>
      </c>
      <c r="B1114" s="2">
        <v>5595.76</v>
      </c>
      <c r="C1114" s="3">
        <f t="shared" si="51"/>
        <v>7.4953232999587886E-3</v>
      </c>
      <c r="D1114" s="4">
        <f t="shared" si="52"/>
        <v>5652.9530000000004</v>
      </c>
      <c r="E1114" s="2">
        <f t="shared" si="53"/>
        <v>57.046302956458078</v>
      </c>
    </row>
    <row r="1115" spans="1:5" x14ac:dyDescent="0.25">
      <c r="A1115" s="1">
        <v>45548</v>
      </c>
      <c r="B1115" s="2">
        <v>5626.02</v>
      </c>
      <c r="C1115" s="3">
        <f t="shared" si="51"/>
        <v>5.4076658041088644E-3</v>
      </c>
      <c r="D1115" s="4">
        <f t="shared" si="52"/>
        <v>5669.7660000000014</v>
      </c>
      <c r="E1115" s="2">
        <f t="shared" si="53"/>
        <v>49.75290146313074</v>
      </c>
    </row>
    <row r="1116" spans="1:5" x14ac:dyDescent="0.25">
      <c r="A1116" s="1">
        <v>45551</v>
      </c>
      <c r="B1116" s="2">
        <v>5633.09</v>
      </c>
      <c r="C1116" s="3">
        <f t="shared" si="51"/>
        <v>1.2566610143582334E-3</v>
      </c>
      <c r="D1116" s="4">
        <f t="shared" si="52"/>
        <v>5684.7270000000008</v>
      </c>
      <c r="E1116" s="2">
        <f t="shared" si="53"/>
        <v>47.7014398210368</v>
      </c>
    </row>
    <row r="1117" spans="1:5" x14ac:dyDescent="0.25">
      <c r="A1117" s="1">
        <v>45552</v>
      </c>
      <c r="B1117" s="2">
        <v>5634.58</v>
      </c>
      <c r="C1117" s="3">
        <f t="shared" si="51"/>
        <v>2.6450846693374004E-4</v>
      </c>
      <c r="D1117" s="4">
        <f t="shared" si="52"/>
        <v>5695.9420000000009</v>
      </c>
      <c r="E1117" s="2">
        <f t="shared" si="53"/>
        <v>45.723247653682684</v>
      </c>
    </row>
    <row r="1118" spans="1:5" x14ac:dyDescent="0.25">
      <c r="A1118" s="1">
        <v>45553</v>
      </c>
      <c r="B1118" s="2">
        <v>5618.26</v>
      </c>
      <c r="C1118" s="3">
        <f t="shared" si="51"/>
        <v>-2.8964004415590354E-3</v>
      </c>
      <c r="D1118" s="4">
        <f t="shared" si="52"/>
        <v>5708.8809999999994</v>
      </c>
      <c r="E1118" s="2">
        <f t="shared" si="53"/>
        <v>44.394716003146065</v>
      </c>
    </row>
    <row r="1119" spans="1:5" x14ac:dyDescent="0.25">
      <c r="A1119" s="1">
        <v>45554</v>
      </c>
      <c r="B1119" s="2">
        <v>5713.64</v>
      </c>
      <c r="C1119" s="3">
        <f t="shared" si="51"/>
        <v>1.6976786407179464E-2</v>
      </c>
      <c r="D1119" s="4">
        <f t="shared" si="52"/>
        <v>5716.2979999999998</v>
      </c>
      <c r="E1119" s="2">
        <f t="shared" si="53"/>
        <v>36.929890007959571</v>
      </c>
    </row>
    <row r="1120" spans="1:5" x14ac:dyDescent="0.25">
      <c r="A1120" s="1">
        <v>45555</v>
      </c>
      <c r="B1120" s="2">
        <v>5702.55</v>
      </c>
      <c r="C1120" s="3">
        <f t="shared" si="51"/>
        <v>-1.9409693295342628E-3</v>
      </c>
      <c r="D1120" s="4">
        <f t="shared" si="52"/>
        <v>5725.4260000000004</v>
      </c>
      <c r="E1120" s="2">
        <f t="shared" si="53"/>
        <v>17.997736079851702</v>
      </c>
    </row>
    <row r="1121" spans="1:5" x14ac:dyDescent="0.25">
      <c r="A1121" s="1">
        <v>45558</v>
      </c>
      <c r="B1121" s="2">
        <v>5718.57</v>
      </c>
      <c r="C1121" s="3">
        <f t="shared" si="51"/>
        <v>2.8092695373121718E-3</v>
      </c>
      <c r="D1121" s="4">
        <f t="shared" si="52"/>
        <v>5724.0560000000005</v>
      </c>
      <c r="E1121" s="2">
        <f t="shared" si="53"/>
        <v>19.315906502155119</v>
      </c>
    </row>
    <row r="1122" spans="1:5" x14ac:dyDescent="0.25">
      <c r="A1122" s="1">
        <v>45559</v>
      </c>
      <c r="B1122" s="2">
        <v>5732.93</v>
      </c>
      <c r="C1122" s="3">
        <f t="shared" si="51"/>
        <v>2.5111172898120652E-3</v>
      </c>
      <c r="D1122" s="4">
        <f t="shared" si="52"/>
        <v>5728.9080000000004</v>
      </c>
      <c r="E1122" s="2">
        <f t="shared" si="53"/>
        <v>19.398122486467567</v>
      </c>
    </row>
    <row r="1123" spans="1:5" x14ac:dyDescent="0.25">
      <c r="A1123" s="1">
        <v>45560</v>
      </c>
      <c r="B1123" s="2">
        <v>5722.26</v>
      </c>
      <c r="C1123" s="3">
        <f t="shared" si="51"/>
        <v>-1.8611774432968956E-3</v>
      </c>
      <c r="D1123" s="4">
        <f t="shared" si="52"/>
        <v>5726.6450000000013</v>
      </c>
      <c r="E1123" s="2">
        <f t="shared" si="53"/>
        <v>21.660273890235093</v>
      </c>
    </row>
    <row r="1124" spans="1:5" x14ac:dyDescent="0.25">
      <c r="A1124" s="1">
        <v>45561</v>
      </c>
      <c r="B1124" s="2">
        <v>5745.37</v>
      </c>
      <c r="C1124" s="3">
        <f t="shared" si="51"/>
        <v>4.03861411400385E-3</v>
      </c>
      <c r="D1124" s="4">
        <f t="shared" si="52"/>
        <v>5728.4650000000001</v>
      </c>
      <c r="E1124" s="2">
        <f t="shared" si="53"/>
        <v>22.844177923488527</v>
      </c>
    </row>
    <row r="1125" spans="1:5" x14ac:dyDescent="0.25">
      <c r="A1125" s="1">
        <v>45562</v>
      </c>
      <c r="B1125" s="2">
        <v>5738.17</v>
      </c>
      <c r="C1125" s="3">
        <f t="shared" si="51"/>
        <v>-1.2531829977877522E-3</v>
      </c>
      <c r="D1125" s="4">
        <f t="shared" si="52"/>
        <v>5735.4430000000002</v>
      </c>
      <c r="E1125" s="2">
        <f t="shared" si="53"/>
        <v>29.554895381307016</v>
      </c>
    </row>
    <row r="1126" spans="1:5" x14ac:dyDescent="0.25">
      <c r="A1126" s="1">
        <v>45565</v>
      </c>
      <c r="B1126" s="2">
        <v>5762.48</v>
      </c>
      <c r="C1126" s="3">
        <f t="shared" si="51"/>
        <v>4.2365423122701995E-3</v>
      </c>
      <c r="D1126" s="4">
        <f t="shared" si="52"/>
        <v>5738.9110000000001</v>
      </c>
      <c r="E1126" s="2">
        <f t="shared" si="53"/>
        <v>32.412786504711462</v>
      </c>
    </row>
    <row r="1127" spans="1:5" x14ac:dyDescent="0.25">
      <c r="A1127" s="1">
        <v>45566</v>
      </c>
      <c r="B1127" s="2">
        <v>5708.75</v>
      </c>
      <c r="C1127" s="3">
        <f t="shared" si="51"/>
        <v>-9.3241104524440111E-3</v>
      </c>
      <c r="D1127" s="4">
        <f t="shared" si="52"/>
        <v>5746.5969999999998</v>
      </c>
      <c r="E1127" s="2">
        <f t="shared" si="53"/>
        <v>39.634195349470687</v>
      </c>
    </row>
    <row r="1128" spans="1:5" x14ac:dyDescent="0.25">
      <c r="A1128" s="1">
        <v>45567</v>
      </c>
      <c r="B1128" s="2">
        <v>5709.54</v>
      </c>
      <c r="C1128" s="3">
        <f t="shared" si="51"/>
        <v>1.3838405955769015E-4</v>
      </c>
      <c r="D1128" s="4">
        <f t="shared" si="52"/>
        <v>5756.3339999999998</v>
      </c>
      <c r="E1128" s="2">
        <f t="shared" si="53"/>
        <v>52.282477982590073</v>
      </c>
    </row>
    <row r="1129" spans="1:5" x14ac:dyDescent="0.25">
      <c r="A1129" s="1">
        <v>45568</v>
      </c>
      <c r="B1129" s="2">
        <v>5699.94</v>
      </c>
      <c r="C1129" s="3">
        <f t="shared" si="51"/>
        <v>-1.6813963997100228E-3</v>
      </c>
      <c r="D1129" s="4">
        <f t="shared" si="52"/>
        <v>5766.9849999999997</v>
      </c>
      <c r="E1129" s="2">
        <f t="shared" si="53"/>
        <v>52.352816017861144</v>
      </c>
    </row>
    <row r="1130" spans="1:5" x14ac:dyDescent="0.25">
      <c r="A1130" s="1">
        <v>45569</v>
      </c>
      <c r="B1130" s="2">
        <v>5751.07</v>
      </c>
      <c r="C1130" s="3">
        <f t="shared" si="51"/>
        <v>8.9702698624897995E-3</v>
      </c>
      <c r="D1130" s="4">
        <f t="shared" si="52"/>
        <v>5780.2780000000002</v>
      </c>
      <c r="E1130" s="2">
        <f t="shared" si="53"/>
        <v>52.952046381608547</v>
      </c>
    </row>
    <row r="1131" spans="1:5" x14ac:dyDescent="0.25">
      <c r="A1131" s="1">
        <v>45572</v>
      </c>
      <c r="B1131" s="2">
        <v>5695.94</v>
      </c>
      <c r="C1131" s="3">
        <f t="shared" si="51"/>
        <v>-9.586042249529237E-3</v>
      </c>
      <c r="D1131" s="4">
        <f t="shared" si="52"/>
        <v>5794.4310000000005</v>
      </c>
      <c r="E1131" s="2">
        <f t="shared" si="53"/>
        <v>48.29739608923051</v>
      </c>
    </row>
    <row r="1132" spans="1:5" x14ac:dyDescent="0.25">
      <c r="A1132" s="1">
        <v>45573</v>
      </c>
      <c r="B1132" s="2">
        <v>5751.13</v>
      </c>
      <c r="C1132" s="3">
        <f t="shared" si="51"/>
        <v>9.6893576828408507E-3</v>
      </c>
      <c r="D1132" s="4">
        <f t="shared" si="52"/>
        <v>5805.7910000000002</v>
      </c>
      <c r="E1132" s="2">
        <f t="shared" si="53"/>
        <v>50.089150012752413</v>
      </c>
    </row>
    <row r="1133" spans="1:5" x14ac:dyDescent="0.25">
      <c r="A1133" s="1">
        <v>45574</v>
      </c>
      <c r="B1133" s="2">
        <v>5792.04</v>
      </c>
      <c r="C1133" s="3">
        <f t="shared" si="51"/>
        <v>7.1133846739683945E-3</v>
      </c>
      <c r="D1133" s="4">
        <f t="shared" si="52"/>
        <v>5821.5949999999993</v>
      </c>
      <c r="E1133" s="2">
        <f t="shared" si="53"/>
        <v>35.842018428096374</v>
      </c>
    </row>
    <row r="1134" spans="1:5" x14ac:dyDescent="0.25">
      <c r="A1134" s="1">
        <v>45575</v>
      </c>
      <c r="B1134" s="2">
        <v>5780.05</v>
      </c>
      <c r="C1134" s="3">
        <f t="shared" si="51"/>
        <v>-2.0700823889337402E-3</v>
      </c>
      <c r="D1134" s="4">
        <f t="shared" si="52"/>
        <v>5831.6020000000008</v>
      </c>
      <c r="E1134" s="2">
        <f t="shared" si="53"/>
        <v>27.850030807882415</v>
      </c>
    </row>
    <row r="1135" spans="1:5" x14ac:dyDescent="0.25">
      <c r="A1135" s="1">
        <v>45576</v>
      </c>
      <c r="B1135" s="2">
        <v>5815.03</v>
      </c>
      <c r="C1135" s="3">
        <f t="shared" si="51"/>
        <v>6.0518507625365809E-3</v>
      </c>
      <c r="D1135" s="4">
        <f t="shared" si="52"/>
        <v>5832.1399999999994</v>
      </c>
      <c r="E1135" s="2">
        <f t="shared" si="53"/>
        <v>27.123062142759593</v>
      </c>
    </row>
    <row r="1136" spans="1:5" x14ac:dyDescent="0.25">
      <c r="A1136" s="1">
        <v>45579</v>
      </c>
      <c r="B1136" s="2">
        <v>5859.85</v>
      </c>
      <c r="C1136" s="3">
        <f t="shared" si="51"/>
        <v>7.7076128584032452E-3</v>
      </c>
      <c r="D1136" s="4">
        <f t="shared" si="52"/>
        <v>5835.1209999999992</v>
      </c>
      <c r="E1136" s="2">
        <f t="shared" si="53"/>
        <v>22.473921976370789</v>
      </c>
    </row>
    <row r="1137" spans="1:5" x14ac:dyDescent="0.25">
      <c r="A1137" s="1">
        <v>45580</v>
      </c>
      <c r="B1137" s="2">
        <v>5815.26</v>
      </c>
      <c r="C1137" s="3">
        <f t="shared" si="51"/>
        <v>-7.6094097971791327E-3</v>
      </c>
      <c r="D1137" s="4">
        <f t="shared" si="52"/>
        <v>5834.4299999999994</v>
      </c>
      <c r="E1137" s="2">
        <f t="shared" si="53"/>
        <v>23.176286587803524</v>
      </c>
    </row>
    <row r="1138" spans="1:5" x14ac:dyDescent="0.25">
      <c r="A1138" s="1">
        <v>45581</v>
      </c>
      <c r="B1138" s="2">
        <v>5842.47</v>
      </c>
      <c r="C1138" s="3">
        <f t="shared" si="51"/>
        <v>4.6790685197222537E-3</v>
      </c>
      <c r="D1138" s="4">
        <f t="shared" si="52"/>
        <v>5830.7970000000005</v>
      </c>
      <c r="E1138" s="2">
        <f t="shared" si="53"/>
        <v>21.707757622564312</v>
      </c>
    </row>
    <row r="1139" spans="1:5" x14ac:dyDescent="0.25">
      <c r="A1139" s="1">
        <v>45582</v>
      </c>
      <c r="B1139" s="2">
        <v>5841.47</v>
      </c>
      <c r="C1139" s="3">
        <f t="shared" si="51"/>
        <v>-1.7116048520574346E-4</v>
      </c>
      <c r="D1139" s="4">
        <f t="shared" si="52"/>
        <v>5832.5630000000001</v>
      </c>
      <c r="E1139" s="2">
        <f t="shared" si="53"/>
        <v>21.081244294395898</v>
      </c>
    </row>
    <row r="1140" spans="1:5" x14ac:dyDescent="0.25">
      <c r="A1140" s="1">
        <v>45583</v>
      </c>
      <c r="B1140" s="2">
        <v>5864.67</v>
      </c>
      <c r="C1140" s="3">
        <f t="shared" si="51"/>
        <v>3.9716030382762934E-3</v>
      </c>
      <c r="D1140" s="4">
        <f t="shared" si="52"/>
        <v>5829.683</v>
      </c>
      <c r="E1140" s="2">
        <f t="shared" si="53"/>
        <v>21.494281588366679</v>
      </c>
    </row>
    <row r="1141" spans="1:5" x14ac:dyDescent="0.25">
      <c r="A1141" s="1">
        <v>45586</v>
      </c>
      <c r="B1141" s="2">
        <v>5853.98</v>
      </c>
      <c r="C1141" s="3">
        <f t="shared" si="51"/>
        <v>-1.8227794573267566E-3</v>
      </c>
      <c r="D1141" s="4">
        <f t="shared" si="52"/>
        <v>5816.0810000000001</v>
      </c>
      <c r="E1141" s="2">
        <f t="shared" si="53"/>
        <v>42.502708490165674</v>
      </c>
    </row>
    <row r="1142" spans="1:5" x14ac:dyDescent="0.25">
      <c r="A1142" s="1">
        <v>45587</v>
      </c>
      <c r="B1142" s="2">
        <v>5851.2</v>
      </c>
      <c r="C1142" s="3">
        <f t="shared" si="51"/>
        <v>-4.748905872585396E-4</v>
      </c>
      <c r="D1142" s="4">
        <f t="shared" si="52"/>
        <v>5802.4939999999997</v>
      </c>
      <c r="E1142" s="2">
        <f t="shared" si="53"/>
        <v>46.342009710412825</v>
      </c>
    </row>
    <row r="1143" spans="1:5" x14ac:dyDescent="0.25">
      <c r="A1143" s="1">
        <v>45588</v>
      </c>
      <c r="B1143" s="2">
        <v>5797.42</v>
      </c>
      <c r="C1143" s="3">
        <f t="shared" si="51"/>
        <v>-9.1912770030078868E-3</v>
      </c>
      <c r="D1143" s="4">
        <f t="shared" si="52"/>
        <v>5788.3649999999998</v>
      </c>
      <c r="E1143" s="2">
        <f t="shared" si="53"/>
        <v>49.893368747760533</v>
      </c>
    </row>
    <row r="1144" spans="1:5" x14ac:dyDescent="0.25">
      <c r="A1144" s="1">
        <v>45589</v>
      </c>
      <c r="B1144" s="2">
        <v>5809.86</v>
      </c>
      <c r="C1144" s="3">
        <f t="shared" si="51"/>
        <v>2.1457820892741251E-3</v>
      </c>
      <c r="D1144" s="4">
        <f t="shared" si="52"/>
        <v>5781.5209999999997</v>
      </c>
      <c r="E1144" s="2">
        <f t="shared" si="53"/>
        <v>45.286044086451284</v>
      </c>
    </row>
    <row r="1145" spans="1:5" x14ac:dyDescent="0.25">
      <c r="A1145" s="1">
        <v>45590</v>
      </c>
      <c r="B1145" s="2">
        <v>5808.12</v>
      </c>
      <c r="C1145" s="3">
        <f t="shared" si="51"/>
        <v>-2.9949086552856383E-4</v>
      </c>
      <c r="D1145" s="4">
        <f t="shared" si="52"/>
        <v>5794.683</v>
      </c>
      <c r="E1145" s="2">
        <f t="shared" si="53"/>
        <v>63.470428240244352</v>
      </c>
    </row>
    <row r="1146" spans="1:5" x14ac:dyDescent="0.25">
      <c r="A1146" s="1">
        <v>45593</v>
      </c>
      <c r="B1146" s="2">
        <v>5823.52</v>
      </c>
      <c r="C1146" s="3">
        <f t="shared" si="51"/>
        <v>2.6514603692762108E-3</v>
      </c>
      <c r="D1146" s="4">
        <f t="shared" si="52"/>
        <v>5811.0069999999996</v>
      </c>
      <c r="E1146" s="2">
        <f t="shared" si="53"/>
        <v>83.200064549253923</v>
      </c>
    </row>
    <row r="1147" spans="1:5" x14ac:dyDescent="0.25">
      <c r="A1147" s="1">
        <v>45594</v>
      </c>
      <c r="B1147" s="2">
        <v>5832.92</v>
      </c>
      <c r="C1147" s="3">
        <f t="shared" si="51"/>
        <v>1.6141440228589642E-3</v>
      </c>
      <c r="D1147" s="4">
        <f t="shared" si="52"/>
        <v>5829.7490000000007</v>
      </c>
      <c r="E1147" s="2">
        <f t="shared" si="53"/>
        <v>99.876911791464678</v>
      </c>
    </row>
    <row r="1148" spans="1:5" x14ac:dyDescent="0.25">
      <c r="A1148" s="1">
        <v>45595</v>
      </c>
      <c r="B1148" s="2">
        <v>5813.67</v>
      </c>
      <c r="C1148" s="3">
        <f t="shared" si="51"/>
        <v>-3.3002338451410271E-3</v>
      </c>
      <c r="D1148" s="4">
        <f t="shared" si="52"/>
        <v>5847.5320000000002</v>
      </c>
      <c r="E1148" s="2">
        <f t="shared" si="53"/>
        <v>112.24959998147</v>
      </c>
    </row>
    <row r="1149" spans="1:5" x14ac:dyDescent="0.25">
      <c r="A1149" s="1">
        <v>45596</v>
      </c>
      <c r="B1149" s="2">
        <v>5705.45</v>
      </c>
      <c r="C1149" s="3">
        <f t="shared" si="51"/>
        <v>-1.8614747655095704E-2</v>
      </c>
      <c r="D1149" s="4">
        <f t="shared" si="52"/>
        <v>5862.6389999999992</v>
      </c>
      <c r="E1149" s="2">
        <f t="shared" si="53"/>
        <v>119.21610113151671</v>
      </c>
    </row>
    <row r="1150" spans="1:5" x14ac:dyDescent="0.25">
      <c r="A1150" s="1">
        <v>45597</v>
      </c>
      <c r="B1150" s="2">
        <v>5728.8</v>
      </c>
      <c r="C1150" s="3">
        <f t="shared" si="51"/>
        <v>4.0925781489628979E-3</v>
      </c>
      <c r="D1150" s="4">
        <f t="shared" si="52"/>
        <v>5879.8099999999995</v>
      </c>
      <c r="E1150" s="2">
        <f t="shared" si="53"/>
        <v>123.22489415698446</v>
      </c>
    </row>
    <row r="1151" spans="1:5" x14ac:dyDescent="0.25">
      <c r="A1151" s="1">
        <v>45600</v>
      </c>
      <c r="B1151" s="2">
        <v>5712.69</v>
      </c>
      <c r="C1151" s="3">
        <f t="shared" si="51"/>
        <v>-2.81210724759122E-3</v>
      </c>
      <c r="D1151" s="4">
        <f t="shared" si="52"/>
        <v>5904.1819999999989</v>
      </c>
      <c r="E1151" s="2">
        <f t="shared" si="53"/>
        <v>109.68737464266347</v>
      </c>
    </row>
    <row r="1152" spans="1:5" x14ac:dyDescent="0.25">
      <c r="A1152" s="1">
        <v>45601</v>
      </c>
      <c r="B1152" s="2">
        <v>5782.76</v>
      </c>
      <c r="C1152" s="3">
        <f t="shared" si="51"/>
        <v>1.2265675189796861E-2</v>
      </c>
      <c r="D1152" s="4">
        <f t="shared" si="52"/>
        <v>5918.3639999999996</v>
      </c>
      <c r="E1152" s="2">
        <f t="shared" si="53"/>
        <v>94.164469010343922</v>
      </c>
    </row>
    <row r="1153" spans="1:5" x14ac:dyDescent="0.25">
      <c r="A1153" s="1">
        <v>45602</v>
      </c>
      <c r="B1153" s="2">
        <v>5929.04</v>
      </c>
      <c r="C1153" s="3">
        <f t="shared" si="51"/>
        <v>2.5295879476236217E-2</v>
      </c>
      <c r="D1153" s="4">
        <f t="shared" si="52"/>
        <v>5936.4570000000003</v>
      </c>
      <c r="E1153" s="2">
        <f t="shared" si="53"/>
        <v>66.110798671623996</v>
      </c>
    </row>
    <row r="1154" spans="1:5" x14ac:dyDescent="0.25">
      <c r="A1154" s="1">
        <v>45603</v>
      </c>
      <c r="B1154" s="2">
        <v>5973.1</v>
      </c>
      <c r="C1154" s="3">
        <f t="shared" si="51"/>
        <v>7.4312198939457987E-3</v>
      </c>
      <c r="D1154" s="4">
        <f t="shared" si="52"/>
        <v>5949.878999999999</v>
      </c>
      <c r="E1154" s="2">
        <f t="shared" si="53"/>
        <v>43.198914210892042</v>
      </c>
    </row>
    <row r="1155" spans="1:5" x14ac:dyDescent="0.25">
      <c r="A1155" s="1">
        <v>45604</v>
      </c>
      <c r="B1155" s="2">
        <v>5995.54</v>
      </c>
      <c r="C1155" s="3">
        <f t="shared" ref="C1155:C1218" si="54">(B1155-B1154)/B1154</f>
        <v>3.7568431802580903E-3</v>
      </c>
      <c r="D1155" s="4">
        <f t="shared" ref="D1155:D1218" si="55">AVERAGE(B1154:B1163)</f>
        <v>5948.6859999999997</v>
      </c>
      <c r="E1155" s="2">
        <f t="shared" ref="E1155:E1218" si="56">_xlfn.STDEV.P(B1154:B1163)</f>
        <v>43.916708483218692</v>
      </c>
    </row>
    <row r="1156" spans="1:5" x14ac:dyDescent="0.25">
      <c r="A1156" s="1">
        <v>45607</v>
      </c>
      <c r="B1156" s="2">
        <v>6001.35</v>
      </c>
      <c r="C1156" s="3">
        <f t="shared" si="54"/>
        <v>9.6905366322306251E-4</v>
      </c>
      <c r="D1156" s="4">
        <f t="shared" si="55"/>
        <v>5946.2470000000012</v>
      </c>
      <c r="E1156" s="2">
        <f t="shared" si="56"/>
        <v>43.1639233735768</v>
      </c>
    </row>
    <row r="1157" spans="1:5" x14ac:dyDescent="0.25">
      <c r="A1157" s="1">
        <v>45608</v>
      </c>
      <c r="B1157" s="2">
        <v>5983.99</v>
      </c>
      <c r="C1157" s="3">
        <f t="shared" si="54"/>
        <v>-2.8926824797754808E-3</v>
      </c>
      <c r="D1157" s="4">
        <f t="shared" si="55"/>
        <v>5943.6270000000004</v>
      </c>
      <c r="E1157" s="2">
        <f t="shared" si="56"/>
        <v>40.824117394011239</v>
      </c>
    </row>
    <row r="1158" spans="1:5" x14ac:dyDescent="0.25">
      <c r="A1158" s="1">
        <v>45609</v>
      </c>
      <c r="B1158" s="2">
        <v>5985.38</v>
      </c>
      <c r="C1158" s="3">
        <f t="shared" si="54"/>
        <v>2.3228648443602469E-4</v>
      </c>
      <c r="D1158" s="4">
        <f t="shared" si="55"/>
        <v>5942.2290000000003</v>
      </c>
      <c r="E1158" s="2">
        <f t="shared" si="56"/>
        <v>39.023130179420583</v>
      </c>
    </row>
    <row r="1159" spans="1:5" x14ac:dyDescent="0.25">
      <c r="A1159" s="1">
        <v>45610</v>
      </c>
      <c r="B1159" s="2">
        <v>5949.17</v>
      </c>
      <c r="C1159" s="3">
        <f t="shared" si="54"/>
        <v>-6.0497412027306595E-3</v>
      </c>
      <c r="D1159" s="4">
        <f t="shared" si="55"/>
        <v>5945.9929999999995</v>
      </c>
      <c r="E1159" s="2">
        <f t="shared" si="56"/>
        <v>44.324832329068201</v>
      </c>
    </row>
    <row r="1160" spans="1:5" x14ac:dyDescent="0.25">
      <c r="A1160" s="1">
        <v>45611</v>
      </c>
      <c r="B1160" s="2">
        <v>5870.62</v>
      </c>
      <c r="C1160" s="3">
        <f t="shared" si="54"/>
        <v>-1.3203522508181844E-2</v>
      </c>
      <c r="D1160" s="4">
        <f t="shared" si="55"/>
        <v>5947.3289999999997</v>
      </c>
      <c r="E1160" s="2">
        <f t="shared" si="56"/>
        <v>45.672714929156626</v>
      </c>
    </row>
    <row r="1161" spans="1:5" x14ac:dyDescent="0.25">
      <c r="A1161" s="1">
        <v>45614</v>
      </c>
      <c r="B1161" s="2">
        <v>5893.62</v>
      </c>
      <c r="C1161" s="3">
        <f t="shared" si="54"/>
        <v>3.9178144727473416E-3</v>
      </c>
      <c r="D1161" s="4">
        <f t="shared" si="55"/>
        <v>5955.65</v>
      </c>
      <c r="E1161" s="2">
        <f t="shared" si="56"/>
        <v>52.342966862798384</v>
      </c>
    </row>
    <row r="1162" spans="1:5" x14ac:dyDescent="0.25">
      <c r="A1162" s="1">
        <v>45615</v>
      </c>
      <c r="B1162" s="2">
        <v>5916.98</v>
      </c>
      <c r="C1162" s="3">
        <f t="shared" si="54"/>
        <v>3.9636081050355597E-3</v>
      </c>
      <c r="D1162" s="4">
        <f t="shared" si="55"/>
        <v>5973.302999999999</v>
      </c>
      <c r="E1162" s="2">
        <f t="shared" si="56"/>
        <v>50.421946422168247</v>
      </c>
    </row>
    <row r="1163" spans="1:5" x14ac:dyDescent="0.25">
      <c r="A1163" s="1">
        <v>45616</v>
      </c>
      <c r="B1163" s="2">
        <v>5917.11</v>
      </c>
      <c r="C1163" s="3">
        <f t="shared" si="54"/>
        <v>2.1970667468896151E-5</v>
      </c>
      <c r="D1163" s="4">
        <f t="shared" si="55"/>
        <v>5988.9289999999992</v>
      </c>
      <c r="E1163" s="2">
        <f t="shared" si="56"/>
        <v>47.430648835958472</v>
      </c>
    </row>
    <row r="1164" spans="1:5" x14ac:dyDescent="0.25">
      <c r="A1164" s="1">
        <v>45617</v>
      </c>
      <c r="B1164" s="2">
        <v>5948.71</v>
      </c>
      <c r="C1164" s="3">
        <f t="shared" si="54"/>
        <v>5.3404449131417816E-3</v>
      </c>
      <c r="D1164" s="4">
        <f t="shared" si="55"/>
        <v>6005.8799999999992</v>
      </c>
      <c r="E1164" s="2">
        <f t="shared" si="56"/>
        <v>48.953846222743323</v>
      </c>
    </row>
    <row r="1165" spans="1:5" x14ac:dyDescent="0.25">
      <c r="A1165" s="1">
        <v>45618</v>
      </c>
      <c r="B1165" s="2">
        <v>5969.34</v>
      </c>
      <c r="C1165" s="3">
        <f t="shared" si="54"/>
        <v>3.4679787718682048E-3</v>
      </c>
      <c r="D1165" s="4">
        <f t="shared" si="55"/>
        <v>6021.6799999999994</v>
      </c>
      <c r="E1165" s="2">
        <f t="shared" si="56"/>
        <v>42.873150805603181</v>
      </c>
    </row>
    <row r="1166" spans="1:5" x14ac:dyDescent="0.25">
      <c r="A1166" s="1">
        <v>45621</v>
      </c>
      <c r="B1166" s="2">
        <v>5987.37</v>
      </c>
      <c r="C1166" s="3">
        <f t="shared" si="54"/>
        <v>3.0204344198855727E-3</v>
      </c>
      <c r="D1166" s="4">
        <f t="shared" si="55"/>
        <v>6035.8360000000002</v>
      </c>
      <c r="E1166" s="2">
        <f t="shared" si="56"/>
        <v>39.695232005871937</v>
      </c>
    </row>
    <row r="1167" spans="1:5" x14ac:dyDescent="0.25">
      <c r="A1167" s="1">
        <v>45622</v>
      </c>
      <c r="B1167" s="2">
        <v>6021.63</v>
      </c>
      <c r="C1167" s="3">
        <f t="shared" si="54"/>
        <v>5.7220449045240597E-3</v>
      </c>
      <c r="D1167" s="4">
        <f t="shared" si="55"/>
        <v>6044.186999999999</v>
      </c>
      <c r="E1167" s="2">
        <f t="shared" si="56"/>
        <v>33.056740023783398</v>
      </c>
    </row>
    <row r="1168" spans="1:5" x14ac:dyDescent="0.25">
      <c r="A1168" s="1">
        <v>45623</v>
      </c>
      <c r="B1168" s="2">
        <v>5998.74</v>
      </c>
      <c r="C1168" s="3">
        <f t="shared" si="54"/>
        <v>-3.801296326742149E-3</v>
      </c>
      <c r="D1168" s="4">
        <f t="shared" si="55"/>
        <v>6048.9410000000007</v>
      </c>
      <c r="E1168" s="2">
        <f t="shared" si="56"/>
        <v>27.494302482514485</v>
      </c>
    </row>
    <row r="1169" spans="1:5" x14ac:dyDescent="0.25">
      <c r="A1169" s="1">
        <v>45625</v>
      </c>
      <c r="B1169" s="2">
        <v>6032.38</v>
      </c>
      <c r="C1169" s="3">
        <f t="shared" si="54"/>
        <v>5.6078443139726559E-3</v>
      </c>
      <c r="D1169" s="4">
        <f t="shared" si="55"/>
        <v>6055.1970000000001</v>
      </c>
      <c r="E1169" s="2">
        <f t="shared" si="56"/>
        <v>27.685000650171585</v>
      </c>
    </row>
    <row r="1170" spans="1:5" x14ac:dyDescent="0.25">
      <c r="A1170" s="1">
        <v>45628</v>
      </c>
      <c r="B1170" s="2">
        <v>6047.15</v>
      </c>
      <c r="C1170" s="3">
        <f t="shared" si="54"/>
        <v>2.4484531809997922E-3</v>
      </c>
      <c r="D1170" s="4">
        <f t="shared" si="55"/>
        <v>6060.4479999999994</v>
      </c>
      <c r="E1170" s="2">
        <f t="shared" si="56"/>
        <v>20.535453635115999</v>
      </c>
    </row>
    <row r="1171" spans="1:5" x14ac:dyDescent="0.25">
      <c r="A1171" s="1">
        <v>45629</v>
      </c>
      <c r="B1171" s="2">
        <v>6049.88</v>
      </c>
      <c r="C1171" s="3">
        <f t="shared" si="54"/>
        <v>4.5145233705141648E-4</v>
      </c>
      <c r="D1171" s="4">
        <f t="shared" si="55"/>
        <v>6062.3190000000004</v>
      </c>
      <c r="E1171" s="2">
        <f t="shared" si="56"/>
        <v>18.659586517390984</v>
      </c>
    </row>
    <row r="1172" spans="1:5" x14ac:dyDescent="0.25">
      <c r="A1172" s="1">
        <v>45630</v>
      </c>
      <c r="B1172" s="2">
        <v>6086.49</v>
      </c>
      <c r="C1172" s="3">
        <f t="shared" si="54"/>
        <v>6.051359696390618E-3</v>
      </c>
      <c r="D1172" s="4">
        <f t="shared" si="55"/>
        <v>6065.0119999999997</v>
      </c>
      <c r="E1172" s="2">
        <f t="shared" si="56"/>
        <v>18.214010431533147</v>
      </c>
    </row>
    <row r="1173" spans="1:5" x14ac:dyDescent="0.25">
      <c r="A1173" s="1">
        <v>45631</v>
      </c>
      <c r="B1173" s="2">
        <v>6075.11</v>
      </c>
      <c r="C1173" s="3">
        <f t="shared" si="54"/>
        <v>-1.8697147288503078E-3</v>
      </c>
      <c r="D1173" s="4">
        <f t="shared" si="55"/>
        <v>6065.0850000000009</v>
      </c>
      <c r="E1173" s="2">
        <f t="shared" si="56"/>
        <v>18.15458247936315</v>
      </c>
    </row>
    <row r="1174" spans="1:5" x14ac:dyDescent="0.25">
      <c r="A1174" s="1">
        <v>45632</v>
      </c>
      <c r="B1174" s="2">
        <v>6090.27</v>
      </c>
      <c r="C1174" s="3">
        <f t="shared" si="54"/>
        <v>2.4954280663232048E-3</v>
      </c>
      <c r="D1174" s="4">
        <f t="shared" si="55"/>
        <v>6043.652</v>
      </c>
      <c r="E1174" s="2">
        <f t="shared" si="56"/>
        <v>59.551687935775625</v>
      </c>
    </row>
    <row r="1175" spans="1:5" x14ac:dyDescent="0.25">
      <c r="A1175" s="1">
        <v>45635</v>
      </c>
      <c r="B1175" s="2">
        <v>6052.85</v>
      </c>
      <c r="C1175" s="3">
        <f t="shared" si="54"/>
        <v>-6.1442267748392223E-3</v>
      </c>
      <c r="D1175" s="4">
        <f t="shared" si="55"/>
        <v>6022.8490000000002</v>
      </c>
      <c r="E1175" s="2">
        <f t="shared" si="56"/>
        <v>78.309930845327699</v>
      </c>
    </row>
    <row r="1176" spans="1:5" x14ac:dyDescent="0.25">
      <c r="A1176" s="1">
        <v>45636</v>
      </c>
      <c r="B1176" s="2">
        <v>6034.91</v>
      </c>
      <c r="C1176" s="3">
        <f t="shared" si="54"/>
        <v>-2.9638930421207379E-3</v>
      </c>
      <c r="D1176" s="4">
        <f t="shared" si="55"/>
        <v>6006.9070000000002</v>
      </c>
      <c r="E1176" s="2">
        <f t="shared" si="56"/>
        <v>79.184091716707812</v>
      </c>
    </row>
    <row r="1177" spans="1:5" x14ac:dyDescent="0.25">
      <c r="A1177" s="1">
        <v>45637</v>
      </c>
      <c r="B1177" s="2">
        <v>6084.19</v>
      </c>
      <c r="C1177" s="3">
        <f t="shared" si="54"/>
        <v>8.1658218598122841E-3</v>
      </c>
      <c r="D1177" s="4">
        <f t="shared" si="55"/>
        <v>5999.0289999999995</v>
      </c>
      <c r="E1177" s="2">
        <f t="shared" si="56"/>
        <v>78.133273507514019</v>
      </c>
    </row>
    <row r="1178" spans="1:5" x14ac:dyDescent="0.25">
      <c r="A1178" s="1">
        <v>45638</v>
      </c>
      <c r="B1178" s="2">
        <v>6051.25</v>
      </c>
      <c r="C1178" s="3">
        <f t="shared" si="54"/>
        <v>-5.4140321061636144E-3</v>
      </c>
      <c r="D1178" s="4">
        <f t="shared" si="55"/>
        <v>5999.5420000000004</v>
      </c>
      <c r="E1178" s="2">
        <f t="shared" si="56"/>
        <v>78.383613440565441</v>
      </c>
    </row>
    <row r="1179" spans="1:5" x14ac:dyDescent="0.25">
      <c r="A1179" s="1">
        <v>45639</v>
      </c>
      <c r="B1179" s="2">
        <v>6051.09</v>
      </c>
      <c r="C1179" s="3">
        <f t="shared" si="54"/>
        <v>-2.6440818012783223E-5</v>
      </c>
      <c r="D1179" s="4">
        <f t="shared" si="55"/>
        <v>5994.8819999999996</v>
      </c>
      <c r="E1179" s="2">
        <f t="shared" si="56"/>
        <v>74.501757670540897</v>
      </c>
    </row>
    <row r="1180" spans="1:5" x14ac:dyDescent="0.25">
      <c r="A1180" s="1">
        <v>45642</v>
      </c>
      <c r="B1180" s="2">
        <v>6074.08</v>
      </c>
      <c r="C1180" s="3">
        <f t="shared" si="54"/>
        <v>3.799315495224791E-3</v>
      </c>
      <c r="D1180" s="4">
        <f t="shared" si="55"/>
        <v>5986.8409999999985</v>
      </c>
      <c r="E1180" s="2">
        <f t="shared" si="56"/>
        <v>72.290530839107817</v>
      </c>
    </row>
    <row r="1181" spans="1:5" x14ac:dyDescent="0.25">
      <c r="A1181" s="1">
        <v>45643</v>
      </c>
      <c r="B1181" s="2">
        <v>6050.61</v>
      </c>
      <c r="C1181" s="3">
        <f t="shared" si="54"/>
        <v>-3.8639596449174616E-3</v>
      </c>
      <c r="D1181" s="4">
        <f t="shared" si="55"/>
        <v>5972.4259999999995</v>
      </c>
      <c r="E1181" s="2">
        <f t="shared" si="56"/>
        <v>72.41375700790563</v>
      </c>
    </row>
    <row r="1182" spans="1:5" x14ac:dyDescent="0.25">
      <c r="A1182" s="1">
        <v>45644</v>
      </c>
      <c r="B1182" s="2">
        <v>5872.16</v>
      </c>
      <c r="C1182" s="3">
        <f t="shared" si="54"/>
        <v>-2.9492894104891875E-2</v>
      </c>
      <c r="D1182" s="4">
        <f t="shared" si="55"/>
        <v>5953.1809999999987</v>
      </c>
      <c r="E1182" s="2">
        <f t="shared" si="56"/>
        <v>68.296558983597393</v>
      </c>
    </row>
    <row r="1183" spans="1:5" x14ac:dyDescent="0.25">
      <c r="A1183" s="1">
        <v>45645</v>
      </c>
      <c r="B1183" s="2">
        <v>5867.08</v>
      </c>
      <c r="C1183" s="3">
        <f t="shared" si="54"/>
        <v>-8.6509904362277719E-4</v>
      </c>
      <c r="D1183" s="4">
        <f t="shared" si="55"/>
        <v>5934.9750000000004</v>
      </c>
      <c r="E1183" s="2">
        <f t="shared" si="56"/>
        <v>64.030938967033762</v>
      </c>
    </row>
    <row r="1184" spans="1:5" x14ac:dyDescent="0.25">
      <c r="A1184" s="1">
        <v>45646</v>
      </c>
      <c r="B1184" s="2">
        <v>5930.85</v>
      </c>
      <c r="C1184" s="3">
        <f t="shared" si="54"/>
        <v>1.0869120584686153E-2</v>
      </c>
      <c r="D1184" s="4">
        <f t="shared" si="55"/>
        <v>5942.0060000000003</v>
      </c>
      <c r="E1184" s="2">
        <f t="shared" si="56"/>
        <v>60.510918551944002</v>
      </c>
    </row>
    <row r="1185" spans="1:5" x14ac:dyDescent="0.25">
      <c r="A1185" s="1">
        <v>45649</v>
      </c>
      <c r="B1185" s="2">
        <v>5974.07</v>
      </c>
      <c r="C1185" s="3">
        <f t="shared" si="54"/>
        <v>7.2873196927926587E-3</v>
      </c>
      <c r="D1185" s="4">
        <f t="shared" si="55"/>
        <v>5952.8360000000002</v>
      </c>
      <c r="E1185" s="2">
        <f t="shared" si="56"/>
        <v>55.626200697153479</v>
      </c>
    </row>
    <row r="1186" spans="1:5" x14ac:dyDescent="0.25">
      <c r="A1186" s="1">
        <v>45650</v>
      </c>
      <c r="B1186" s="2">
        <v>6040.04</v>
      </c>
      <c r="C1186" s="3">
        <f t="shared" si="54"/>
        <v>1.1042722967759041E-2</v>
      </c>
      <c r="D1186" s="4">
        <f t="shared" si="55"/>
        <v>5950.6540000000005</v>
      </c>
      <c r="E1186" s="2">
        <f t="shared" si="56"/>
        <v>56.860102215877191</v>
      </c>
    </row>
    <row r="1187" spans="1:5" x14ac:dyDescent="0.25">
      <c r="A1187" s="1">
        <v>45652</v>
      </c>
      <c r="B1187" s="2">
        <v>6037.59</v>
      </c>
      <c r="C1187" s="3">
        <f t="shared" si="54"/>
        <v>-4.056264528049182E-4</v>
      </c>
      <c r="D1187" s="4">
        <f t="shared" si="55"/>
        <v>5945.0720000000001</v>
      </c>
      <c r="E1187" s="2">
        <f t="shared" si="56"/>
        <v>57.027041971331499</v>
      </c>
    </row>
    <row r="1188" spans="1:5" x14ac:dyDescent="0.25">
      <c r="A1188" s="1">
        <v>45653</v>
      </c>
      <c r="B1188" s="2">
        <v>5970.84</v>
      </c>
      <c r="C1188" s="3">
        <f t="shared" si="54"/>
        <v>-1.1055735815118284E-2</v>
      </c>
      <c r="D1188" s="4">
        <f t="shared" si="55"/>
        <v>5923.771999999999</v>
      </c>
      <c r="E1188" s="2">
        <f t="shared" si="56"/>
        <v>57.355529079592721</v>
      </c>
    </row>
    <row r="1189" spans="1:5" x14ac:dyDescent="0.25">
      <c r="A1189" s="1">
        <v>45656</v>
      </c>
      <c r="B1189" s="2">
        <v>5906.94</v>
      </c>
      <c r="C1189" s="3">
        <f t="shared" si="54"/>
        <v>-1.0702011777237464E-2</v>
      </c>
      <c r="D1189" s="4">
        <f t="shared" si="55"/>
        <v>5903.6350000000002</v>
      </c>
      <c r="E1189" s="2">
        <f t="shared" si="56"/>
        <v>48.530809853123209</v>
      </c>
    </row>
    <row r="1190" spans="1:5" x14ac:dyDescent="0.25">
      <c r="A1190" s="1">
        <v>45657</v>
      </c>
      <c r="B1190" s="2">
        <v>5881.63</v>
      </c>
      <c r="C1190" s="3">
        <f t="shared" si="54"/>
        <v>-4.2847904329482763E-3</v>
      </c>
      <c r="D1190" s="4">
        <f t="shared" si="55"/>
        <v>5890.8419999999996</v>
      </c>
      <c r="E1190" s="2">
        <f t="shared" si="56"/>
        <v>45.920366026415778</v>
      </c>
    </row>
    <row r="1191" spans="1:5" x14ac:dyDescent="0.25">
      <c r="A1191" s="1">
        <v>45659</v>
      </c>
      <c r="B1191" s="2">
        <v>5868.55</v>
      </c>
      <c r="C1191" s="3">
        <f t="shared" si="54"/>
        <v>-2.2238733140302817E-3</v>
      </c>
      <c r="D1191" s="4">
        <f t="shared" si="55"/>
        <v>5895.1390000000001</v>
      </c>
      <c r="E1191" s="2">
        <f t="shared" si="56"/>
        <v>49.124373878961549</v>
      </c>
    </row>
    <row r="1192" spans="1:5" x14ac:dyDescent="0.25">
      <c r="A1192" s="1">
        <v>45660</v>
      </c>
      <c r="B1192" s="2">
        <v>5942.47</v>
      </c>
      <c r="C1192" s="3">
        <f t="shared" si="54"/>
        <v>1.2595956411720113E-2</v>
      </c>
      <c r="D1192" s="4">
        <f t="shared" si="55"/>
        <v>5900.7100000000009</v>
      </c>
      <c r="E1192" s="2">
        <f t="shared" si="56"/>
        <v>50.41836173459032</v>
      </c>
    </row>
    <row r="1193" spans="1:5" x14ac:dyDescent="0.25">
      <c r="A1193" s="1">
        <v>45663</v>
      </c>
      <c r="B1193" s="2">
        <v>5975.38</v>
      </c>
      <c r="C1193" s="3">
        <f t="shared" si="54"/>
        <v>5.5381011599553477E-3</v>
      </c>
      <c r="D1193" s="4">
        <f t="shared" si="55"/>
        <v>5913.5210000000006</v>
      </c>
      <c r="E1193" s="2">
        <f t="shared" si="56"/>
        <v>56.525243643880017</v>
      </c>
    </row>
    <row r="1194" spans="1:5" x14ac:dyDescent="0.25">
      <c r="A1194" s="1">
        <v>45664</v>
      </c>
      <c r="B1194" s="2">
        <v>5909.03</v>
      </c>
      <c r="C1194" s="3">
        <f t="shared" si="54"/>
        <v>-1.1103896321238208E-2</v>
      </c>
      <c r="D1194" s="4">
        <f t="shared" si="55"/>
        <v>5924.1980000000003</v>
      </c>
      <c r="E1194" s="2">
        <f t="shared" si="56"/>
        <v>69.564826428303505</v>
      </c>
    </row>
    <row r="1195" spans="1:5" x14ac:dyDescent="0.25">
      <c r="A1195" s="1">
        <v>45665</v>
      </c>
      <c r="B1195" s="2">
        <v>5918.25</v>
      </c>
      <c r="C1195" s="3">
        <f t="shared" si="54"/>
        <v>1.5603237756451152E-3</v>
      </c>
      <c r="D1195" s="4">
        <f t="shared" si="55"/>
        <v>5935.2970000000005</v>
      </c>
      <c r="E1195" s="2">
        <f t="shared" si="56"/>
        <v>84.167056031442556</v>
      </c>
    </row>
    <row r="1196" spans="1:5" x14ac:dyDescent="0.25">
      <c r="A1196" s="1">
        <v>45667</v>
      </c>
      <c r="B1196" s="2">
        <v>5827.04</v>
      </c>
      <c r="C1196" s="3">
        <f t="shared" si="54"/>
        <v>-1.5411650403413177E-2</v>
      </c>
      <c r="D1196" s="4">
        <f t="shared" si="55"/>
        <v>5956.2650000000003</v>
      </c>
      <c r="E1196" s="2">
        <f t="shared" si="56"/>
        <v>99.696908803633377</v>
      </c>
    </row>
    <row r="1197" spans="1:5" x14ac:dyDescent="0.25">
      <c r="A1197" s="1">
        <v>45670</v>
      </c>
      <c r="B1197" s="2">
        <v>5836.22</v>
      </c>
      <c r="C1197" s="3">
        <f t="shared" si="54"/>
        <v>1.5754139322881413E-3</v>
      </c>
      <c r="D1197" s="4">
        <f t="shared" si="55"/>
        <v>5974.5640000000003</v>
      </c>
      <c r="E1197" s="2">
        <f t="shared" si="56"/>
        <v>107.52618873558193</v>
      </c>
    </row>
    <row r="1198" spans="1:5" x14ac:dyDescent="0.25">
      <c r="A1198" s="1">
        <v>45671</v>
      </c>
      <c r="B1198" s="2">
        <v>5842.91</v>
      </c>
      <c r="C1198" s="3">
        <f t="shared" si="54"/>
        <v>1.146289893115681E-3</v>
      </c>
      <c r="D1198" s="4">
        <f t="shared" si="55"/>
        <v>5993.0879999999997</v>
      </c>
      <c r="E1198" s="2">
        <f t="shared" si="56"/>
        <v>95.836628154375234</v>
      </c>
    </row>
    <row r="1199" spans="1:5" x14ac:dyDescent="0.25">
      <c r="A1199" s="1">
        <v>45672</v>
      </c>
      <c r="B1199" s="2">
        <v>5949.91</v>
      </c>
      <c r="C1199" s="3">
        <f t="shared" si="54"/>
        <v>1.8312792769356365E-2</v>
      </c>
      <c r="D1199" s="4">
        <f t="shared" si="55"/>
        <v>6016.235999999999</v>
      </c>
      <c r="E1199" s="2">
        <f t="shared" si="56"/>
        <v>82.126533495576183</v>
      </c>
    </row>
    <row r="1200" spans="1:5" x14ac:dyDescent="0.25">
      <c r="A1200" s="1">
        <v>45673</v>
      </c>
      <c r="B1200" s="2">
        <v>5937.34</v>
      </c>
      <c r="C1200" s="3">
        <f t="shared" si="54"/>
        <v>-2.1126369978705073E-3</v>
      </c>
      <c r="D1200" s="4">
        <f t="shared" si="55"/>
        <v>6035.8759999999993</v>
      </c>
      <c r="E1200" s="2">
        <f t="shared" si="56"/>
        <v>58.378837124423754</v>
      </c>
    </row>
    <row r="1201" spans="1:5" x14ac:dyDescent="0.25">
      <c r="A1201" s="1">
        <v>45674</v>
      </c>
      <c r="B1201" s="2">
        <v>5996.66</v>
      </c>
      <c r="C1201" s="3">
        <f t="shared" si="54"/>
        <v>9.9910060734267718E-3</v>
      </c>
      <c r="D1201" s="4">
        <f t="shared" si="55"/>
        <v>6048.0019999999986</v>
      </c>
      <c r="E1201" s="2">
        <f t="shared" si="56"/>
        <v>51.445117124951672</v>
      </c>
    </row>
    <row r="1202" spans="1:5" x14ac:dyDescent="0.25">
      <c r="A1202" s="1">
        <v>45678</v>
      </c>
      <c r="B1202" s="2">
        <v>6049.24</v>
      </c>
      <c r="C1202" s="3">
        <f t="shared" si="54"/>
        <v>8.7682143059636414E-3</v>
      </c>
      <c r="D1202" s="4">
        <f t="shared" si="55"/>
        <v>6058.320999999999</v>
      </c>
      <c r="E1202" s="2">
        <f t="shared" si="56"/>
        <v>36.346850881472548</v>
      </c>
    </row>
    <row r="1203" spans="1:5" x14ac:dyDescent="0.25">
      <c r="A1203" s="1">
        <v>45679</v>
      </c>
      <c r="B1203" s="2">
        <v>6086.37</v>
      </c>
      <c r="C1203" s="3">
        <f t="shared" si="54"/>
        <v>6.1379611323075477E-3</v>
      </c>
      <c r="D1203" s="4">
        <f t="shared" si="55"/>
        <v>6058.1119999999992</v>
      </c>
      <c r="E1203" s="2">
        <f t="shared" si="56"/>
        <v>36.705054093407952</v>
      </c>
    </row>
    <row r="1204" spans="1:5" x14ac:dyDescent="0.25">
      <c r="A1204" s="1">
        <v>45680</v>
      </c>
      <c r="B1204" s="2">
        <v>6118.71</v>
      </c>
      <c r="C1204" s="3">
        <f t="shared" si="54"/>
        <v>5.3135119948343832E-3</v>
      </c>
      <c r="D1204" s="4">
        <f t="shared" si="55"/>
        <v>6056.9759999999997</v>
      </c>
      <c r="E1204" s="2">
        <f t="shared" si="56"/>
        <v>37.135328785403296</v>
      </c>
    </row>
    <row r="1205" spans="1:5" x14ac:dyDescent="0.25">
      <c r="A1205" s="1">
        <v>45681</v>
      </c>
      <c r="B1205" s="2">
        <v>6101.24</v>
      </c>
      <c r="C1205" s="3">
        <f t="shared" si="54"/>
        <v>-2.8551769899211195E-3</v>
      </c>
      <c r="D1205" s="4">
        <f t="shared" si="55"/>
        <v>6054.4869999999992</v>
      </c>
      <c r="E1205" s="2">
        <f t="shared" si="56"/>
        <v>35.895200250172756</v>
      </c>
    </row>
    <row r="1206" spans="1:5" x14ac:dyDescent="0.25">
      <c r="A1206" s="1">
        <v>45684</v>
      </c>
      <c r="B1206" s="2">
        <v>6012.28</v>
      </c>
      <c r="C1206" s="3">
        <f t="shared" si="54"/>
        <v>-1.4580642623466712E-2</v>
      </c>
      <c r="D1206" s="4">
        <f t="shared" si="55"/>
        <v>6050.973</v>
      </c>
      <c r="E1206" s="2">
        <f t="shared" si="56"/>
        <v>30.793504526117179</v>
      </c>
    </row>
    <row r="1207" spans="1:5" x14ac:dyDescent="0.25">
      <c r="A1207" s="1">
        <v>45685</v>
      </c>
      <c r="B1207" s="2">
        <v>6067.7</v>
      </c>
      <c r="C1207" s="3">
        <f t="shared" si="54"/>
        <v>9.2178009008229943E-3</v>
      </c>
      <c r="D1207" s="4">
        <f t="shared" si="55"/>
        <v>6043.4479999999994</v>
      </c>
      <c r="E1207" s="2">
        <f t="shared" si="56"/>
        <v>26.483054884208517</v>
      </c>
    </row>
    <row r="1208" spans="1:5" x14ac:dyDescent="0.25">
      <c r="A1208" s="1">
        <v>45686</v>
      </c>
      <c r="B1208" s="2">
        <v>6039.31</v>
      </c>
      <c r="C1208" s="3">
        <f t="shared" si="54"/>
        <v>-4.6788733787101241E-3</v>
      </c>
      <c r="D1208" s="4">
        <f t="shared" si="55"/>
        <v>6048.8639999999996</v>
      </c>
      <c r="E1208" s="2">
        <f t="shared" si="56"/>
        <v>25.054698641173051</v>
      </c>
    </row>
    <row r="1209" spans="1:5" x14ac:dyDescent="0.25">
      <c r="A1209" s="1">
        <v>45687</v>
      </c>
      <c r="B1209" s="2">
        <v>6071.17</v>
      </c>
      <c r="C1209" s="3">
        <f t="shared" si="54"/>
        <v>5.2754370946349284E-3</v>
      </c>
      <c r="D1209" s="4">
        <f t="shared" si="55"/>
        <v>6048.9440000000004</v>
      </c>
      <c r="E1209" s="2">
        <f t="shared" si="56"/>
        <v>25.11591694523613</v>
      </c>
    </row>
    <row r="1210" spans="1:5" x14ac:dyDescent="0.25">
      <c r="A1210" s="1">
        <v>45688</v>
      </c>
      <c r="B1210" s="2">
        <v>6040.53</v>
      </c>
      <c r="C1210" s="3">
        <f t="shared" si="54"/>
        <v>-5.0468031697350471E-3</v>
      </c>
      <c r="D1210" s="4">
        <f t="shared" si="55"/>
        <v>6050.21</v>
      </c>
      <c r="E1210" s="2">
        <f t="shared" si="56"/>
        <v>24.916677146040175</v>
      </c>
    </row>
    <row r="1211" spans="1:5" x14ac:dyDescent="0.25">
      <c r="A1211" s="1">
        <v>45691</v>
      </c>
      <c r="B1211" s="2">
        <v>5994.57</v>
      </c>
      <c r="C1211" s="3">
        <f t="shared" si="54"/>
        <v>-7.6086038807853017E-3</v>
      </c>
      <c r="D1211" s="4">
        <f t="shared" si="55"/>
        <v>6054.6</v>
      </c>
      <c r="E1211" s="2">
        <f t="shared" si="56"/>
        <v>31.278083381179194</v>
      </c>
    </row>
    <row r="1212" spans="1:5" x14ac:dyDescent="0.25">
      <c r="A1212" s="1">
        <v>45692</v>
      </c>
      <c r="B1212" s="2">
        <v>6037.88</v>
      </c>
      <c r="C1212" s="3">
        <f t="shared" si="54"/>
        <v>7.2248718423507281E-3</v>
      </c>
      <c r="D1212" s="4">
        <f t="shared" si="55"/>
        <v>6062.01</v>
      </c>
      <c r="E1212" s="2">
        <f t="shared" si="56"/>
        <v>35.552412013814205</v>
      </c>
    </row>
    <row r="1213" spans="1:5" x14ac:dyDescent="0.25">
      <c r="A1213" s="1">
        <v>45693</v>
      </c>
      <c r="B1213" s="2">
        <v>6061.48</v>
      </c>
      <c r="C1213" s="3">
        <f t="shared" si="54"/>
        <v>3.9086566808216551E-3</v>
      </c>
      <c r="D1213" s="4">
        <f t="shared" si="55"/>
        <v>6075.5110000000004</v>
      </c>
      <c r="E1213" s="2">
        <f t="shared" si="56"/>
        <v>32.915834016472971</v>
      </c>
    </row>
    <row r="1214" spans="1:5" x14ac:dyDescent="0.25">
      <c r="A1214" s="1">
        <v>45694</v>
      </c>
      <c r="B1214" s="2">
        <v>6083.57</v>
      </c>
      <c r="C1214" s="3">
        <f t="shared" si="54"/>
        <v>3.6443244884087956E-3</v>
      </c>
      <c r="D1214" s="4">
        <f t="shared" si="55"/>
        <v>6086.1379999999999</v>
      </c>
      <c r="E1214" s="2">
        <f t="shared" si="56"/>
        <v>36.05608153973472</v>
      </c>
    </row>
    <row r="1215" spans="1:5" x14ac:dyDescent="0.25">
      <c r="A1215" s="1">
        <v>45695</v>
      </c>
      <c r="B1215" s="2">
        <v>6025.99</v>
      </c>
      <c r="C1215" s="3">
        <f t="shared" si="54"/>
        <v>-9.464837258386101E-3</v>
      </c>
      <c r="D1215" s="4">
        <f t="shared" si="55"/>
        <v>6091.7420000000002</v>
      </c>
      <c r="E1215" s="2">
        <f t="shared" si="56"/>
        <v>36.143014484129573</v>
      </c>
    </row>
    <row r="1216" spans="1:5" x14ac:dyDescent="0.25">
      <c r="A1216" s="1">
        <v>45698</v>
      </c>
      <c r="B1216" s="2">
        <v>6066.44</v>
      </c>
      <c r="C1216" s="3">
        <f t="shared" si="54"/>
        <v>6.7125899644705387E-3</v>
      </c>
      <c r="D1216" s="4">
        <f t="shared" si="55"/>
        <v>6084.6980000000003</v>
      </c>
      <c r="E1216" s="2">
        <f t="shared" si="56"/>
        <v>43.220435629456553</v>
      </c>
    </row>
    <row r="1217" spans="1:5" x14ac:dyDescent="0.25">
      <c r="A1217" s="1">
        <v>45699</v>
      </c>
      <c r="B1217" s="2">
        <v>6068.5</v>
      </c>
      <c r="C1217" s="3">
        <f t="shared" si="54"/>
        <v>3.3957312690810433E-4</v>
      </c>
      <c r="D1217" s="4">
        <f t="shared" si="55"/>
        <v>6080.424</v>
      </c>
      <c r="E1217" s="2">
        <f t="shared" si="56"/>
        <v>50.341292434739835</v>
      </c>
    </row>
    <row r="1218" spans="1:5" x14ac:dyDescent="0.25">
      <c r="A1218" s="1">
        <v>45700</v>
      </c>
      <c r="B1218" s="2">
        <v>6051.97</v>
      </c>
      <c r="C1218" s="3">
        <f t="shared" si="54"/>
        <v>-2.7239021174919249E-3</v>
      </c>
      <c r="D1218" s="4">
        <f t="shared" si="55"/>
        <v>6069.3049999999994</v>
      </c>
      <c r="E1218" s="2">
        <f t="shared" si="56"/>
        <v>62.911933406945884</v>
      </c>
    </row>
    <row r="1219" spans="1:5" x14ac:dyDescent="0.25">
      <c r="A1219" s="1">
        <v>45701</v>
      </c>
      <c r="B1219" s="2">
        <v>6115.07</v>
      </c>
      <c r="C1219" s="3">
        <f t="shared" ref="C1219:C1282" si="57">(B1219-B1218)/B1218</f>
        <v>1.0426357037460438E-2</v>
      </c>
      <c r="D1219" s="4">
        <f t="shared" ref="D1219:D1282" si="58">AVERAGE(B1218:B1227)</f>
        <v>6058.0609999999997</v>
      </c>
      <c r="E1219" s="2">
        <f t="shared" ref="E1219:E1282" si="59">_xlfn.STDEV.P(B1218:B1227)</f>
        <v>71.511272041545908</v>
      </c>
    </row>
    <row r="1220" spans="1:5" x14ac:dyDescent="0.25">
      <c r="A1220" s="1">
        <v>45702</v>
      </c>
      <c r="B1220" s="2">
        <v>6114.63</v>
      </c>
      <c r="C1220" s="3">
        <f t="shared" si="57"/>
        <v>-7.1953387287406335E-5</v>
      </c>
      <c r="D1220" s="4">
        <f t="shared" si="58"/>
        <v>6039.0209999999997</v>
      </c>
      <c r="E1220" s="2">
        <f t="shared" si="59"/>
        <v>92.782011774912476</v>
      </c>
    </row>
    <row r="1221" spans="1:5" x14ac:dyDescent="0.25">
      <c r="A1221" s="1">
        <v>45706</v>
      </c>
      <c r="B1221" s="2">
        <v>6129.58</v>
      </c>
      <c r="C1221" s="3">
        <f t="shared" si="57"/>
        <v>2.4449557863680743E-3</v>
      </c>
      <c r="D1221" s="4">
        <f t="shared" si="58"/>
        <v>6022.9639999999999</v>
      </c>
      <c r="E1221" s="2">
        <f t="shared" si="59"/>
        <v>92.123337781476422</v>
      </c>
    </row>
    <row r="1222" spans="1:5" x14ac:dyDescent="0.25">
      <c r="A1222" s="1">
        <v>45707</v>
      </c>
      <c r="B1222" s="2">
        <v>6144.15</v>
      </c>
      <c r="C1222" s="3">
        <f t="shared" si="57"/>
        <v>2.3769980977489009E-3</v>
      </c>
      <c r="D1222" s="4">
        <f t="shared" si="58"/>
        <v>5996.473</v>
      </c>
      <c r="E1222" s="2">
        <f t="shared" si="59"/>
        <v>99.729730176111445</v>
      </c>
    </row>
    <row r="1223" spans="1:5" x14ac:dyDescent="0.25">
      <c r="A1223" s="1">
        <v>45708</v>
      </c>
      <c r="B1223" s="2">
        <v>6117.52</v>
      </c>
      <c r="C1223" s="3">
        <f t="shared" si="57"/>
        <v>-4.3342040803038993E-3</v>
      </c>
      <c r="D1223" s="4">
        <f t="shared" si="58"/>
        <v>5961.33</v>
      </c>
      <c r="E1223" s="2">
        <f t="shared" si="59"/>
        <v>108.19304284472277</v>
      </c>
    </row>
    <row r="1224" spans="1:5" x14ac:dyDescent="0.25">
      <c r="A1224" s="1">
        <v>45709</v>
      </c>
      <c r="B1224" s="2">
        <v>6013.13</v>
      </c>
      <c r="C1224" s="3">
        <f t="shared" si="57"/>
        <v>-1.7064104408322379E-2</v>
      </c>
      <c r="D1224" s="4">
        <f t="shared" si="58"/>
        <v>5931.1779999999999</v>
      </c>
      <c r="E1224" s="2">
        <f t="shared" si="59"/>
        <v>94.144809607327957</v>
      </c>
    </row>
    <row r="1225" spans="1:5" x14ac:dyDescent="0.25">
      <c r="A1225" s="1">
        <v>45712</v>
      </c>
      <c r="B1225" s="2">
        <v>5983.25</v>
      </c>
      <c r="C1225" s="3">
        <f t="shared" si="57"/>
        <v>-4.9691258961639126E-3</v>
      </c>
      <c r="D1225" s="4">
        <f t="shared" si="58"/>
        <v>5893.2780000000002</v>
      </c>
      <c r="E1225" s="2">
        <f t="shared" si="59"/>
        <v>87.556904787686506</v>
      </c>
    </row>
    <row r="1226" spans="1:5" x14ac:dyDescent="0.25">
      <c r="A1226" s="1">
        <v>45713</v>
      </c>
      <c r="B1226" s="2">
        <v>5955.25</v>
      </c>
      <c r="C1226" s="3">
        <f t="shared" si="57"/>
        <v>-4.6797309154723602E-3</v>
      </c>
      <c r="D1226" s="4">
        <f t="shared" si="58"/>
        <v>5868.9849999999988</v>
      </c>
      <c r="E1226" s="2">
        <f t="shared" si="59"/>
        <v>84.58386929551051</v>
      </c>
    </row>
    <row r="1227" spans="1:5" x14ac:dyDescent="0.25">
      <c r="A1227" s="1">
        <v>45714</v>
      </c>
      <c r="B1227" s="2">
        <v>5956.06</v>
      </c>
      <c r="C1227" s="3">
        <f t="shared" si="57"/>
        <v>1.3601444103948618E-4</v>
      </c>
      <c r="D1227" s="4">
        <f t="shared" si="58"/>
        <v>5832.1159999999991</v>
      </c>
      <c r="E1227" s="2">
        <f t="shared" si="59"/>
        <v>104.70275461514845</v>
      </c>
    </row>
    <row r="1228" spans="1:5" x14ac:dyDescent="0.25">
      <c r="A1228" s="1">
        <v>45715</v>
      </c>
      <c r="B1228" s="2">
        <v>5861.57</v>
      </c>
      <c r="C1228" s="3">
        <f t="shared" si="57"/>
        <v>-1.5864514460902122E-2</v>
      </c>
      <c r="D1228" s="4">
        <f t="shared" si="58"/>
        <v>5793.7979999999989</v>
      </c>
      <c r="E1228" s="2">
        <f t="shared" si="59"/>
        <v>121.41083854417614</v>
      </c>
    </row>
    <row r="1229" spans="1:5" x14ac:dyDescent="0.25">
      <c r="A1229" s="1">
        <v>45716</v>
      </c>
      <c r="B1229" s="2">
        <v>5954.5</v>
      </c>
      <c r="C1229" s="3">
        <f t="shared" si="57"/>
        <v>1.5854114170776822E-2</v>
      </c>
      <c r="D1229" s="4">
        <f t="shared" si="58"/>
        <v>5758.1220000000003</v>
      </c>
      <c r="E1229" s="2">
        <f t="shared" si="59"/>
        <v>120.9043683081798</v>
      </c>
    </row>
    <row r="1230" spans="1:5" x14ac:dyDescent="0.25">
      <c r="A1230" s="1">
        <v>45719</v>
      </c>
      <c r="B1230" s="2">
        <v>5849.72</v>
      </c>
      <c r="C1230" s="3">
        <f t="shared" si="57"/>
        <v>-1.7596775547904904E-2</v>
      </c>
      <c r="D1230" s="4">
        <f t="shared" si="58"/>
        <v>5724.1170000000002</v>
      </c>
      <c r="E1230" s="2">
        <f t="shared" si="59"/>
        <v>134.12467342364707</v>
      </c>
    </row>
    <row r="1231" spans="1:5" x14ac:dyDescent="0.25">
      <c r="A1231" s="1">
        <v>45720</v>
      </c>
      <c r="B1231" s="2">
        <v>5778.15</v>
      </c>
      <c r="C1231" s="3">
        <f t="shared" si="57"/>
        <v>-1.2234773630190952E-2</v>
      </c>
      <c r="D1231" s="4">
        <f t="shared" si="58"/>
        <v>5692.5609999999997</v>
      </c>
      <c r="E1231" s="2">
        <f t="shared" si="59"/>
        <v>111.4070300699197</v>
      </c>
    </row>
    <row r="1232" spans="1:5" x14ac:dyDescent="0.25">
      <c r="A1232" s="1">
        <v>45721</v>
      </c>
      <c r="B1232" s="2">
        <v>5842.63</v>
      </c>
      <c r="C1232" s="3">
        <f t="shared" si="57"/>
        <v>1.1159281084776351E-2</v>
      </c>
      <c r="D1232" s="4">
        <f t="shared" si="58"/>
        <v>5675.1010000000015</v>
      </c>
      <c r="E1232" s="2">
        <f t="shared" si="59"/>
        <v>98.321912455972836</v>
      </c>
    </row>
    <row r="1233" spans="1:5" x14ac:dyDescent="0.25">
      <c r="A1233" s="1">
        <v>45722</v>
      </c>
      <c r="B1233" s="2">
        <v>5738.52</v>
      </c>
      <c r="C1233" s="3">
        <f t="shared" si="57"/>
        <v>-1.7819030128555062E-2</v>
      </c>
      <c r="D1233" s="4">
        <f t="shared" si="58"/>
        <v>5658.7520000000004</v>
      </c>
      <c r="E1233" s="2">
        <f t="shared" si="59"/>
        <v>93.291534857134792</v>
      </c>
    </row>
    <row r="1234" spans="1:5" x14ac:dyDescent="0.25">
      <c r="A1234" s="1">
        <v>45723</v>
      </c>
      <c r="B1234" s="2">
        <v>5770.2</v>
      </c>
      <c r="C1234" s="3">
        <f t="shared" si="57"/>
        <v>5.5205871897282535E-3</v>
      </c>
      <c r="D1234" s="4">
        <f t="shared" si="58"/>
        <v>5642.018</v>
      </c>
      <c r="E1234" s="2">
        <f t="shared" si="59"/>
        <v>71.200578480796025</v>
      </c>
    </row>
    <row r="1235" spans="1:5" x14ac:dyDescent="0.25">
      <c r="A1235" s="1">
        <v>45726</v>
      </c>
      <c r="B1235" s="2">
        <v>5614.56</v>
      </c>
      <c r="C1235" s="3">
        <f t="shared" si="57"/>
        <v>-2.6973068524487786E-2</v>
      </c>
      <c r="D1235" s="4">
        <f t="shared" si="58"/>
        <v>5634.4550000000008</v>
      </c>
      <c r="E1235" s="2">
        <f t="shared" si="59"/>
        <v>64.223234463860408</v>
      </c>
    </row>
    <row r="1236" spans="1:5" x14ac:dyDescent="0.25">
      <c r="A1236" s="1">
        <v>45727</v>
      </c>
      <c r="B1236" s="2">
        <v>5572.07</v>
      </c>
      <c r="C1236" s="3">
        <f t="shared" si="57"/>
        <v>-7.5678236584880536E-3</v>
      </c>
      <c r="D1236" s="4">
        <f t="shared" si="58"/>
        <v>5624.1909999999998</v>
      </c>
      <c r="E1236" s="2">
        <f t="shared" si="59"/>
        <v>47.814200286107436</v>
      </c>
    </row>
    <row r="1237" spans="1:5" x14ac:dyDescent="0.25">
      <c r="A1237" s="1">
        <v>45728</v>
      </c>
      <c r="B1237" s="2">
        <v>5599.3</v>
      </c>
      <c r="C1237" s="3">
        <f t="shared" si="57"/>
        <v>4.8868732804865115E-3</v>
      </c>
      <c r="D1237" s="4">
        <f t="shared" si="58"/>
        <v>5639.4920000000002</v>
      </c>
      <c r="E1237" s="2">
        <f t="shared" si="59"/>
        <v>64.019960137444542</v>
      </c>
    </row>
    <row r="1238" spans="1:5" x14ac:dyDescent="0.25">
      <c r="A1238" s="1">
        <v>45729</v>
      </c>
      <c r="B1238" s="2">
        <v>5521.52</v>
      </c>
      <c r="C1238" s="3">
        <f t="shared" si="57"/>
        <v>-1.3891022092047175E-2</v>
      </c>
      <c r="D1238" s="4">
        <f t="shared" si="58"/>
        <v>5659.9499999999989</v>
      </c>
      <c r="E1238" s="2">
        <f t="shared" si="59"/>
        <v>71.461070660884829</v>
      </c>
    </row>
    <row r="1239" spans="1:5" x14ac:dyDescent="0.25">
      <c r="A1239" s="1">
        <v>45730</v>
      </c>
      <c r="B1239" s="2">
        <v>5638.94</v>
      </c>
      <c r="C1239" s="3">
        <f t="shared" si="57"/>
        <v>2.1265883307494883E-2</v>
      </c>
      <c r="D1239" s="4">
        <f t="shared" si="58"/>
        <v>5671.24</v>
      </c>
      <c r="E1239" s="2">
        <f t="shared" si="59"/>
        <v>69.888371851116801</v>
      </c>
    </row>
    <row r="1240" spans="1:5" x14ac:dyDescent="0.25">
      <c r="A1240" s="1">
        <v>45733</v>
      </c>
      <c r="B1240" s="2">
        <v>5675.12</v>
      </c>
      <c r="C1240" s="3">
        <f t="shared" si="57"/>
        <v>6.4160994796894971E-3</v>
      </c>
      <c r="D1240" s="4">
        <f t="shared" si="58"/>
        <v>5688.4189999999999</v>
      </c>
      <c r="E1240" s="2">
        <f t="shared" si="59"/>
        <v>48.952702979508622</v>
      </c>
    </row>
    <row r="1241" spans="1:5" x14ac:dyDescent="0.25">
      <c r="A1241" s="1">
        <v>45734</v>
      </c>
      <c r="B1241" s="2">
        <v>5614.66</v>
      </c>
      <c r="C1241" s="3">
        <f t="shared" si="57"/>
        <v>-1.0653519220738952E-2</v>
      </c>
      <c r="D1241" s="4">
        <f t="shared" si="58"/>
        <v>5682.6189999999997</v>
      </c>
      <c r="E1241" s="2">
        <f t="shared" si="59"/>
        <v>57.210868976095753</v>
      </c>
    </row>
    <row r="1242" spans="1:5" x14ac:dyDescent="0.25">
      <c r="A1242" s="1">
        <v>45735</v>
      </c>
      <c r="B1242" s="2">
        <v>5675.29</v>
      </c>
      <c r="C1242" s="3">
        <f t="shared" si="57"/>
        <v>1.0798516740105386E-2</v>
      </c>
      <c r="D1242" s="4">
        <f t="shared" si="58"/>
        <v>5676.2919999999995</v>
      </c>
      <c r="E1242" s="2">
        <f t="shared" si="59"/>
        <v>61.059431998668238</v>
      </c>
    </row>
    <row r="1243" spans="1:5" x14ac:dyDescent="0.25">
      <c r="A1243" s="1">
        <v>45736</v>
      </c>
      <c r="B1243" s="2">
        <v>5662.89</v>
      </c>
      <c r="C1243" s="3">
        <f t="shared" si="57"/>
        <v>-2.1849103746239638E-3</v>
      </c>
      <c r="D1243" s="4">
        <f t="shared" si="58"/>
        <v>5678.1329999999998</v>
      </c>
      <c r="E1243" s="2">
        <f t="shared" si="59"/>
        <v>59.429190983892688</v>
      </c>
    </row>
    <row r="1244" spans="1:5" x14ac:dyDescent="0.25">
      <c r="A1244" s="1">
        <v>45737</v>
      </c>
      <c r="B1244" s="2">
        <v>5667.56</v>
      </c>
      <c r="C1244" s="3">
        <f t="shared" si="57"/>
        <v>8.2466726353506298E-4</v>
      </c>
      <c r="D1244" s="4">
        <f t="shared" si="58"/>
        <v>5677.701</v>
      </c>
      <c r="E1244" s="2">
        <f t="shared" si="59"/>
        <v>59.463978247338879</v>
      </c>
    </row>
    <row r="1245" spans="1:5" x14ac:dyDescent="0.25">
      <c r="A1245" s="1">
        <v>45740</v>
      </c>
      <c r="B1245" s="2">
        <v>5767.57</v>
      </c>
      <c r="C1245" s="3">
        <f t="shared" si="57"/>
        <v>1.7646041682840466E-2</v>
      </c>
      <c r="D1245" s="4">
        <f t="shared" si="58"/>
        <v>5651.0640000000003</v>
      </c>
      <c r="E1245" s="2">
        <f t="shared" si="59"/>
        <v>103.49286856590636</v>
      </c>
    </row>
    <row r="1246" spans="1:5" x14ac:dyDescent="0.25">
      <c r="A1246" s="1">
        <v>45741</v>
      </c>
      <c r="B1246" s="2">
        <v>5776.65</v>
      </c>
      <c r="C1246" s="3">
        <f t="shared" si="57"/>
        <v>1.5743198608772721E-3</v>
      </c>
      <c r="D1246" s="4">
        <f t="shared" si="58"/>
        <v>5591.7160000000003</v>
      </c>
      <c r="E1246" s="2">
        <f t="shared" si="59"/>
        <v>201.12789603632802</v>
      </c>
    </row>
    <row r="1247" spans="1:5" x14ac:dyDescent="0.25">
      <c r="A1247" s="1">
        <v>45742</v>
      </c>
      <c r="B1247" s="2">
        <v>5712.2</v>
      </c>
      <c r="C1247" s="3">
        <f t="shared" si="57"/>
        <v>-1.1156985450044545E-2</v>
      </c>
      <c r="D1247" s="4">
        <f t="shared" si="58"/>
        <v>5521.1839999999993</v>
      </c>
      <c r="E1247" s="2">
        <f t="shared" si="59"/>
        <v>245.80201204221251</v>
      </c>
    </row>
    <row r="1248" spans="1:5" x14ac:dyDescent="0.25">
      <c r="A1248" s="1">
        <v>45743</v>
      </c>
      <c r="B1248" s="2">
        <v>5693.31</v>
      </c>
      <c r="C1248" s="3">
        <f t="shared" si="57"/>
        <v>-3.3069570393192498E-3</v>
      </c>
      <c r="D1248" s="4">
        <f t="shared" si="58"/>
        <v>5441.7960000000003</v>
      </c>
      <c r="E1248" s="2">
        <f t="shared" si="59"/>
        <v>276.72883912595734</v>
      </c>
    </row>
    <row r="1249" spans="1:5" x14ac:dyDescent="0.25">
      <c r="A1249" s="1">
        <v>45744</v>
      </c>
      <c r="B1249" s="2">
        <v>5580.94</v>
      </c>
      <c r="C1249" s="3">
        <f t="shared" si="57"/>
        <v>-1.973720032810453E-2</v>
      </c>
      <c r="D1249" s="4">
        <f t="shared" si="58"/>
        <v>5416.2660000000014</v>
      </c>
      <c r="E1249" s="2">
        <f t="shared" si="59"/>
        <v>261.98864529593641</v>
      </c>
    </row>
    <row r="1250" spans="1:5" x14ac:dyDescent="0.25">
      <c r="A1250" s="1">
        <v>45747</v>
      </c>
      <c r="B1250" s="2">
        <v>5611.85</v>
      </c>
      <c r="C1250" s="3">
        <f t="shared" si="57"/>
        <v>5.5384935154294381E-3</v>
      </c>
      <c r="D1250" s="4">
        <f t="shared" si="58"/>
        <v>5373.74</v>
      </c>
      <c r="E1250" s="2">
        <f t="shared" si="59"/>
        <v>247.69144123283704</v>
      </c>
    </row>
    <row r="1251" spans="1:5" x14ac:dyDescent="0.25">
      <c r="A1251" s="1">
        <v>45748</v>
      </c>
      <c r="B1251" s="2">
        <v>5633.07</v>
      </c>
      <c r="C1251" s="3">
        <f t="shared" si="57"/>
        <v>3.781284246727789E-3</v>
      </c>
      <c r="D1251" s="4">
        <f t="shared" si="58"/>
        <v>5351.982</v>
      </c>
      <c r="E1251" s="2">
        <f t="shared" si="59"/>
        <v>237.89751981893374</v>
      </c>
    </row>
    <row r="1252" spans="1:5" x14ac:dyDescent="0.25">
      <c r="A1252" s="1">
        <v>45749</v>
      </c>
      <c r="B1252" s="2">
        <v>5670.97</v>
      </c>
      <c r="C1252" s="3">
        <f t="shared" si="57"/>
        <v>6.728125160880399E-3</v>
      </c>
      <c r="D1252" s="4">
        <f t="shared" si="58"/>
        <v>5323.1077777777782</v>
      </c>
      <c r="E1252" s="2">
        <f t="shared" si="59"/>
        <v>233.55166822010719</v>
      </c>
    </row>
    <row r="1253" spans="1:5" x14ac:dyDescent="0.25">
      <c r="A1253" s="1">
        <v>45750</v>
      </c>
      <c r="B1253" s="2">
        <v>5396.52</v>
      </c>
      <c r="C1253" s="3">
        <f t="shared" si="57"/>
        <v>-4.8395600752604899E-2</v>
      </c>
      <c r="D1253" s="4">
        <f t="shared" si="58"/>
        <v>5284.3625000000002</v>
      </c>
      <c r="E1253" s="2">
        <f t="shared" si="59"/>
        <v>218.75536677702328</v>
      </c>
    </row>
    <row r="1254" spans="1:5" x14ac:dyDescent="0.25">
      <c r="A1254" s="1">
        <v>45751</v>
      </c>
      <c r="B1254" s="2">
        <v>5074.08</v>
      </c>
      <c r="C1254" s="3">
        <f t="shared" si="57"/>
        <v>-5.9749616419470415E-2</v>
      </c>
      <c r="D1254" s="4">
        <f t="shared" si="58"/>
        <v>5229.1328571428576</v>
      </c>
      <c r="E1254" s="2">
        <f t="shared" si="59"/>
        <v>174.03354797397003</v>
      </c>
    </row>
    <row r="1255" spans="1:5" x14ac:dyDescent="0.25">
      <c r="A1255" s="1">
        <v>45754</v>
      </c>
      <c r="B1255" s="2">
        <v>5062.25</v>
      </c>
      <c r="C1255" s="3">
        <f t="shared" si="57"/>
        <v>-2.331457131144942E-3</v>
      </c>
      <c r="D1255" s="4">
        <f t="shared" si="58"/>
        <v>5201.2349999999997</v>
      </c>
      <c r="E1255" s="2">
        <f t="shared" si="59"/>
        <v>172.88027290102607</v>
      </c>
    </row>
    <row r="1256" spans="1:5" x14ac:dyDescent="0.25">
      <c r="A1256" s="1">
        <v>45755</v>
      </c>
      <c r="B1256" s="2">
        <v>4982.7700000000004</v>
      </c>
      <c r="C1256" s="3">
        <f t="shared" si="57"/>
        <v>-1.5700528421156514E-2</v>
      </c>
      <c r="D1256" s="4">
        <f t="shared" si="58"/>
        <v>5226.6660000000002</v>
      </c>
      <c r="E1256" s="2">
        <f t="shared" si="59"/>
        <v>178.84264576436993</v>
      </c>
    </row>
    <row r="1257" spans="1:5" x14ac:dyDescent="0.25">
      <c r="A1257" s="1">
        <v>45756</v>
      </c>
      <c r="B1257" s="2">
        <v>5456.9</v>
      </c>
      <c r="C1257" s="3">
        <f t="shared" si="57"/>
        <v>9.5153900340573444E-2</v>
      </c>
      <c r="D1257" s="4">
        <f t="shared" si="58"/>
        <v>5267.77</v>
      </c>
      <c r="E1257" s="2">
        <f t="shared" si="59"/>
        <v>177.57581718803911</v>
      </c>
    </row>
    <row r="1258" spans="1:5" x14ac:dyDescent="0.25">
      <c r="A1258" s="1">
        <v>45757</v>
      </c>
      <c r="B1258" s="2">
        <v>5268.05</v>
      </c>
      <c r="C1258" s="3">
        <f t="shared" si="57"/>
        <v>-3.4607561069471583E-2</v>
      </c>
      <c r="D1258" s="4">
        <f t="shared" si="58"/>
        <v>5362.77</v>
      </c>
      <c r="E1258" s="2">
        <f t="shared" si="59"/>
        <v>77.098818408585004</v>
      </c>
    </row>
    <row r="1259" spans="1:5" x14ac:dyDescent="0.25">
      <c r="A1259" s="1">
        <v>45758</v>
      </c>
      <c r="B1259" s="2">
        <v>5363.36</v>
      </c>
      <c r="C1259" s="3">
        <f t="shared" si="57"/>
        <v>1.8092083408471727E-2</v>
      </c>
      <c r="D1259" s="4">
        <f t="shared" si="58"/>
        <v>5315.7049999999999</v>
      </c>
      <c r="E1259" s="2">
        <f t="shared" si="59"/>
        <v>47.654999999999745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32ADB-DF76-4ABA-9472-D2B97938493A}">
  <dimension ref="A1:F1259"/>
  <sheetViews>
    <sheetView workbookViewId="0">
      <selection activeCell="B2" sqref="B2"/>
    </sheetView>
  </sheetViews>
  <sheetFormatPr defaultRowHeight="15" x14ac:dyDescent="0.25"/>
  <cols>
    <col min="1" max="1" width="13" customWidth="1"/>
    <col min="2" max="2" width="20.42578125" style="2" customWidth="1"/>
    <col min="6" max="6" width="20.42578125" style="2" customWidth="1"/>
  </cols>
  <sheetData>
    <row r="1" spans="1:6" x14ac:dyDescent="0.25">
      <c r="A1" t="s">
        <v>0</v>
      </c>
      <c r="B1" s="2" t="s">
        <v>1</v>
      </c>
      <c r="C1" t="s">
        <v>15</v>
      </c>
      <c r="F1" s="2" t="s">
        <v>1</v>
      </c>
    </row>
    <row r="2" spans="1:6" x14ac:dyDescent="0.25">
      <c r="A2" s="1">
        <v>43934</v>
      </c>
      <c r="B2" s="2">
        <v>2672</v>
      </c>
    </row>
    <row r="3" spans="1:6" x14ac:dyDescent="0.25">
      <c r="A3" s="1">
        <v>43935</v>
      </c>
      <c r="B3" s="2">
        <v>2457.6</v>
      </c>
      <c r="C3">
        <f>(B3-B2)</f>
        <v>-214.40000000000009</v>
      </c>
      <c r="F3" s="2">
        <v>2457.6</v>
      </c>
    </row>
    <row r="4" spans="1:6" x14ac:dyDescent="0.25">
      <c r="A4" s="1">
        <v>43936</v>
      </c>
      <c r="B4" s="2">
        <v>2661.6</v>
      </c>
      <c r="C4">
        <f t="shared" ref="C4:C67" si="0">(B4-B3)</f>
        <v>204</v>
      </c>
      <c r="F4" s="2">
        <v>2661.6</v>
      </c>
    </row>
    <row r="5" spans="1:6" x14ac:dyDescent="0.25">
      <c r="A5" s="1">
        <v>43937</v>
      </c>
      <c r="B5" s="2">
        <v>2676.8</v>
      </c>
      <c r="C5">
        <f t="shared" si="0"/>
        <v>15.200000000000273</v>
      </c>
      <c r="F5" s="2">
        <v>2676.8</v>
      </c>
    </row>
    <row r="6" spans="1:6" x14ac:dyDescent="0.25">
      <c r="A6" s="1">
        <v>43938</v>
      </c>
      <c r="B6" s="2">
        <v>2566.4</v>
      </c>
      <c r="C6">
        <f t="shared" si="0"/>
        <v>-110.40000000000009</v>
      </c>
      <c r="F6" s="2">
        <v>2566.4</v>
      </c>
    </row>
    <row r="7" spans="1:6" x14ac:dyDescent="0.25">
      <c r="A7" s="1">
        <v>43941</v>
      </c>
      <c r="B7" s="2">
        <v>2819.2</v>
      </c>
      <c r="C7">
        <f t="shared" si="0"/>
        <v>252.79999999999973</v>
      </c>
      <c r="F7" s="2">
        <v>2819.2</v>
      </c>
    </row>
    <row r="8" spans="1:6" x14ac:dyDescent="0.25">
      <c r="A8" s="1">
        <v>43942</v>
      </c>
      <c r="B8" s="2">
        <v>3048</v>
      </c>
      <c r="C8">
        <f t="shared" si="0"/>
        <v>228.80000000000018</v>
      </c>
      <c r="F8" s="2">
        <v>3048</v>
      </c>
    </row>
    <row r="9" spans="1:6" x14ac:dyDescent="0.25">
      <c r="A9" s="1">
        <v>43943</v>
      </c>
      <c r="B9" s="2">
        <v>2900.8</v>
      </c>
      <c r="C9">
        <f t="shared" si="0"/>
        <v>-147.19999999999982</v>
      </c>
      <c r="F9" s="2">
        <v>2900.8</v>
      </c>
    </row>
    <row r="10" spans="1:6" x14ac:dyDescent="0.25">
      <c r="A10" s="1">
        <v>43944</v>
      </c>
      <c r="B10" s="2">
        <v>2899.2</v>
      </c>
      <c r="C10">
        <f t="shared" si="0"/>
        <v>-1.6000000000003638</v>
      </c>
      <c r="F10" s="2">
        <v>2899.2</v>
      </c>
    </row>
    <row r="11" spans="1:6" x14ac:dyDescent="0.25">
      <c r="A11" s="1">
        <v>43945</v>
      </c>
      <c r="B11" s="2">
        <v>2740</v>
      </c>
      <c r="C11">
        <f t="shared" si="0"/>
        <v>-159.19999999999982</v>
      </c>
      <c r="F11" s="2">
        <v>2740</v>
      </c>
    </row>
    <row r="12" spans="1:6" x14ac:dyDescent="0.25">
      <c r="A12" s="1">
        <v>43948</v>
      </c>
      <c r="B12" s="2">
        <v>2524</v>
      </c>
      <c r="C12">
        <f t="shared" si="0"/>
        <v>-216</v>
      </c>
      <c r="F12" s="2">
        <v>2524</v>
      </c>
    </row>
    <row r="13" spans="1:6" x14ac:dyDescent="0.25">
      <c r="A13" s="1">
        <v>43949</v>
      </c>
      <c r="B13" s="2">
        <v>2567.1999999999998</v>
      </c>
      <c r="C13">
        <f t="shared" si="0"/>
        <v>43.199999999999818</v>
      </c>
      <c r="F13" s="2">
        <v>2567.1999999999998</v>
      </c>
    </row>
    <row r="14" spans="1:6" x14ac:dyDescent="0.25">
      <c r="A14" s="1">
        <v>43950</v>
      </c>
      <c r="B14" s="2">
        <v>2406.4</v>
      </c>
      <c r="C14">
        <f t="shared" si="0"/>
        <v>-160.79999999999973</v>
      </c>
      <c r="F14" s="2">
        <v>2406.4</v>
      </c>
    </row>
    <row r="15" spans="1:6" x14ac:dyDescent="0.25">
      <c r="A15" s="1">
        <v>43951</v>
      </c>
      <c r="B15" s="2">
        <v>2485.6</v>
      </c>
      <c r="C15">
        <f t="shared" si="0"/>
        <v>79.199999999999818</v>
      </c>
      <c r="F15" s="2">
        <v>2485.6</v>
      </c>
    </row>
    <row r="16" spans="1:6" x14ac:dyDescent="0.25">
      <c r="A16" s="1">
        <v>43952</v>
      </c>
      <c r="B16" s="2">
        <v>2701.6</v>
      </c>
      <c r="C16">
        <f t="shared" si="0"/>
        <v>216</v>
      </c>
      <c r="F16" s="2">
        <v>2701.6</v>
      </c>
    </row>
    <row r="17" spans="1:6" x14ac:dyDescent="0.25">
      <c r="A17" s="1">
        <v>43955</v>
      </c>
      <c r="B17" s="2">
        <v>2646.4</v>
      </c>
      <c r="C17">
        <f t="shared" si="0"/>
        <v>-55.199999999999818</v>
      </c>
      <c r="F17" s="2">
        <v>2646.4</v>
      </c>
    </row>
    <row r="18" spans="1:6" x14ac:dyDescent="0.25">
      <c r="A18" s="1">
        <v>43956</v>
      </c>
      <c r="B18" s="2">
        <v>2544.8000000000002</v>
      </c>
      <c r="C18">
        <f t="shared" si="0"/>
        <v>-101.59999999999991</v>
      </c>
      <c r="F18" s="2">
        <v>2544.8000000000002</v>
      </c>
    </row>
    <row r="19" spans="1:6" x14ac:dyDescent="0.25">
      <c r="A19" s="1">
        <v>43957</v>
      </c>
      <c r="B19" s="2">
        <v>2573.6</v>
      </c>
      <c r="C19">
        <f t="shared" si="0"/>
        <v>28.799999999999727</v>
      </c>
      <c r="F19" s="2">
        <v>2573.6</v>
      </c>
    </row>
    <row r="20" spans="1:6" x14ac:dyDescent="0.25">
      <c r="A20" s="1">
        <v>43958</v>
      </c>
      <c r="B20" s="2">
        <v>2469.6</v>
      </c>
      <c r="C20">
        <f t="shared" si="0"/>
        <v>-104</v>
      </c>
      <c r="F20" s="2">
        <v>2469.6</v>
      </c>
    </row>
    <row r="21" spans="1:6" x14ac:dyDescent="0.25">
      <c r="A21" s="1">
        <v>43959</v>
      </c>
      <c r="B21" s="2">
        <v>2299.1999999999998</v>
      </c>
      <c r="C21">
        <f t="shared" si="0"/>
        <v>-170.40000000000009</v>
      </c>
      <c r="F21" s="2">
        <v>2299.1999999999998</v>
      </c>
    </row>
    <row r="22" spans="1:6" x14ac:dyDescent="0.25">
      <c r="A22" s="1">
        <v>43962</v>
      </c>
      <c r="B22" s="2">
        <v>2141.6</v>
      </c>
      <c r="C22">
        <f t="shared" si="0"/>
        <v>-157.59999999999991</v>
      </c>
      <c r="F22" s="2">
        <v>2141.6</v>
      </c>
    </row>
    <row r="23" spans="1:6" x14ac:dyDescent="0.25">
      <c r="A23" s="1">
        <v>43963</v>
      </c>
      <c r="B23" s="2">
        <v>2357.6</v>
      </c>
      <c r="C23">
        <f t="shared" si="0"/>
        <v>216</v>
      </c>
      <c r="F23" s="2">
        <v>2357.6</v>
      </c>
    </row>
    <row r="24" spans="1:6" x14ac:dyDescent="0.25">
      <c r="A24" s="1">
        <v>43964</v>
      </c>
      <c r="B24" s="2">
        <v>2599.1999999999998</v>
      </c>
      <c r="C24">
        <f t="shared" si="0"/>
        <v>241.59999999999991</v>
      </c>
      <c r="F24" s="2">
        <v>2599.1999999999998</v>
      </c>
    </row>
    <row r="25" spans="1:6" x14ac:dyDescent="0.25">
      <c r="A25" s="1">
        <v>43965</v>
      </c>
      <c r="B25" s="2">
        <v>2472</v>
      </c>
      <c r="C25">
        <f t="shared" si="0"/>
        <v>-127.19999999999982</v>
      </c>
      <c r="F25" s="2">
        <v>2472</v>
      </c>
    </row>
    <row r="26" spans="1:6" x14ac:dyDescent="0.25">
      <c r="A26" s="1">
        <v>43966</v>
      </c>
      <c r="B26" s="2">
        <v>2404.8000000000002</v>
      </c>
      <c r="C26">
        <f t="shared" si="0"/>
        <v>-67.199999999999818</v>
      </c>
      <c r="F26" s="2">
        <v>2404.8000000000002</v>
      </c>
    </row>
    <row r="27" spans="1:6" x14ac:dyDescent="0.25">
      <c r="A27" s="1">
        <v>43969</v>
      </c>
      <c r="B27" s="2">
        <v>2251.1999999999998</v>
      </c>
      <c r="C27">
        <f t="shared" si="0"/>
        <v>-153.60000000000036</v>
      </c>
      <c r="F27" s="2">
        <v>2251.1999999999998</v>
      </c>
    </row>
    <row r="28" spans="1:6" x14ac:dyDescent="0.25">
      <c r="A28" s="1">
        <v>43970</v>
      </c>
      <c r="B28" s="2">
        <v>2364.8000000000002</v>
      </c>
      <c r="C28">
        <f t="shared" si="0"/>
        <v>113.60000000000036</v>
      </c>
      <c r="F28" s="2">
        <v>2364.8000000000002</v>
      </c>
    </row>
    <row r="29" spans="1:6" x14ac:dyDescent="0.25">
      <c r="A29" s="1">
        <v>43971</v>
      </c>
      <c r="B29" s="2">
        <v>2221.6</v>
      </c>
      <c r="C29">
        <f t="shared" si="0"/>
        <v>-143.20000000000027</v>
      </c>
      <c r="F29" s="2">
        <v>2221.6</v>
      </c>
    </row>
    <row r="30" spans="1:6" x14ac:dyDescent="0.25">
      <c r="A30" s="1">
        <v>43972</v>
      </c>
      <c r="B30" s="2">
        <v>2270.4</v>
      </c>
      <c r="C30">
        <f t="shared" si="0"/>
        <v>48.800000000000182</v>
      </c>
      <c r="F30" s="2">
        <v>2270.4</v>
      </c>
    </row>
    <row r="31" spans="1:6" x14ac:dyDescent="0.25">
      <c r="A31" s="1">
        <v>43973</v>
      </c>
      <c r="B31" s="2">
        <v>2252.8000000000002</v>
      </c>
      <c r="C31">
        <f t="shared" si="0"/>
        <v>-17.599999999999909</v>
      </c>
      <c r="F31" s="2">
        <v>2252.8000000000002</v>
      </c>
    </row>
    <row r="32" spans="1:6" x14ac:dyDescent="0.25">
      <c r="A32" s="1">
        <v>43977</v>
      </c>
      <c r="B32" s="2">
        <v>2224</v>
      </c>
      <c r="C32">
        <f t="shared" si="0"/>
        <v>-28.800000000000182</v>
      </c>
      <c r="F32" s="2">
        <v>2224</v>
      </c>
    </row>
    <row r="33" spans="1:6" x14ac:dyDescent="0.25">
      <c r="A33" s="1">
        <v>43978</v>
      </c>
      <c r="B33" s="2">
        <v>2172.8000000000002</v>
      </c>
      <c r="C33">
        <f t="shared" si="0"/>
        <v>-51.199999999999818</v>
      </c>
      <c r="F33" s="2">
        <v>2172.8000000000002</v>
      </c>
    </row>
    <row r="34" spans="1:6" x14ac:dyDescent="0.25">
      <c r="A34" s="1">
        <v>43979</v>
      </c>
      <c r="B34" s="2">
        <v>2256.8000000000002</v>
      </c>
      <c r="C34">
        <f t="shared" si="0"/>
        <v>84</v>
      </c>
      <c r="F34" s="2">
        <v>2256.8000000000002</v>
      </c>
    </row>
    <row r="35" spans="1:6" x14ac:dyDescent="0.25">
      <c r="A35" s="1">
        <v>43980</v>
      </c>
      <c r="B35" s="2">
        <v>2184</v>
      </c>
      <c r="C35">
        <f t="shared" si="0"/>
        <v>-72.800000000000182</v>
      </c>
      <c r="F35" s="2">
        <v>2184</v>
      </c>
    </row>
    <row r="36" spans="1:6" x14ac:dyDescent="0.25">
      <c r="A36" s="1">
        <v>43983</v>
      </c>
      <c r="B36" s="2">
        <v>2194.4</v>
      </c>
      <c r="C36">
        <f t="shared" si="0"/>
        <v>10.400000000000091</v>
      </c>
      <c r="F36" s="2">
        <v>2194.4</v>
      </c>
    </row>
    <row r="37" spans="1:6" x14ac:dyDescent="0.25">
      <c r="A37" s="1">
        <v>43984</v>
      </c>
      <c r="B37" s="2">
        <v>2135.1999999999998</v>
      </c>
      <c r="C37">
        <f t="shared" si="0"/>
        <v>-59.200000000000273</v>
      </c>
      <c r="F37" s="2">
        <v>2135.1999999999998</v>
      </c>
    </row>
    <row r="38" spans="1:6" x14ac:dyDescent="0.25">
      <c r="A38" s="1">
        <v>43985</v>
      </c>
      <c r="B38" s="2">
        <v>2041.6</v>
      </c>
      <c r="C38">
        <f t="shared" si="0"/>
        <v>-93.599999999999909</v>
      </c>
      <c r="F38" s="2">
        <v>2041.6</v>
      </c>
    </row>
    <row r="39" spans="1:6" x14ac:dyDescent="0.25">
      <c r="A39" s="1">
        <v>43986</v>
      </c>
      <c r="B39" s="2">
        <v>2022.4</v>
      </c>
      <c r="C39">
        <f t="shared" si="0"/>
        <v>-19.199999999999818</v>
      </c>
      <c r="F39" s="2">
        <v>2022.4</v>
      </c>
    </row>
    <row r="40" spans="1:6" x14ac:dyDescent="0.25">
      <c r="A40" s="1">
        <v>43987</v>
      </c>
      <c r="B40" s="2">
        <v>1913.6</v>
      </c>
      <c r="C40">
        <f t="shared" si="0"/>
        <v>-108.80000000000018</v>
      </c>
      <c r="F40" s="2">
        <v>1913.6</v>
      </c>
    </row>
    <row r="41" spans="1:6" x14ac:dyDescent="0.25">
      <c r="A41" s="1">
        <v>43990</v>
      </c>
      <c r="B41" s="2">
        <v>1956</v>
      </c>
      <c r="C41">
        <f t="shared" si="0"/>
        <v>42.400000000000091</v>
      </c>
      <c r="F41" s="2">
        <v>1956</v>
      </c>
    </row>
    <row r="42" spans="1:6" x14ac:dyDescent="0.25">
      <c r="A42" s="1">
        <v>43991</v>
      </c>
      <c r="B42" s="2">
        <v>2054.4</v>
      </c>
      <c r="C42">
        <f t="shared" si="0"/>
        <v>98.400000000000091</v>
      </c>
      <c r="F42" s="2">
        <v>2054.4</v>
      </c>
    </row>
    <row r="43" spans="1:6" x14ac:dyDescent="0.25">
      <c r="A43" s="1">
        <v>43992</v>
      </c>
      <c r="B43" s="2">
        <v>2041.6</v>
      </c>
      <c r="C43">
        <f t="shared" si="0"/>
        <v>-12.800000000000182</v>
      </c>
      <c r="F43" s="2">
        <v>2041.6</v>
      </c>
    </row>
    <row r="44" spans="1:6" x14ac:dyDescent="0.25">
      <c r="A44" s="1">
        <v>43993</v>
      </c>
      <c r="B44" s="2">
        <v>2727.2</v>
      </c>
      <c r="C44">
        <f t="shared" si="0"/>
        <v>685.59999999999991</v>
      </c>
      <c r="F44" s="2">
        <v>2727.2</v>
      </c>
    </row>
    <row r="45" spans="1:6" x14ac:dyDescent="0.25">
      <c r="A45" s="1">
        <v>43994</v>
      </c>
      <c r="B45" s="2">
        <v>2538.4</v>
      </c>
      <c r="C45">
        <f t="shared" si="0"/>
        <v>-188.79999999999973</v>
      </c>
      <c r="F45" s="2">
        <v>2538.4</v>
      </c>
    </row>
    <row r="46" spans="1:6" x14ac:dyDescent="0.25">
      <c r="A46" s="1">
        <v>43997</v>
      </c>
      <c r="B46" s="2">
        <v>2476.8000000000002</v>
      </c>
      <c r="C46">
        <f t="shared" si="0"/>
        <v>-61.599999999999909</v>
      </c>
      <c r="F46" s="2">
        <v>2476.8000000000002</v>
      </c>
    </row>
    <row r="47" spans="1:6" x14ac:dyDescent="0.25">
      <c r="A47" s="1">
        <v>43998</v>
      </c>
      <c r="B47" s="2">
        <v>2426.4</v>
      </c>
      <c r="C47">
        <f t="shared" si="0"/>
        <v>-50.400000000000091</v>
      </c>
      <c r="F47" s="2">
        <v>2426.4</v>
      </c>
    </row>
    <row r="48" spans="1:6" x14ac:dyDescent="0.25">
      <c r="A48" s="1">
        <v>43999</v>
      </c>
      <c r="B48" s="2">
        <v>2421.6</v>
      </c>
      <c r="C48">
        <f t="shared" si="0"/>
        <v>-4.8000000000001819</v>
      </c>
      <c r="F48" s="2">
        <v>2421.6</v>
      </c>
    </row>
    <row r="49" spans="1:6" x14ac:dyDescent="0.25">
      <c r="A49" s="1">
        <v>44000</v>
      </c>
      <c r="B49" s="2">
        <v>2380.8000000000002</v>
      </c>
      <c r="C49">
        <f t="shared" si="0"/>
        <v>-40.799999999999727</v>
      </c>
      <c r="F49" s="2">
        <v>2380.8000000000002</v>
      </c>
    </row>
    <row r="50" spans="1:6" x14ac:dyDescent="0.25">
      <c r="A50" s="1">
        <v>44001</v>
      </c>
      <c r="B50" s="2">
        <v>2419.1999999999998</v>
      </c>
      <c r="C50">
        <f t="shared" si="0"/>
        <v>38.399999999999636</v>
      </c>
      <c r="F50" s="2">
        <v>2419.1999999999998</v>
      </c>
    </row>
    <row r="51" spans="1:6" x14ac:dyDescent="0.25">
      <c r="A51" s="1">
        <v>44004</v>
      </c>
      <c r="B51" s="2">
        <v>2300</v>
      </c>
      <c r="C51">
        <f t="shared" si="0"/>
        <v>-119.19999999999982</v>
      </c>
      <c r="F51" s="2">
        <v>2300</v>
      </c>
    </row>
    <row r="52" spans="1:6" x14ac:dyDescent="0.25">
      <c r="A52" s="1">
        <v>44005</v>
      </c>
      <c r="B52" s="2">
        <v>2255.1999999999998</v>
      </c>
      <c r="C52">
        <f t="shared" si="0"/>
        <v>-44.800000000000182</v>
      </c>
      <c r="F52" s="2">
        <v>2255.1999999999998</v>
      </c>
    </row>
    <row r="53" spans="1:6" x14ac:dyDescent="0.25">
      <c r="A53" s="1">
        <v>44006</v>
      </c>
      <c r="B53" s="2">
        <v>2411.1999999999998</v>
      </c>
      <c r="C53">
        <f t="shared" si="0"/>
        <v>156</v>
      </c>
      <c r="F53" s="2">
        <v>2411.1999999999998</v>
      </c>
    </row>
    <row r="54" spans="1:6" x14ac:dyDescent="0.25">
      <c r="A54" s="1">
        <v>44007</v>
      </c>
      <c r="B54" s="2">
        <v>2316.8000000000002</v>
      </c>
      <c r="C54">
        <f t="shared" si="0"/>
        <v>-94.399999999999636</v>
      </c>
      <c r="F54" s="2">
        <v>2316.8000000000002</v>
      </c>
    </row>
    <row r="55" spans="1:6" x14ac:dyDescent="0.25">
      <c r="A55" s="1">
        <v>44008</v>
      </c>
      <c r="B55" s="2">
        <v>2461.6</v>
      </c>
      <c r="C55">
        <f t="shared" si="0"/>
        <v>144.79999999999973</v>
      </c>
      <c r="F55" s="2">
        <v>2461.6</v>
      </c>
    </row>
    <row r="56" spans="1:6" x14ac:dyDescent="0.25">
      <c r="A56" s="1">
        <v>44011</v>
      </c>
      <c r="B56" s="2">
        <v>2342.4</v>
      </c>
      <c r="C56">
        <f t="shared" si="0"/>
        <v>-119.19999999999982</v>
      </c>
      <c r="F56" s="2">
        <v>2342.4</v>
      </c>
    </row>
    <row r="57" spans="1:6" x14ac:dyDescent="0.25">
      <c r="A57" s="1">
        <v>44012</v>
      </c>
      <c r="B57" s="2">
        <v>2220.8000000000002</v>
      </c>
      <c r="C57">
        <f t="shared" si="0"/>
        <v>-121.59999999999991</v>
      </c>
      <c r="F57" s="2">
        <v>2220.8000000000002</v>
      </c>
    </row>
    <row r="58" spans="1:6" x14ac:dyDescent="0.25">
      <c r="A58" s="1">
        <v>44013</v>
      </c>
      <c r="B58" s="2">
        <v>2158.4</v>
      </c>
      <c r="C58">
        <f t="shared" si="0"/>
        <v>-62.400000000000091</v>
      </c>
      <c r="F58" s="2">
        <v>2158.4</v>
      </c>
    </row>
    <row r="59" spans="1:6" x14ac:dyDescent="0.25">
      <c r="A59" s="1">
        <v>44014</v>
      </c>
      <c r="B59" s="2">
        <v>2121.6</v>
      </c>
      <c r="C59">
        <f t="shared" si="0"/>
        <v>-36.800000000000182</v>
      </c>
      <c r="F59" s="2">
        <v>2121.6</v>
      </c>
    </row>
    <row r="60" spans="1:6" x14ac:dyDescent="0.25">
      <c r="A60" s="1">
        <v>44018</v>
      </c>
      <c r="B60" s="2">
        <v>2120</v>
      </c>
      <c r="C60">
        <f t="shared" si="0"/>
        <v>-1.5999999999999091</v>
      </c>
      <c r="F60" s="2">
        <v>2120</v>
      </c>
    </row>
    <row r="61" spans="1:6" x14ac:dyDescent="0.25">
      <c r="A61" s="1">
        <v>44019</v>
      </c>
      <c r="B61" s="2">
        <v>2182.4</v>
      </c>
      <c r="C61">
        <f t="shared" si="0"/>
        <v>62.400000000000091</v>
      </c>
      <c r="F61" s="2">
        <v>2182.4</v>
      </c>
    </row>
    <row r="62" spans="1:6" x14ac:dyDescent="0.25">
      <c r="A62" s="1">
        <v>44020</v>
      </c>
      <c r="B62" s="2">
        <v>2132.8000000000002</v>
      </c>
      <c r="C62">
        <f t="shared" si="0"/>
        <v>-49.599999999999909</v>
      </c>
      <c r="F62" s="2">
        <v>2132.8000000000002</v>
      </c>
    </row>
    <row r="63" spans="1:6" x14ac:dyDescent="0.25">
      <c r="A63" s="1">
        <v>44021</v>
      </c>
      <c r="B63" s="2">
        <v>2168</v>
      </c>
      <c r="C63">
        <f t="shared" si="0"/>
        <v>35.199999999999818</v>
      </c>
      <c r="F63" s="2">
        <v>2168</v>
      </c>
    </row>
    <row r="64" spans="1:6" x14ac:dyDescent="0.25">
      <c r="A64" s="1">
        <v>44022</v>
      </c>
      <c r="B64" s="2">
        <v>2112.8000000000002</v>
      </c>
      <c r="C64">
        <f t="shared" si="0"/>
        <v>-55.199999999999818</v>
      </c>
      <c r="F64" s="2">
        <v>2112.8000000000002</v>
      </c>
    </row>
    <row r="65" spans="1:6" x14ac:dyDescent="0.25">
      <c r="A65" s="1">
        <v>44025</v>
      </c>
      <c r="B65" s="2">
        <v>2314.4</v>
      </c>
      <c r="C65">
        <f t="shared" si="0"/>
        <v>201.59999999999991</v>
      </c>
      <c r="F65" s="2">
        <v>2314.4</v>
      </c>
    </row>
    <row r="66" spans="1:6" x14ac:dyDescent="0.25">
      <c r="A66" s="1">
        <v>44026</v>
      </c>
      <c r="B66" s="2">
        <v>2176.8000000000002</v>
      </c>
      <c r="C66">
        <f t="shared" si="0"/>
        <v>-137.59999999999991</v>
      </c>
      <c r="F66" s="2">
        <v>2176.8000000000002</v>
      </c>
    </row>
    <row r="67" spans="1:6" x14ac:dyDescent="0.25">
      <c r="A67" s="1">
        <v>44027</v>
      </c>
      <c r="B67" s="2">
        <v>2119.1999999999998</v>
      </c>
      <c r="C67">
        <f t="shared" si="0"/>
        <v>-57.600000000000364</v>
      </c>
      <c r="F67" s="2">
        <v>2119.1999999999998</v>
      </c>
    </row>
    <row r="68" spans="1:6" x14ac:dyDescent="0.25">
      <c r="A68" s="1">
        <v>44028</v>
      </c>
      <c r="B68" s="2">
        <v>2080.8000000000002</v>
      </c>
      <c r="C68">
        <f t="shared" ref="C68:C131" si="1">(B68-B67)</f>
        <v>-38.399999999999636</v>
      </c>
      <c r="F68" s="2">
        <v>2080.8000000000002</v>
      </c>
    </row>
    <row r="69" spans="1:6" x14ac:dyDescent="0.25">
      <c r="A69" s="1">
        <v>44029</v>
      </c>
      <c r="B69" s="2">
        <v>2006.4</v>
      </c>
      <c r="C69">
        <f t="shared" si="1"/>
        <v>-74.400000000000091</v>
      </c>
      <c r="F69" s="2">
        <v>2006.4</v>
      </c>
    </row>
    <row r="70" spans="1:6" x14ac:dyDescent="0.25">
      <c r="A70" s="1">
        <v>44032</v>
      </c>
      <c r="B70" s="2">
        <v>1913.6</v>
      </c>
      <c r="C70">
        <f t="shared" si="1"/>
        <v>-92.800000000000182</v>
      </c>
      <c r="F70" s="2">
        <v>1913.6</v>
      </c>
    </row>
    <row r="71" spans="1:6" x14ac:dyDescent="0.25">
      <c r="A71" s="1">
        <v>44033</v>
      </c>
      <c r="B71" s="2">
        <v>1930.4</v>
      </c>
      <c r="C71">
        <f t="shared" si="1"/>
        <v>16.800000000000182</v>
      </c>
      <c r="F71" s="2">
        <v>1930.4</v>
      </c>
    </row>
    <row r="72" spans="1:6" x14ac:dyDescent="0.25">
      <c r="A72" s="1">
        <v>44034</v>
      </c>
      <c r="B72" s="2">
        <v>1909.6</v>
      </c>
      <c r="C72">
        <f t="shared" si="1"/>
        <v>-20.800000000000182</v>
      </c>
      <c r="F72" s="2">
        <v>1909.6</v>
      </c>
    </row>
    <row r="73" spans="1:6" x14ac:dyDescent="0.25">
      <c r="A73" s="1">
        <v>44035</v>
      </c>
      <c r="B73" s="2">
        <v>1968</v>
      </c>
      <c r="C73">
        <f t="shared" si="1"/>
        <v>58.400000000000091</v>
      </c>
      <c r="F73" s="2">
        <v>1968</v>
      </c>
    </row>
    <row r="74" spans="1:6" x14ac:dyDescent="0.25">
      <c r="A74" s="1">
        <v>44036</v>
      </c>
      <c r="B74" s="2">
        <v>1976</v>
      </c>
      <c r="C74">
        <f t="shared" si="1"/>
        <v>8</v>
      </c>
      <c r="F74" s="2">
        <v>1976</v>
      </c>
    </row>
    <row r="75" spans="1:6" x14ac:dyDescent="0.25">
      <c r="A75" s="1">
        <v>44039</v>
      </c>
      <c r="B75" s="2">
        <v>1920.8</v>
      </c>
      <c r="C75">
        <f t="shared" si="1"/>
        <v>-55.200000000000045</v>
      </c>
      <c r="F75" s="2">
        <v>1920.8</v>
      </c>
    </row>
    <row r="76" spans="1:6" x14ac:dyDescent="0.25">
      <c r="A76" s="1">
        <v>44040</v>
      </c>
      <c r="B76" s="2">
        <v>1909.6</v>
      </c>
      <c r="C76">
        <f t="shared" si="1"/>
        <v>-11.200000000000045</v>
      </c>
      <c r="F76" s="2">
        <v>1909.6</v>
      </c>
    </row>
    <row r="77" spans="1:6" x14ac:dyDescent="0.25">
      <c r="A77" s="1">
        <v>44041</v>
      </c>
      <c r="B77" s="2">
        <v>1870.4</v>
      </c>
      <c r="C77">
        <f t="shared" si="1"/>
        <v>-39.199999999999818</v>
      </c>
      <c r="F77" s="2">
        <v>1870.4</v>
      </c>
    </row>
    <row r="78" spans="1:6" x14ac:dyDescent="0.25">
      <c r="A78" s="1">
        <v>44042</v>
      </c>
      <c r="B78" s="2">
        <v>1914.4</v>
      </c>
      <c r="C78">
        <f t="shared" si="1"/>
        <v>44</v>
      </c>
      <c r="F78" s="2">
        <v>1914.4</v>
      </c>
    </row>
    <row r="79" spans="1:6" x14ac:dyDescent="0.25">
      <c r="A79" s="1">
        <v>44043</v>
      </c>
      <c r="B79" s="2">
        <v>1875.2</v>
      </c>
      <c r="C79">
        <f t="shared" si="1"/>
        <v>-39.200000000000045</v>
      </c>
      <c r="F79" s="2">
        <v>1875.2</v>
      </c>
    </row>
    <row r="80" spans="1:6" x14ac:dyDescent="0.25">
      <c r="A80" s="1">
        <v>44046</v>
      </c>
      <c r="B80" s="2">
        <v>1864</v>
      </c>
      <c r="C80">
        <f t="shared" si="1"/>
        <v>-11.200000000000045</v>
      </c>
      <c r="F80" s="2">
        <v>1864</v>
      </c>
    </row>
    <row r="81" spans="1:6" x14ac:dyDescent="0.25">
      <c r="A81" s="1">
        <v>44047</v>
      </c>
      <c r="B81" s="2">
        <v>1808</v>
      </c>
      <c r="C81">
        <f t="shared" si="1"/>
        <v>-56</v>
      </c>
      <c r="F81" s="2">
        <v>1808</v>
      </c>
    </row>
    <row r="82" spans="1:6" x14ac:dyDescent="0.25">
      <c r="A82" s="1">
        <v>44048</v>
      </c>
      <c r="B82" s="2">
        <v>1772</v>
      </c>
      <c r="C82">
        <f t="shared" si="1"/>
        <v>-36</v>
      </c>
      <c r="F82" s="2">
        <v>1772</v>
      </c>
    </row>
    <row r="83" spans="1:6" x14ac:dyDescent="0.25">
      <c r="A83" s="1">
        <v>44049</v>
      </c>
      <c r="B83" s="2">
        <v>1752</v>
      </c>
      <c r="C83">
        <f t="shared" si="1"/>
        <v>-20</v>
      </c>
      <c r="F83" s="2">
        <v>1752</v>
      </c>
    </row>
    <row r="84" spans="1:6" x14ac:dyDescent="0.25">
      <c r="A84" s="1">
        <v>44050</v>
      </c>
      <c r="B84" s="2">
        <v>1740</v>
      </c>
      <c r="C84">
        <f t="shared" si="1"/>
        <v>-12</v>
      </c>
      <c r="F84" s="2">
        <v>1740</v>
      </c>
    </row>
    <row r="85" spans="1:6" x14ac:dyDescent="0.25">
      <c r="A85" s="1">
        <v>44053</v>
      </c>
      <c r="B85" s="2">
        <v>1688</v>
      </c>
      <c r="C85">
        <f t="shared" si="1"/>
        <v>-52</v>
      </c>
      <c r="F85" s="2">
        <v>1688</v>
      </c>
    </row>
    <row r="86" spans="1:6" x14ac:dyDescent="0.25">
      <c r="A86" s="1">
        <v>44054</v>
      </c>
      <c r="B86" s="2">
        <v>1767.2</v>
      </c>
      <c r="C86">
        <f t="shared" si="1"/>
        <v>79.200000000000045</v>
      </c>
      <c r="F86" s="2">
        <v>1767.2</v>
      </c>
    </row>
    <row r="87" spans="1:6" x14ac:dyDescent="0.25">
      <c r="A87" s="1">
        <v>44055</v>
      </c>
      <c r="B87" s="2">
        <v>1671.2</v>
      </c>
      <c r="C87">
        <f t="shared" si="1"/>
        <v>-96</v>
      </c>
      <c r="F87" s="2">
        <v>1671.2</v>
      </c>
    </row>
    <row r="88" spans="1:6" x14ac:dyDescent="0.25">
      <c r="A88" s="1">
        <v>44056</v>
      </c>
      <c r="B88" s="2">
        <v>1671.2</v>
      </c>
      <c r="C88">
        <f t="shared" si="1"/>
        <v>0</v>
      </c>
      <c r="F88" s="2">
        <v>1671.2</v>
      </c>
    </row>
    <row r="89" spans="1:6" x14ac:dyDescent="0.25">
      <c r="A89" s="1">
        <v>44057</v>
      </c>
      <c r="B89" s="2">
        <v>1672.8</v>
      </c>
      <c r="C89">
        <f t="shared" si="1"/>
        <v>1.5999999999999091</v>
      </c>
      <c r="F89" s="2">
        <v>1672.8</v>
      </c>
    </row>
    <row r="90" spans="1:6" x14ac:dyDescent="0.25">
      <c r="A90" s="1">
        <v>44060</v>
      </c>
      <c r="B90" s="2">
        <v>1608.8</v>
      </c>
      <c r="C90">
        <f t="shared" si="1"/>
        <v>-64</v>
      </c>
      <c r="F90" s="2">
        <v>1608.8</v>
      </c>
    </row>
    <row r="91" spans="1:6" x14ac:dyDescent="0.25">
      <c r="A91" s="1">
        <v>44061</v>
      </c>
      <c r="B91" s="2">
        <v>1593.6</v>
      </c>
      <c r="C91">
        <f t="shared" si="1"/>
        <v>-15.200000000000045</v>
      </c>
      <c r="F91" s="2">
        <v>1593.6</v>
      </c>
    </row>
    <row r="92" spans="1:6" x14ac:dyDescent="0.25">
      <c r="A92" s="1">
        <v>44062</v>
      </c>
      <c r="B92" s="2">
        <v>1624.8</v>
      </c>
      <c r="C92">
        <f t="shared" si="1"/>
        <v>31.200000000000045</v>
      </c>
      <c r="F92" s="2">
        <v>1624.8</v>
      </c>
    </row>
    <row r="93" spans="1:6" x14ac:dyDescent="0.25">
      <c r="A93" s="1">
        <v>44063</v>
      </c>
      <c r="B93" s="2">
        <v>1607.2</v>
      </c>
      <c r="C93">
        <f t="shared" si="1"/>
        <v>-17.599999999999909</v>
      </c>
      <c r="F93" s="2">
        <v>1607.2</v>
      </c>
    </row>
    <row r="94" spans="1:6" x14ac:dyDescent="0.25">
      <c r="A94" s="1">
        <v>44064</v>
      </c>
      <c r="B94" s="2">
        <v>1614.4</v>
      </c>
      <c r="C94">
        <f t="shared" si="1"/>
        <v>7.2000000000000455</v>
      </c>
      <c r="F94" s="2">
        <v>1614.4</v>
      </c>
    </row>
    <row r="95" spans="1:6" x14ac:dyDescent="0.25">
      <c r="A95" s="1">
        <v>44067</v>
      </c>
      <c r="B95" s="2">
        <v>1608.8</v>
      </c>
      <c r="C95">
        <f t="shared" si="1"/>
        <v>-5.6000000000001364</v>
      </c>
      <c r="F95" s="2">
        <v>1608.8</v>
      </c>
    </row>
    <row r="96" spans="1:6" x14ac:dyDescent="0.25">
      <c r="A96" s="1">
        <v>44068</v>
      </c>
      <c r="B96" s="2">
        <v>1597.6</v>
      </c>
      <c r="C96">
        <f t="shared" si="1"/>
        <v>-11.200000000000045</v>
      </c>
      <c r="F96" s="2">
        <v>1597.6</v>
      </c>
    </row>
    <row r="97" spans="1:6" x14ac:dyDescent="0.25">
      <c r="A97" s="1">
        <v>44069</v>
      </c>
      <c r="B97" s="2">
        <v>1634.4</v>
      </c>
      <c r="C97">
        <f t="shared" si="1"/>
        <v>36.800000000000182</v>
      </c>
      <c r="F97" s="2">
        <v>1634.4</v>
      </c>
    </row>
    <row r="98" spans="1:6" x14ac:dyDescent="0.25">
      <c r="A98" s="1">
        <v>44070</v>
      </c>
      <c r="B98" s="2">
        <v>1686.4</v>
      </c>
      <c r="C98">
        <f t="shared" si="1"/>
        <v>52</v>
      </c>
      <c r="F98" s="2">
        <v>1686.4</v>
      </c>
    </row>
    <row r="99" spans="1:6" x14ac:dyDescent="0.25">
      <c r="A99" s="1">
        <v>44071</v>
      </c>
      <c r="B99" s="2">
        <v>1677.6</v>
      </c>
      <c r="C99">
        <f t="shared" si="1"/>
        <v>-8.8000000000001819</v>
      </c>
      <c r="F99" s="2">
        <v>1677.6</v>
      </c>
    </row>
    <row r="100" spans="1:6" x14ac:dyDescent="0.25">
      <c r="A100" s="1">
        <v>44074</v>
      </c>
      <c r="B100" s="2">
        <v>1757.6</v>
      </c>
      <c r="C100">
        <f t="shared" si="1"/>
        <v>80</v>
      </c>
      <c r="F100" s="2">
        <v>1757.6</v>
      </c>
    </row>
    <row r="101" spans="1:6" x14ac:dyDescent="0.25">
      <c r="A101" s="1">
        <v>44075</v>
      </c>
      <c r="B101" s="2">
        <v>1789.6</v>
      </c>
      <c r="C101">
        <f t="shared" si="1"/>
        <v>32</v>
      </c>
      <c r="F101" s="2">
        <v>1789.6</v>
      </c>
    </row>
    <row r="102" spans="1:6" x14ac:dyDescent="0.25">
      <c r="A102" s="1">
        <v>44076</v>
      </c>
      <c r="B102" s="2">
        <v>1837.6</v>
      </c>
      <c r="C102">
        <f t="shared" si="1"/>
        <v>48</v>
      </c>
      <c r="F102" s="2">
        <v>1837.6</v>
      </c>
    </row>
    <row r="103" spans="1:6" x14ac:dyDescent="0.25">
      <c r="A103" s="1">
        <v>44077</v>
      </c>
      <c r="B103" s="2">
        <v>2080.8000000000002</v>
      </c>
      <c r="C103">
        <f t="shared" si="1"/>
        <v>243.20000000000027</v>
      </c>
      <c r="F103" s="2">
        <v>2080.8000000000002</v>
      </c>
    </row>
    <row r="104" spans="1:6" x14ac:dyDescent="0.25">
      <c r="A104" s="1">
        <v>44078</v>
      </c>
      <c r="B104" s="2">
        <v>1907.2</v>
      </c>
      <c r="C104">
        <f t="shared" si="1"/>
        <v>-173.60000000000014</v>
      </c>
      <c r="F104" s="2">
        <v>1907.2</v>
      </c>
    </row>
    <row r="105" spans="1:6" x14ac:dyDescent="0.25">
      <c r="A105" s="1">
        <v>44082</v>
      </c>
      <c r="B105" s="2">
        <v>1852.8</v>
      </c>
      <c r="C105">
        <f t="shared" si="1"/>
        <v>-54.400000000000091</v>
      </c>
      <c r="F105" s="2">
        <v>1852.8</v>
      </c>
    </row>
    <row r="106" spans="1:6" x14ac:dyDescent="0.25">
      <c r="A106" s="1">
        <v>44083</v>
      </c>
      <c r="B106" s="2">
        <v>1759.2</v>
      </c>
      <c r="C106">
        <f t="shared" si="1"/>
        <v>-93.599999999999909</v>
      </c>
      <c r="F106" s="2">
        <v>1759.2</v>
      </c>
    </row>
    <row r="107" spans="1:6" x14ac:dyDescent="0.25">
      <c r="A107" s="1">
        <v>44084</v>
      </c>
      <c r="B107" s="2">
        <v>1779.2</v>
      </c>
      <c r="C107">
        <f t="shared" si="1"/>
        <v>20</v>
      </c>
      <c r="F107" s="2">
        <v>1779.2</v>
      </c>
    </row>
    <row r="108" spans="1:6" x14ac:dyDescent="0.25">
      <c r="A108" s="1">
        <v>44085</v>
      </c>
      <c r="B108" s="2">
        <v>1670.4</v>
      </c>
      <c r="C108">
        <f t="shared" si="1"/>
        <v>-108.79999999999995</v>
      </c>
      <c r="F108" s="2">
        <v>1670.4</v>
      </c>
    </row>
    <row r="109" spans="1:6" x14ac:dyDescent="0.25">
      <c r="A109" s="1">
        <v>44088</v>
      </c>
      <c r="B109" s="2">
        <v>1644</v>
      </c>
      <c r="C109">
        <f t="shared" si="1"/>
        <v>-26.400000000000091</v>
      </c>
      <c r="F109" s="2">
        <v>1644</v>
      </c>
    </row>
    <row r="110" spans="1:6" x14ac:dyDescent="0.25">
      <c r="A110" s="1">
        <v>44089</v>
      </c>
      <c r="B110" s="2">
        <v>1643.2</v>
      </c>
      <c r="C110">
        <f t="shared" si="1"/>
        <v>-0.79999999999995453</v>
      </c>
      <c r="F110" s="2">
        <v>1643.2</v>
      </c>
    </row>
    <row r="111" spans="1:6" x14ac:dyDescent="0.25">
      <c r="A111" s="1">
        <v>44090</v>
      </c>
      <c r="B111" s="2">
        <v>1633.6</v>
      </c>
      <c r="C111">
        <f t="shared" si="1"/>
        <v>-9.6000000000001364</v>
      </c>
      <c r="F111" s="2">
        <v>1633.6</v>
      </c>
    </row>
    <row r="112" spans="1:6" x14ac:dyDescent="0.25">
      <c r="A112" s="1">
        <v>44091</v>
      </c>
      <c r="B112" s="2">
        <v>1597.6</v>
      </c>
      <c r="C112">
        <f t="shared" si="1"/>
        <v>-36</v>
      </c>
      <c r="F112" s="2">
        <v>1597.6</v>
      </c>
    </row>
    <row r="113" spans="1:6" x14ac:dyDescent="0.25">
      <c r="A113" s="1">
        <v>44092</v>
      </c>
      <c r="B113" s="2">
        <v>1598.4</v>
      </c>
      <c r="C113">
        <f t="shared" si="1"/>
        <v>0.8000000000001819</v>
      </c>
      <c r="F113" s="2">
        <v>1598.4</v>
      </c>
    </row>
    <row r="114" spans="1:6" x14ac:dyDescent="0.25">
      <c r="A114" s="1">
        <v>44095</v>
      </c>
      <c r="B114" s="2">
        <v>1651.2</v>
      </c>
      <c r="C114">
        <f t="shared" si="1"/>
        <v>52.799999999999955</v>
      </c>
      <c r="F114" s="2">
        <v>1651.2</v>
      </c>
    </row>
    <row r="115" spans="1:6" x14ac:dyDescent="0.25">
      <c r="A115" s="1">
        <v>44096</v>
      </c>
      <c r="B115" s="2">
        <v>1662.4</v>
      </c>
      <c r="C115">
        <f t="shared" si="1"/>
        <v>11.200000000000045</v>
      </c>
      <c r="F115" s="2">
        <v>1662.4</v>
      </c>
    </row>
    <row r="116" spans="1:6" x14ac:dyDescent="0.25">
      <c r="A116" s="1">
        <v>44097</v>
      </c>
      <c r="B116" s="2">
        <v>1751.2</v>
      </c>
      <c r="C116">
        <f t="shared" si="1"/>
        <v>88.799999999999955</v>
      </c>
      <c r="F116" s="2">
        <v>1751.2</v>
      </c>
    </row>
    <row r="117" spans="1:6" x14ac:dyDescent="0.25">
      <c r="A117" s="1">
        <v>44098</v>
      </c>
      <c r="B117" s="2">
        <v>1720</v>
      </c>
      <c r="C117">
        <f t="shared" si="1"/>
        <v>-31.200000000000045</v>
      </c>
      <c r="F117" s="2">
        <v>1720</v>
      </c>
    </row>
    <row r="118" spans="1:6" x14ac:dyDescent="0.25">
      <c r="A118" s="1">
        <v>44099</v>
      </c>
      <c r="B118" s="2">
        <v>1673.6</v>
      </c>
      <c r="C118">
        <f t="shared" si="1"/>
        <v>-46.400000000000091</v>
      </c>
      <c r="F118" s="2">
        <v>1673.6</v>
      </c>
    </row>
    <row r="119" spans="1:6" x14ac:dyDescent="0.25">
      <c r="A119" s="1">
        <v>44102</v>
      </c>
      <c r="B119" s="2">
        <v>1668</v>
      </c>
      <c r="C119">
        <f t="shared" si="1"/>
        <v>-5.5999999999999091</v>
      </c>
      <c r="F119" s="2">
        <v>1668</v>
      </c>
    </row>
    <row r="120" spans="1:6" x14ac:dyDescent="0.25">
      <c r="A120" s="1">
        <v>44103</v>
      </c>
      <c r="B120" s="2">
        <v>1635.2</v>
      </c>
      <c r="C120">
        <f t="shared" si="1"/>
        <v>-32.799999999999955</v>
      </c>
      <c r="F120" s="2">
        <v>1635.2</v>
      </c>
    </row>
    <row r="121" spans="1:6" x14ac:dyDescent="0.25">
      <c r="A121" s="1">
        <v>44104</v>
      </c>
      <c r="B121" s="2">
        <v>1632.8</v>
      </c>
      <c r="C121">
        <f t="shared" si="1"/>
        <v>-2.4000000000000909</v>
      </c>
      <c r="F121" s="2">
        <v>1632.8</v>
      </c>
    </row>
    <row r="122" spans="1:6" x14ac:dyDescent="0.25">
      <c r="A122" s="1">
        <v>44105</v>
      </c>
      <c r="B122" s="2">
        <v>1640.8</v>
      </c>
      <c r="C122">
        <f t="shared" si="1"/>
        <v>8</v>
      </c>
      <c r="F122" s="2">
        <v>1640.8</v>
      </c>
    </row>
    <row r="123" spans="1:6" x14ac:dyDescent="0.25">
      <c r="A123" s="1">
        <v>44106</v>
      </c>
      <c r="B123" s="2">
        <v>1687.2</v>
      </c>
      <c r="C123">
        <f t="shared" si="1"/>
        <v>46.400000000000091</v>
      </c>
      <c r="F123" s="2">
        <v>1687.2</v>
      </c>
    </row>
    <row r="124" spans="1:6" x14ac:dyDescent="0.25">
      <c r="A124" s="1">
        <v>44109</v>
      </c>
      <c r="B124" s="2">
        <v>1637.6</v>
      </c>
      <c r="C124">
        <f t="shared" si="1"/>
        <v>-49.600000000000136</v>
      </c>
      <c r="F124" s="2">
        <v>1637.6</v>
      </c>
    </row>
    <row r="125" spans="1:6" x14ac:dyDescent="0.25">
      <c r="A125" s="1">
        <v>44110</v>
      </c>
      <c r="B125" s="2">
        <v>1658.4</v>
      </c>
      <c r="C125">
        <f t="shared" si="1"/>
        <v>20.800000000000182</v>
      </c>
      <c r="F125" s="2">
        <v>1658.4</v>
      </c>
    </row>
    <row r="126" spans="1:6" x14ac:dyDescent="0.25">
      <c r="A126" s="1">
        <v>44111</v>
      </c>
      <c r="B126" s="2">
        <v>1606.4</v>
      </c>
      <c r="C126">
        <f t="shared" si="1"/>
        <v>-52</v>
      </c>
      <c r="F126" s="2">
        <v>1606.4</v>
      </c>
    </row>
    <row r="127" spans="1:6" x14ac:dyDescent="0.25">
      <c r="A127" s="1">
        <v>44112</v>
      </c>
      <c r="B127" s="2">
        <v>1543.2</v>
      </c>
      <c r="C127">
        <f t="shared" si="1"/>
        <v>-63.200000000000045</v>
      </c>
      <c r="F127" s="2">
        <v>1543.2</v>
      </c>
    </row>
    <row r="128" spans="1:6" x14ac:dyDescent="0.25">
      <c r="A128" s="1">
        <v>44113</v>
      </c>
      <c r="B128" s="2">
        <v>1461.6</v>
      </c>
      <c r="C128">
        <f t="shared" si="1"/>
        <v>-81.600000000000136</v>
      </c>
      <c r="F128" s="2">
        <v>1461.6</v>
      </c>
    </row>
    <row r="129" spans="1:6" x14ac:dyDescent="0.25">
      <c r="A129" s="1">
        <v>44116</v>
      </c>
      <c r="B129" s="2">
        <v>1434.4</v>
      </c>
      <c r="C129">
        <f t="shared" si="1"/>
        <v>-27.199999999999818</v>
      </c>
      <c r="F129" s="2">
        <v>1434.4</v>
      </c>
    </row>
    <row r="130" spans="1:6" x14ac:dyDescent="0.25">
      <c r="A130" s="1">
        <v>44117</v>
      </c>
      <c r="B130" s="2">
        <v>1449.6</v>
      </c>
      <c r="C130">
        <f t="shared" si="1"/>
        <v>15.199999999999818</v>
      </c>
      <c r="F130" s="2">
        <v>1449.6</v>
      </c>
    </row>
    <row r="131" spans="1:6" x14ac:dyDescent="0.25">
      <c r="A131" s="1">
        <v>44118</v>
      </c>
      <c r="B131" s="2">
        <v>1437.6</v>
      </c>
      <c r="C131">
        <f t="shared" si="1"/>
        <v>-12</v>
      </c>
      <c r="F131" s="2">
        <v>1437.6</v>
      </c>
    </row>
    <row r="132" spans="1:6" x14ac:dyDescent="0.25">
      <c r="A132" s="1">
        <v>44119</v>
      </c>
      <c r="B132" s="2">
        <v>1448.8</v>
      </c>
      <c r="C132">
        <f t="shared" ref="C132:C195" si="2">(B132-B131)</f>
        <v>11.200000000000045</v>
      </c>
      <c r="F132" s="2">
        <v>1448.8</v>
      </c>
    </row>
    <row r="133" spans="1:6" x14ac:dyDescent="0.25">
      <c r="A133" s="1">
        <v>44120</v>
      </c>
      <c r="B133" s="2">
        <v>1458.4</v>
      </c>
      <c r="C133">
        <f t="shared" si="2"/>
        <v>9.6000000000001364</v>
      </c>
      <c r="F133" s="2">
        <v>1458.4</v>
      </c>
    </row>
    <row r="134" spans="1:6" x14ac:dyDescent="0.25">
      <c r="A134" s="1">
        <v>44123</v>
      </c>
      <c r="B134" s="2">
        <v>1523.2</v>
      </c>
      <c r="C134">
        <f t="shared" si="2"/>
        <v>64.799999999999955</v>
      </c>
      <c r="F134" s="2">
        <v>1523.2</v>
      </c>
    </row>
    <row r="135" spans="1:6" x14ac:dyDescent="0.25">
      <c r="A135" s="1">
        <v>44124</v>
      </c>
      <c r="B135" s="2">
        <v>1522.4</v>
      </c>
      <c r="C135">
        <f t="shared" si="2"/>
        <v>-0.79999999999995453</v>
      </c>
      <c r="F135" s="2">
        <v>1522.4</v>
      </c>
    </row>
    <row r="136" spans="1:6" x14ac:dyDescent="0.25">
      <c r="A136" s="1">
        <v>44125</v>
      </c>
      <c r="B136" s="2">
        <v>1485.6</v>
      </c>
      <c r="C136">
        <f t="shared" si="2"/>
        <v>-36.800000000000182</v>
      </c>
      <c r="F136" s="2">
        <v>1485.6</v>
      </c>
    </row>
    <row r="137" spans="1:6" x14ac:dyDescent="0.25">
      <c r="A137" s="1">
        <v>44126</v>
      </c>
      <c r="B137" s="2">
        <v>1452</v>
      </c>
      <c r="C137">
        <f t="shared" si="2"/>
        <v>-33.599999999999909</v>
      </c>
      <c r="F137" s="2">
        <v>1452</v>
      </c>
    </row>
    <row r="138" spans="1:6" x14ac:dyDescent="0.25">
      <c r="A138" s="1">
        <v>44127</v>
      </c>
      <c r="B138" s="2">
        <v>1453.6</v>
      </c>
      <c r="C138">
        <f t="shared" si="2"/>
        <v>1.5999999999999091</v>
      </c>
      <c r="F138" s="2">
        <v>1453.6</v>
      </c>
    </row>
    <row r="139" spans="1:6" x14ac:dyDescent="0.25">
      <c r="A139" s="1">
        <v>44130</v>
      </c>
      <c r="B139" s="2">
        <v>1580.8</v>
      </c>
      <c r="C139">
        <f t="shared" si="2"/>
        <v>127.20000000000005</v>
      </c>
      <c r="F139" s="2">
        <v>1580.8</v>
      </c>
    </row>
    <row r="140" spans="1:6" x14ac:dyDescent="0.25">
      <c r="A140" s="1">
        <v>44131</v>
      </c>
      <c r="B140" s="2">
        <v>1588</v>
      </c>
      <c r="C140">
        <f t="shared" si="2"/>
        <v>7.2000000000000455</v>
      </c>
      <c r="F140" s="2">
        <v>1588</v>
      </c>
    </row>
    <row r="141" spans="1:6" x14ac:dyDescent="0.25">
      <c r="A141" s="1">
        <v>44132</v>
      </c>
      <c r="B141" s="2">
        <v>1816.8</v>
      </c>
      <c r="C141">
        <f t="shared" si="2"/>
        <v>228.79999999999995</v>
      </c>
      <c r="F141" s="2">
        <v>1816.8</v>
      </c>
    </row>
    <row r="142" spans="1:6" x14ac:dyDescent="0.25">
      <c r="A142" s="1">
        <v>44133</v>
      </c>
      <c r="B142" s="2">
        <v>1664</v>
      </c>
      <c r="C142">
        <f t="shared" si="2"/>
        <v>-152.79999999999995</v>
      </c>
      <c r="F142" s="2">
        <v>1664</v>
      </c>
    </row>
    <row r="143" spans="1:6" x14ac:dyDescent="0.25">
      <c r="A143" s="1">
        <v>44134</v>
      </c>
      <c r="B143" s="2">
        <v>1738.4</v>
      </c>
      <c r="C143">
        <f t="shared" si="2"/>
        <v>74.400000000000091</v>
      </c>
      <c r="F143" s="2">
        <v>1738.4</v>
      </c>
    </row>
    <row r="144" spans="1:6" x14ac:dyDescent="0.25">
      <c r="A144" s="1">
        <v>44137</v>
      </c>
      <c r="B144" s="2">
        <v>1700.8</v>
      </c>
      <c r="C144">
        <f t="shared" si="2"/>
        <v>-37.600000000000136</v>
      </c>
      <c r="F144" s="2">
        <v>1700.8</v>
      </c>
    </row>
    <row r="145" spans="1:6" x14ac:dyDescent="0.25">
      <c r="A145" s="1">
        <v>44138</v>
      </c>
      <c r="B145" s="2">
        <v>1611.2</v>
      </c>
      <c r="C145">
        <f t="shared" si="2"/>
        <v>-89.599999999999909</v>
      </c>
      <c r="F145" s="2">
        <v>1611.2</v>
      </c>
    </row>
    <row r="146" spans="1:6" x14ac:dyDescent="0.25">
      <c r="A146" s="1">
        <v>44139</v>
      </c>
      <c r="B146" s="2">
        <v>1469.6</v>
      </c>
      <c r="C146">
        <f t="shared" si="2"/>
        <v>-141.60000000000014</v>
      </c>
      <c r="F146" s="2">
        <v>1469.6</v>
      </c>
    </row>
    <row r="147" spans="1:6" x14ac:dyDescent="0.25">
      <c r="A147" s="1">
        <v>44140</v>
      </c>
      <c r="B147" s="2">
        <v>1441.6</v>
      </c>
      <c r="C147">
        <f t="shared" si="2"/>
        <v>-28</v>
      </c>
      <c r="F147" s="2">
        <v>1441.6</v>
      </c>
    </row>
    <row r="148" spans="1:6" x14ac:dyDescent="0.25">
      <c r="A148" s="1">
        <v>44141</v>
      </c>
      <c r="B148" s="2">
        <v>1348</v>
      </c>
      <c r="C148">
        <f t="shared" si="2"/>
        <v>-93.599999999999909</v>
      </c>
      <c r="F148" s="2">
        <v>1348</v>
      </c>
    </row>
    <row r="149" spans="1:6" x14ac:dyDescent="0.25">
      <c r="A149" s="1">
        <v>44144</v>
      </c>
      <c r="B149" s="2">
        <v>1317.6</v>
      </c>
      <c r="C149">
        <f t="shared" si="2"/>
        <v>-30.400000000000091</v>
      </c>
      <c r="F149" s="2">
        <v>1317.6</v>
      </c>
    </row>
    <row r="150" spans="1:6" x14ac:dyDescent="0.25">
      <c r="A150" s="1">
        <v>44145</v>
      </c>
      <c r="B150" s="2">
        <v>1275.2</v>
      </c>
      <c r="C150">
        <f t="shared" si="2"/>
        <v>-42.399999999999864</v>
      </c>
      <c r="F150" s="2">
        <v>1275.2</v>
      </c>
    </row>
    <row r="151" spans="1:6" x14ac:dyDescent="0.25">
      <c r="A151" s="1">
        <v>44146</v>
      </c>
      <c r="B151" s="2">
        <v>1249.5999999999999</v>
      </c>
      <c r="C151">
        <f t="shared" si="2"/>
        <v>-25.600000000000136</v>
      </c>
      <c r="F151" s="2">
        <v>1249.5999999999999</v>
      </c>
    </row>
    <row r="152" spans="1:6" x14ac:dyDescent="0.25">
      <c r="A152" s="1">
        <v>44147</v>
      </c>
      <c r="B152" s="2">
        <v>1333.6</v>
      </c>
      <c r="C152">
        <f t="shared" si="2"/>
        <v>84</v>
      </c>
      <c r="F152" s="2">
        <v>1333.6</v>
      </c>
    </row>
    <row r="153" spans="1:6" x14ac:dyDescent="0.25">
      <c r="A153" s="1">
        <v>44148</v>
      </c>
      <c r="B153" s="2">
        <v>1251.2</v>
      </c>
      <c r="C153">
        <f t="shared" si="2"/>
        <v>-82.399999999999864</v>
      </c>
      <c r="F153" s="2">
        <v>1251.2</v>
      </c>
    </row>
    <row r="154" spans="1:6" x14ac:dyDescent="0.25">
      <c r="A154" s="1">
        <v>44151</v>
      </c>
      <c r="B154" s="2">
        <v>1219.2</v>
      </c>
      <c r="C154">
        <f t="shared" si="2"/>
        <v>-32</v>
      </c>
      <c r="F154" s="2">
        <v>1219.2</v>
      </c>
    </row>
    <row r="155" spans="1:6" x14ac:dyDescent="0.25">
      <c r="A155" s="1">
        <v>44152</v>
      </c>
      <c r="B155" s="2">
        <v>1200</v>
      </c>
      <c r="C155">
        <f t="shared" si="2"/>
        <v>-19.200000000000045</v>
      </c>
      <c r="F155" s="2">
        <v>1200</v>
      </c>
    </row>
    <row r="156" spans="1:6" x14ac:dyDescent="0.25">
      <c r="A156" s="1">
        <v>44153</v>
      </c>
      <c r="B156" s="2">
        <v>1244.8</v>
      </c>
      <c r="C156">
        <f t="shared" si="2"/>
        <v>44.799999999999955</v>
      </c>
      <c r="F156" s="2">
        <v>1244.8</v>
      </c>
    </row>
    <row r="157" spans="1:6" x14ac:dyDescent="0.25">
      <c r="A157" s="1">
        <v>44154</v>
      </c>
      <c r="B157" s="2">
        <v>1221.5999999999999</v>
      </c>
      <c r="C157">
        <f t="shared" si="2"/>
        <v>-23.200000000000045</v>
      </c>
      <c r="F157" s="2">
        <v>1221.5999999999999</v>
      </c>
    </row>
    <row r="158" spans="1:6" x14ac:dyDescent="0.25">
      <c r="A158" s="1">
        <v>44155</v>
      </c>
      <c r="B158" s="2">
        <v>1217.5999999999999</v>
      </c>
      <c r="C158">
        <f t="shared" si="2"/>
        <v>-4</v>
      </c>
      <c r="F158" s="2">
        <v>1217.5999999999999</v>
      </c>
    </row>
    <row r="159" spans="1:6" x14ac:dyDescent="0.25">
      <c r="A159" s="1">
        <v>44158</v>
      </c>
      <c r="B159" s="2">
        <v>1202.4000000000001</v>
      </c>
      <c r="C159">
        <f t="shared" si="2"/>
        <v>-15.199999999999818</v>
      </c>
      <c r="F159" s="2">
        <v>1202.4000000000001</v>
      </c>
    </row>
    <row r="160" spans="1:6" x14ac:dyDescent="0.25">
      <c r="A160" s="1">
        <v>44159</v>
      </c>
      <c r="B160" s="2">
        <v>1184</v>
      </c>
      <c r="C160">
        <f t="shared" si="2"/>
        <v>-18.400000000000091</v>
      </c>
      <c r="F160" s="2">
        <v>1184</v>
      </c>
    </row>
    <row r="161" spans="1:6" x14ac:dyDescent="0.25">
      <c r="A161" s="1">
        <v>44160</v>
      </c>
      <c r="B161" s="2">
        <v>1140.8</v>
      </c>
      <c r="C161">
        <f t="shared" si="2"/>
        <v>-43.200000000000045</v>
      </c>
      <c r="F161" s="2">
        <v>1140.8</v>
      </c>
    </row>
    <row r="162" spans="1:6" x14ac:dyDescent="0.25">
      <c r="A162" s="1">
        <v>44162</v>
      </c>
      <c r="B162" s="2">
        <v>1148</v>
      </c>
      <c r="C162">
        <f t="shared" si="2"/>
        <v>7.2000000000000455</v>
      </c>
      <c r="F162" s="2">
        <v>1148</v>
      </c>
    </row>
    <row r="163" spans="1:6" x14ac:dyDescent="0.25">
      <c r="A163" s="1">
        <v>44165</v>
      </c>
      <c r="B163" s="2">
        <v>1125.5999999999999</v>
      </c>
      <c r="C163">
        <f t="shared" si="2"/>
        <v>-22.400000000000091</v>
      </c>
      <c r="F163" s="2">
        <v>1125.5999999999999</v>
      </c>
    </row>
    <row r="164" spans="1:6" x14ac:dyDescent="0.25">
      <c r="A164" s="1">
        <v>44166</v>
      </c>
      <c r="B164" s="2">
        <v>1134.4000000000001</v>
      </c>
      <c r="C164">
        <f t="shared" si="2"/>
        <v>8.8000000000001819</v>
      </c>
      <c r="F164" s="2">
        <v>1134.4000000000001</v>
      </c>
    </row>
    <row r="165" spans="1:6" x14ac:dyDescent="0.25">
      <c r="A165" s="1">
        <v>44167</v>
      </c>
      <c r="B165" s="2">
        <v>1129.5999999999999</v>
      </c>
      <c r="C165">
        <f t="shared" si="2"/>
        <v>-4.8000000000001819</v>
      </c>
      <c r="F165" s="2">
        <v>1129.5999999999999</v>
      </c>
    </row>
    <row r="166" spans="1:6" x14ac:dyDescent="0.25">
      <c r="A166" s="1">
        <v>44168</v>
      </c>
      <c r="B166" s="2">
        <v>1138.4000000000001</v>
      </c>
      <c r="C166">
        <f t="shared" si="2"/>
        <v>8.8000000000001819</v>
      </c>
      <c r="F166" s="2">
        <v>1138.4000000000001</v>
      </c>
    </row>
    <row r="167" spans="1:6" x14ac:dyDescent="0.25">
      <c r="A167" s="1">
        <v>44169</v>
      </c>
      <c r="B167" s="2">
        <v>1121.5999999999999</v>
      </c>
      <c r="C167">
        <f t="shared" si="2"/>
        <v>-16.800000000000182</v>
      </c>
      <c r="F167" s="2">
        <v>1121.5999999999999</v>
      </c>
    </row>
    <row r="168" spans="1:6" x14ac:dyDescent="0.25">
      <c r="A168" s="1">
        <v>44172</v>
      </c>
      <c r="B168" s="2">
        <v>1128</v>
      </c>
      <c r="C168">
        <f t="shared" si="2"/>
        <v>6.4000000000000909</v>
      </c>
      <c r="F168" s="2">
        <v>1128</v>
      </c>
    </row>
    <row r="169" spans="1:6" x14ac:dyDescent="0.25">
      <c r="A169" s="1">
        <v>44173</v>
      </c>
      <c r="B169" s="2">
        <v>1088.8</v>
      </c>
      <c r="C169">
        <f t="shared" si="2"/>
        <v>-39.200000000000045</v>
      </c>
      <c r="F169" s="2">
        <v>1088.8</v>
      </c>
    </row>
    <row r="170" spans="1:6" x14ac:dyDescent="0.25">
      <c r="A170" s="1">
        <v>44174</v>
      </c>
      <c r="B170" s="2">
        <v>1128</v>
      </c>
      <c r="C170">
        <f t="shared" si="2"/>
        <v>39.200000000000045</v>
      </c>
      <c r="F170" s="2">
        <v>1128</v>
      </c>
    </row>
    <row r="171" spans="1:6" x14ac:dyDescent="0.25">
      <c r="A171" s="1">
        <v>44175</v>
      </c>
      <c r="B171" s="2">
        <v>1137.5999999999999</v>
      </c>
      <c r="C171">
        <f t="shared" si="2"/>
        <v>9.5999999999999091</v>
      </c>
      <c r="F171" s="2">
        <v>1137.5999999999999</v>
      </c>
    </row>
    <row r="172" spans="1:6" x14ac:dyDescent="0.25">
      <c r="A172" s="1">
        <v>44176</v>
      </c>
      <c r="B172" s="2">
        <v>1180.8</v>
      </c>
      <c r="C172">
        <f t="shared" si="2"/>
        <v>43.200000000000045</v>
      </c>
      <c r="F172" s="2">
        <v>1180.8</v>
      </c>
    </row>
    <row r="173" spans="1:6" x14ac:dyDescent="0.25">
      <c r="A173" s="1">
        <v>44179</v>
      </c>
      <c r="B173" s="2">
        <v>1208.8</v>
      </c>
      <c r="C173">
        <f t="shared" si="2"/>
        <v>28</v>
      </c>
      <c r="F173" s="2">
        <v>1208.8</v>
      </c>
    </row>
    <row r="174" spans="1:6" x14ac:dyDescent="0.25">
      <c r="A174" s="1">
        <v>44180</v>
      </c>
      <c r="B174" s="2">
        <v>1152</v>
      </c>
      <c r="C174">
        <f t="shared" si="2"/>
        <v>-56.799999999999955</v>
      </c>
      <c r="F174" s="2">
        <v>1152</v>
      </c>
    </row>
    <row r="175" spans="1:6" x14ac:dyDescent="0.25">
      <c r="A175" s="1">
        <v>44181</v>
      </c>
      <c r="B175" s="2">
        <v>1112</v>
      </c>
      <c r="C175">
        <f t="shared" si="2"/>
        <v>-40</v>
      </c>
      <c r="F175" s="2">
        <v>1112</v>
      </c>
    </row>
    <row r="176" spans="1:6" x14ac:dyDescent="0.25">
      <c r="A176" s="1">
        <v>44182</v>
      </c>
      <c r="B176" s="2">
        <v>1100</v>
      </c>
      <c r="C176">
        <f t="shared" si="2"/>
        <v>-12</v>
      </c>
      <c r="F176" s="2">
        <v>1100</v>
      </c>
    </row>
    <row r="177" spans="1:6" x14ac:dyDescent="0.25">
      <c r="A177" s="1">
        <v>44183</v>
      </c>
      <c r="B177" s="2">
        <v>1126.4000000000001</v>
      </c>
      <c r="C177">
        <f t="shared" si="2"/>
        <v>26.400000000000091</v>
      </c>
      <c r="F177" s="2">
        <v>1126.4000000000001</v>
      </c>
    </row>
    <row r="178" spans="1:6" x14ac:dyDescent="0.25">
      <c r="A178" s="1">
        <v>44186</v>
      </c>
      <c r="B178" s="2">
        <v>1208</v>
      </c>
      <c r="C178">
        <f t="shared" si="2"/>
        <v>81.599999999999909</v>
      </c>
      <c r="F178" s="2">
        <v>1208</v>
      </c>
    </row>
    <row r="179" spans="1:6" x14ac:dyDescent="0.25">
      <c r="A179" s="1">
        <v>44187</v>
      </c>
      <c r="B179" s="2">
        <v>1184.8</v>
      </c>
      <c r="C179">
        <f t="shared" si="2"/>
        <v>-23.200000000000045</v>
      </c>
      <c r="F179" s="2">
        <v>1184.8</v>
      </c>
    </row>
    <row r="180" spans="1:6" x14ac:dyDescent="0.25">
      <c r="A180" s="1">
        <v>44188</v>
      </c>
      <c r="B180" s="2">
        <v>1139.2</v>
      </c>
      <c r="C180">
        <f t="shared" si="2"/>
        <v>-45.599999999999909</v>
      </c>
      <c r="F180" s="2">
        <v>1139.2</v>
      </c>
    </row>
    <row r="181" spans="1:6" x14ac:dyDescent="0.25">
      <c r="A181" s="1">
        <v>44189</v>
      </c>
      <c r="B181" s="2">
        <v>1108</v>
      </c>
      <c r="C181">
        <f t="shared" si="2"/>
        <v>-31.200000000000045</v>
      </c>
      <c r="F181" s="2">
        <v>1108</v>
      </c>
    </row>
    <row r="182" spans="1:6" x14ac:dyDescent="0.25">
      <c r="A182" s="1">
        <v>44193</v>
      </c>
      <c r="B182" s="2">
        <v>1100</v>
      </c>
      <c r="C182">
        <f t="shared" si="2"/>
        <v>-8</v>
      </c>
      <c r="F182" s="2">
        <v>1100</v>
      </c>
    </row>
    <row r="183" spans="1:6" x14ac:dyDescent="0.25">
      <c r="A183" s="1">
        <v>44194</v>
      </c>
      <c r="B183" s="2">
        <v>1143.2</v>
      </c>
      <c r="C183">
        <f t="shared" si="2"/>
        <v>43.200000000000045</v>
      </c>
      <c r="F183" s="2">
        <v>1143.2</v>
      </c>
    </row>
    <row r="184" spans="1:6" x14ac:dyDescent="0.25">
      <c r="A184" s="1">
        <v>44195</v>
      </c>
      <c r="B184" s="2">
        <v>1100</v>
      </c>
      <c r="C184">
        <f t="shared" si="2"/>
        <v>-43.200000000000045</v>
      </c>
      <c r="F184" s="2">
        <v>1100</v>
      </c>
    </row>
    <row r="185" spans="1:6" x14ac:dyDescent="0.25">
      <c r="A185" s="1">
        <v>44196</v>
      </c>
      <c r="B185" s="2">
        <v>1099.2</v>
      </c>
      <c r="C185">
        <f t="shared" si="2"/>
        <v>-0.79999999999995453</v>
      </c>
      <c r="F185" s="2">
        <v>1099.2</v>
      </c>
    </row>
    <row r="186" spans="1:6" x14ac:dyDescent="0.25">
      <c r="A186" s="1">
        <v>44200</v>
      </c>
      <c r="B186" s="2">
        <v>1204</v>
      </c>
      <c r="C186">
        <f t="shared" si="2"/>
        <v>104.79999999999995</v>
      </c>
      <c r="F186" s="2">
        <v>1204</v>
      </c>
    </row>
    <row r="187" spans="1:6" x14ac:dyDescent="0.25">
      <c r="A187" s="1">
        <v>44201</v>
      </c>
      <c r="B187" s="2">
        <v>1158.4000000000001</v>
      </c>
      <c r="C187">
        <f t="shared" si="2"/>
        <v>-45.599999999999909</v>
      </c>
      <c r="F187" s="2">
        <v>1158.4000000000001</v>
      </c>
    </row>
    <row r="188" spans="1:6" x14ac:dyDescent="0.25">
      <c r="A188" s="1">
        <v>44202</v>
      </c>
      <c r="B188" s="2">
        <v>1151.2</v>
      </c>
      <c r="C188">
        <f t="shared" si="2"/>
        <v>-7.2000000000000455</v>
      </c>
      <c r="F188" s="2">
        <v>1151.2</v>
      </c>
    </row>
    <row r="189" spans="1:6" x14ac:dyDescent="0.25">
      <c r="A189" s="1">
        <v>44203</v>
      </c>
      <c r="B189" s="2">
        <v>1080.8</v>
      </c>
      <c r="C189">
        <f t="shared" si="2"/>
        <v>-70.400000000000091</v>
      </c>
      <c r="F189" s="2">
        <v>1080.8</v>
      </c>
    </row>
    <row r="190" spans="1:6" x14ac:dyDescent="0.25">
      <c r="A190" s="1">
        <v>44204</v>
      </c>
      <c r="B190" s="2">
        <v>1070.4000000000001</v>
      </c>
      <c r="C190">
        <f t="shared" si="2"/>
        <v>-10.399999999999864</v>
      </c>
      <c r="F190" s="2">
        <v>1070.4000000000001</v>
      </c>
    </row>
    <row r="191" spans="1:6" x14ac:dyDescent="0.25">
      <c r="A191" s="1">
        <v>44207</v>
      </c>
      <c r="B191" s="2">
        <v>1136</v>
      </c>
      <c r="C191">
        <f t="shared" si="2"/>
        <v>65.599999999999909</v>
      </c>
      <c r="F191" s="2">
        <v>1136</v>
      </c>
    </row>
    <row r="192" spans="1:6" x14ac:dyDescent="0.25">
      <c r="A192" s="1">
        <v>44208</v>
      </c>
      <c r="B192" s="2">
        <v>1097.2</v>
      </c>
      <c r="C192">
        <f t="shared" si="2"/>
        <v>-38.799999999999955</v>
      </c>
      <c r="F192" s="2">
        <v>1097.2</v>
      </c>
    </row>
    <row r="193" spans="1:6" x14ac:dyDescent="0.25">
      <c r="A193" s="1">
        <v>44209</v>
      </c>
      <c r="B193" s="2">
        <v>1080</v>
      </c>
      <c r="C193">
        <f t="shared" si="2"/>
        <v>-17.200000000000045</v>
      </c>
      <c r="F193" s="2">
        <v>1080</v>
      </c>
    </row>
    <row r="194" spans="1:6" x14ac:dyDescent="0.25">
      <c r="A194" s="1">
        <v>44210</v>
      </c>
      <c r="B194" s="2">
        <v>1093.5999999999999</v>
      </c>
      <c r="C194">
        <f t="shared" si="2"/>
        <v>13.599999999999909</v>
      </c>
      <c r="F194" s="2">
        <v>1093.5999999999999</v>
      </c>
    </row>
    <row r="195" spans="1:6" x14ac:dyDescent="0.25">
      <c r="A195" s="1">
        <v>44211</v>
      </c>
      <c r="B195" s="2">
        <v>1120.8</v>
      </c>
      <c r="C195">
        <f t="shared" si="2"/>
        <v>27.200000000000045</v>
      </c>
      <c r="F195" s="2">
        <v>1120.8</v>
      </c>
    </row>
    <row r="196" spans="1:6" x14ac:dyDescent="0.25">
      <c r="A196" s="1">
        <v>44215</v>
      </c>
      <c r="B196" s="2">
        <v>1089.5999999999999</v>
      </c>
      <c r="C196">
        <f t="shared" ref="C196:C259" si="3">(B196-B195)</f>
        <v>-31.200000000000045</v>
      </c>
      <c r="F196" s="2">
        <v>1089.5999999999999</v>
      </c>
    </row>
    <row r="197" spans="1:6" x14ac:dyDescent="0.25">
      <c r="A197" s="1">
        <v>44216</v>
      </c>
      <c r="B197" s="2">
        <v>1067.2</v>
      </c>
      <c r="C197">
        <f t="shared" si="3"/>
        <v>-22.399999999999864</v>
      </c>
      <c r="F197" s="2">
        <v>1067.2</v>
      </c>
    </row>
    <row r="198" spans="1:6" x14ac:dyDescent="0.25">
      <c r="A198" s="1">
        <v>44217</v>
      </c>
      <c r="B198" s="2">
        <v>1058.4000000000001</v>
      </c>
      <c r="C198">
        <f t="shared" si="3"/>
        <v>-8.7999999999999545</v>
      </c>
      <c r="F198" s="2">
        <v>1058.4000000000001</v>
      </c>
    </row>
    <row r="199" spans="1:6" x14ac:dyDescent="0.25">
      <c r="A199" s="1">
        <v>44218</v>
      </c>
      <c r="B199" s="2">
        <v>1073.5999999999999</v>
      </c>
      <c r="C199">
        <f t="shared" si="3"/>
        <v>15.199999999999818</v>
      </c>
      <c r="F199" s="2">
        <v>1073.5999999999999</v>
      </c>
    </row>
    <row r="200" spans="1:6" x14ac:dyDescent="0.25">
      <c r="A200" s="1">
        <v>44221</v>
      </c>
      <c r="B200" s="2">
        <v>1116.8</v>
      </c>
      <c r="C200">
        <f t="shared" si="3"/>
        <v>43.200000000000045</v>
      </c>
      <c r="F200" s="2">
        <v>1116.8</v>
      </c>
    </row>
    <row r="201" spans="1:6" x14ac:dyDescent="0.25">
      <c r="A201" s="1">
        <v>44222</v>
      </c>
      <c r="B201" s="2">
        <v>1098.4000000000001</v>
      </c>
      <c r="C201">
        <f t="shared" si="3"/>
        <v>-18.399999999999864</v>
      </c>
      <c r="F201" s="2">
        <v>1098.4000000000001</v>
      </c>
    </row>
    <row r="202" spans="1:6" x14ac:dyDescent="0.25">
      <c r="A202" s="1">
        <v>44223</v>
      </c>
      <c r="B202" s="2">
        <v>1326.4</v>
      </c>
      <c r="C202">
        <f t="shared" si="3"/>
        <v>228</v>
      </c>
      <c r="F202" s="2">
        <v>1326.4</v>
      </c>
    </row>
    <row r="203" spans="1:6" x14ac:dyDescent="0.25">
      <c r="A203" s="1">
        <v>44224</v>
      </c>
      <c r="B203" s="2">
        <v>1299.2</v>
      </c>
      <c r="C203">
        <f t="shared" si="3"/>
        <v>-27.200000000000045</v>
      </c>
      <c r="F203" s="2">
        <v>1299.2</v>
      </c>
    </row>
    <row r="204" spans="1:6" x14ac:dyDescent="0.25">
      <c r="A204" s="1">
        <v>44225</v>
      </c>
      <c r="B204" s="2">
        <v>1384</v>
      </c>
      <c r="C204">
        <f t="shared" si="3"/>
        <v>84.799999999999955</v>
      </c>
      <c r="F204" s="2">
        <v>1384</v>
      </c>
    </row>
    <row r="205" spans="1:6" x14ac:dyDescent="0.25">
      <c r="A205" s="1">
        <v>44228</v>
      </c>
      <c r="B205" s="2">
        <v>1303.2</v>
      </c>
      <c r="C205">
        <f t="shared" si="3"/>
        <v>-80.799999999999955</v>
      </c>
      <c r="F205" s="2">
        <v>1303.2</v>
      </c>
    </row>
    <row r="206" spans="1:6" x14ac:dyDescent="0.25">
      <c r="A206" s="1">
        <v>44229</v>
      </c>
      <c r="B206" s="2">
        <v>1194.4000000000001</v>
      </c>
      <c r="C206">
        <f t="shared" si="3"/>
        <v>-108.79999999999995</v>
      </c>
      <c r="F206" s="2">
        <v>1194.4000000000001</v>
      </c>
    </row>
    <row r="207" spans="1:6" x14ac:dyDescent="0.25">
      <c r="A207" s="1">
        <v>44230</v>
      </c>
      <c r="B207" s="2">
        <v>1130.4000000000001</v>
      </c>
      <c r="C207">
        <f t="shared" si="3"/>
        <v>-64</v>
      </c>
      <c r="F207" s="2">
        <v>1130.4000000000001</v>
      </c>
    </row>
    <row r="208" spans="1:6" x14ac:dyDescent="0.25">
      <c r="A208" s="1">
        <v>44231</v>
      </c>
      <c r="B208" s="2">
        <v>1080.8</v>
      </c>
      <c r="C208">
        <f t="shared" si="3"/>
        <v>-49.600000000000136</v>
      </c>
      <c r="F208" s="2">
        <v>1080.8</v>
      </c>
    </row>
    <row r="209" spans="1:6" x14ac:dyDescent="0.25">
      <c r="A209" s="1">
        <v>44232</v>
      </c>
      <c r="B209" s="2">
        <v>1078</v>
      </c>
      <c r="C209">
        <f t="shared" si="3"/>
        <v>-2.7999999999999545</v>
      </c>
      <c r="F209" s="2">
        <v>1078</v>
      </c>
    </row>
    <row r="210" spans="1:6" x14ac:dyDescent="0.25">
      <c r="A210" s="1">
        <v>44235</v>
      </c>
      <c r="B210" s="2">
        <v>1069.5999999999999</v>
      </c>
      <c r="C210">
        <f t="shared" si="3"/>
        <v>-8.4000000000000909</v>
      </c>
      <c r="F210" s="2">
        <v>1069.5999999999999</v>
      </c>
    </row>
    <row r="211" spans="1:6" x14ac:dyDescent="0.25">
      <c r="A211" s="1">
        <v>44236</v>
      </c>
      <c r="B211" s="2">
        <v>1075.2</v>
      </c>
      <c r="C211">
        <f t="shared" si="3"/>
        <v>5.6000000000001364</v>
      </c>
      <c r="F211" s="2">
        <v>1075.2</v>
      </c>
    </row>
    <row r="212" spans="1:6" x14ac:dyDescent="0.25">
      <c r="A212" s="1">
        <v>44237</v>
      </c>
      <c r="B212" s="2">
        <v>1090.4000000000001</v>
      </c>
      <c r="C212">
        <f t="shared" si="3"/>
        <v>15.200000000000045</v>
      </c>
      <c r="F212" s="2">
        <v>1090.4000000000001</v>
      </c>
    </row>
    <row r="213" spans="1:6" x14ac:dyDescent="0.25">
      <c r="A213" s="1">
        <v>44238</v>
      </c>
      <c r="B213" s="2">
        <v>1065.5999999999999</v>
      </c>
      <c r="C213">
        <f t="shared" si="3"/>
        <v>-24.800000000000182</v>
      </c>
      <c r="F213" s="2">
        <v>1065.5999999999999</v>
      </c>
    </row>
    <row r="214" spans="1:6" x14ac:dyDescent="0.25">
      <c r="A214" s="1">
        <v>44239</v>
      </c>
      <c r="B214" s="2">
        <v>1031.2</v>
      </c>
      <c r="C214">
        <f t="shared" si="3"/>
        <v>-34.399999999999864</v>
      </c>
      <c r="F214" s="2">
        <v>1031.2</v>
      </c>
    </row>
    <row r="215" spans="1:6" x14ac:dyDescent="0.25">
      <c r="A215" s="1">
        <v>44243</v>
      </c>
      <c r="B215" s="2">
        <v>1032.8</v>
      </c>
      <c r="C215">
        <f t="shared" si="3"/>
        <v>1.5999999999999091</v>
      </c>
      <c r="F215" s="2">
        <v>1032.8</v>
      </c>
    </row>
    <row r="216" spans="1:6" x14ac:dyDescent="0.25">
      <c r="A216" s="1">
        <v>44244</v>
      </c>
      <c r="B216" s="2">
        <v>1018.4</v>
      </c>
      <c r="C216">
        <f t="shared" si="3"/>
        <v>-14.399999999999977</v>
      </c>
      <c r="F216" s="2">
        <v>1018.4</v>
      </c>
    </row>
    <row r="217" spans="1:6" x14ac:dyDescent="0.25">
      <c r="A217" s="1">
        <v>44245</v>
      </c>
      <c r="B217" s="2">
        <v>1027.2</v>
      </c>
      <c r="C217">
        <f t="shared" si="3"/>
        <v>8.8000000000000682</v>
      </c>
      <c r="F217" s="2">
        <v>1027.2</v>
      </c>
    </row>
    <row r="218" spans="1:6" x14ac:dyDescent="0.25">
      <c r="A218" s="1">
        <v>44246</v>
      </c>
      <c r="B218" s="2">
        <v>987.2</v>
      </c>
      <c r="C218">
        <f t="shared" si="3"/>
        <v>-40</v>
      </c>
      <c r="F218" s="2">
        <v>987.2</v>
      </c>
    </row>
    <row r="219" spans="1:6" x14ac:dyDescent="0.25">
      <c r="A219" s="1">
        <v>44249</v>
      </c>
      <c r="B219" s="2">
        <v>1028.8</v>
      </c>
      <c r="C219">
        <f t="shared" si="3"/>
        <v>41.599999999999909</v>
      </c>
      <c r="F219" s="2">
        <v>1028.8</v>
      </c>
    </row>
    <row r="220" spans="1:6" x14ac:dyDescent="0.25">
      <c r="A220" s="1">
        <v>44250</v>
      </c>
      <c r="B220" s="2">
        <v>986.4</v>
      </c>
      <c r="C220">
        <f t="shared" si="3"/>
        <v>-42.399999999999977</v>
      </c>
      <c r="F220" s="2">
        <v>986.4</v>
      </c>
    </row>
    <row r="221" spans="1:6" x14ac:dyDescent="0.25">
      <c r="A221" s="1">
        <v>44251</v>
      </c>
      <c r="B221" s="2">
        <v>948.8</v>
      </c>
      <c r="C221">
        <f t="shared" si="3"/>
        <v>-37.600000000000023</v>
      </c>
      <c r="F221" s="2">
        <v>948.8</v>
      </c>
    </row>
    <row r="222" spans="1:6" x14ac:dyDescent="0.25">
      <c r="A222" s="1">
        <v>44252</v>
      </c>
      <c r="B222" s="2">
        <v>1096</v>
      </c>
      <c r="C222">
        <f t="shared" si="3"/>
        <v>147.20000000000005</v>
      </c>
      <c r="F222" s="2">
        <v>1096</v>
      </c>
    </row>
    <row r="223" spans="1:6" x14ac:dyDescent="0.25">
      <c r="A223" s="1">
        <v>44253</v>
      </c>
      <c r="B223" s="2">
        <v>1044</v>
      </c>
      <c r="C223">
        <f t="shared" si="3"/>
        <v>-52</v>
      </c>
      <c r="F223" s="2">
        <v>1044</v>
      </c>
    </row>
    <row r="224" spans="1:6" x14ac:dyDescent="0.25">
      <c r="A224" s="1">
        <v>44256</v>
      </c>
      <c r="B224" s="2">
        <v>964</v>
      </c>
      <c r="C224">
        <f t="shared" si="3"/>
        <v>-80</v>
      </c>
      <c r="F224" s="2">
        <v>964</v>
      </c>
    </row>
    <row r="225" spans="1:6" x14ac:dyDescent="0.25">
      <c r="A225" s="1">
        <v>44257</v>
      </c>
      <c r="B225" s="2">
        <v>980</v>
      </c>
      <c r="C225">
        <f t="shared" si="3"/>
        <v>16</v>
      </c>
      <c r="F225" s="2">
        <v>980</v>
      </c>
    </row>
    <row r="226" spans="1:6" x14ac:dyDescent="0.25">
      <c r="A226" s="1">
        <v>44258</v>
      </c>
      <c r="B226" s="2">
        <v>1023.2</v>
      </c>
      <c r="C226">
        <f t="shared" si="3"/>
        <v>43.200000000000045</v>
      </c>
      <c r="F226" s="2">
        <v>1023.2</v>
      </c>
    </row>
    <row r="227" spans="1:6" x14ac:dyDescent="0.25">
      <c r="A227" s="1">
        <v>44259</v>
      </c>
      <c r="B227" s="2">
        <v>1065.5999999999999</v>
      </c>
      <c r="C227">
        <f t="shared" si="3"/>
        <v>42.399999999999864</v>
      </c>
      <c r="F227" s="2">
        <v>1065.5999999999999</v>
      </c>
    </row>
    <row r="228" spans="1:6" x14ac:dyDescent="0.25">
      <c r="A228" s="1">
        <v>44260</v>
      </c>
      <c r="B228" s="2">
        <v>992</v>
      </c>
      <c r="C228">
        <f t="shared" si="3"/>
        <v>-73.599999999999909</v>
      </c>
      <c r="F228" s="2">
        <v>992</v>
      </c>
    </row>
    <row r="229" spans="1:6" x14ac:dyDescent="0.25">
      <c r="A229" s="1">
        <v>44263</v>
      </c>
      <c r="B229" s="2">
        <v>1016</v>
      </c>
      <c r="C229">
        <f t="shared" si="3"/>
        <v>24</v>
      </c>
      <c r="F229" s="2">
        <v>1016</v>
      </c>
    </row>
    <row r="230" spans="1:6" x14ac:dyDescent="0.25">
      <c r="A230" s="1">
        <v>44264</v>
      </c>
      <c r="B230" s="2">
        <v>967.2</v>
      </c>
      <c r="C230">
        <f t="shared" si="3"/>
        <v>-48.799999999999955</v>
      </c>
      <c r="F230" s="2">
        <v>967.2</v>
      </c>
    </row>
    <row r="231" spans="1:6" x14ac:dyDescent="0.25">
      <c r="A231" s="1">
        <v>44265</v>
      </c>
      <c r="B231" s="2">
        <v>956</v>
      </c>
      <c r="C231">
        <f t="shared" si="3"/>
        <v>-11.200000000000045</v>
      </c>
      <c r="F231" s="2">
        <v>956</v>
      </c>
    </row>
    <row r="232" spans="1:6" x14ac:dyDescent="0.25">
      <c r="A232" s="1">
        <v>44266</v>
      </c>
      <c r="B232" s="2">
        <v>931.2</v>
      </c>
      <c r="C232">
        <f t="shared" si="3"/>
        <v>-24.799999999999955</v>
      </c>
      <c r="F232" s="2">
        <v>931.2</v>
      </c>
    </row>
    <row r="233" spans="1:6" x14ac:dyDescent="0.25">
      <c r="A233" s="1">
        <v>44267</v>
      </c>
      <c r="B233" s="2">
        <v>915.2</v>
      </c>
      <c r="C233">
        <f t="shared" si="3"/>
        <v>-16</v>
      </c>
      <c r="F233" s="2">
        <v>915.2</v>
      </c>
    </row>
    <row r="234" spans="1:6" x14ac:dyDescent="0.25">
      <c r="A234" s="1">
        <v>44270</v>
      </c>
      <c r="B234" s="2">
        <v>863.2</v>
      </c>
      <c r="C234">
        <f t="shared" si="3"/>
        <v>-52</v>
      </c>
      <c r="F234" s="2">
        <v>863.2</v>
      </c>
    </row>
    <row r="235" spans="1:6" x14ac:dyDescent="0.25">
      <c r="A235" s="1">
        <v>44271</v>
      </c>
      <c r="B235" s="2">
        <v>863.2</v>
      </c>
      <c r="C235">
        <f t="shared" si="3"/>
        <v>0</v>
      </c>
      <c r="F235" s="2">
        <v>863.2</v>
      </c>
    </row>
    <row r="236" spans="1:6" x14ac:dyDescent="0.25">
      <c r="A236" s="1">
        <v>44272</v>
      </c>
      <c r="B236" s="2">
        <v>824</v>
      </c>
      <c r="C236">
        <f t="shared" si="3"/>
        <v>-39.200000000000045</v>
      </c>
      <c r="F236" s="2">
        <v>824</v>
      </c>
    </row>
    <row r="237" spans="1:6" x14ac:dyDescent="0.25">
      <c r="A237" s="1">
        <v>44273</v>
      </c>
      <c r="B237" s="2">
        <v>871.2</v>
      </c>
      <c r="C237">
        <f t="shared" si="3"/>
        <v>47.200000000000045</v>
      </c>
      <c r="F237" s="2">
        <v>871.2</v>
      </c>
    </row>
    <row r="238" spans="1:6" x14ac:dyDescent="0.25">
      <c r="A238" s="1">
        <v>44274</v>
      </c>
      <c r="B238" s="2">
        <v>843.2</v>
      </c>
      <c r="C238">
        <f t="shared" si="3"/>
        <v>-28</v>
      </c>
      <c r="F238" s="2">
        <v>843.2</v>
      </c>
    </row>
    <row r="239" spans="1:6" x14ac:dyDescent="0.25">
      <c r="A239" s="1">
        <v>44277</v>
      </c>
      <c r="B239" s="2">
        <v>780</v>
      </c>
      <c r="C239">
        <f t="shared" si="3"/>
        <v>-63.200000000000045</v>
      </c>
      <c r="F239" s="2">
        <v>780</v>
      </c>
    </row>
    <row r="240" spans="1:6" x14ac:dyDescent="0.25">
      <c r="A240" s="1">
        <v>44278</v>
      </c>
      <c r="B240" s="2">
        <v>820</v>
      </c>
      <c r="C240">
        <f t="shared" si="3"/>
        <v>40</v>
      </c>
      <c r="F240" s="2">
        <v>820</v>
      </c>
    </row>
    <row r="241" spans="1:6" x14ac:dyDescent="0.25">
      <c r="A241" s="1">
        <v>44279</v>
      </c>
      <c r="B241" s="2">
        <v>824.8</v>
      </c>
      <c r="C241">
        <f t="shared" si="3"/>
        <v>4.7999999999999545</v>
      </c>
      <c r="F241" s="2">
        <v>824.8</v>
      </c>
    </row>
    <row r="242" spans="1:6" x14ac:dyDescent="0.25">
      <c r="A242" s="1">
        <v>44280</v>
      </c>
      <c r="B242" s="2">
        <v>799.2</v>
      </c>
      <c r="C242">
        <f t="shared" si="3"/>
        <v>-25.599999999999909</v>
      </c>
      <c r="F242" s="2">
        <v>799.2</v>
      </c>
    </row>
    <row r="243" spans="1:6" x14ac:dyDescent="0.25">
      <c r="A243" s="1">
        <v>44281</v>
      </c>
      <c r="B243" s="2">
        <v>768</v>
      </c>
      <c r="C243">
        <f t="shared" si="3"/>
        <v>-31.200000000000045</v>
      </c>
      <c r="F243" s="2">
        <v>768</v>
      </c>
    </row>
    <row r="244" spans="1:6" x14ac:dyDescent="0.25">
      <c r="A244" s="1">
        <v>44284</v>
      </c>
      <c r="B244" s="2">
        <v>789.6</v>
      </c>
      <c r="C244">
        <f t="shared" si="3"/>
        <v>21.600000000000023</v>
      </c>
      <c r="F244" s="2">
        <v>789.6</v>
      </c>
    </row>
    <row r="245" spans="1:6" x14ac:dyDescent="0.25">
      <c r="A245" s="1">
        <v>44285</v>
      </c>
      <c r="B245" s="2">
        <v>752.8</v>
      </c>
      <c r="C245">
        <f t="shared" si="3"/>
        <v>-36.800000000000068</v>
      </c>
      <c r="F245" s="2">
        <v>752.8</v>
      </c>
    </row>
    <row r="246" spans="1:6" x14ac:dyDescent="0.25">
      <c r="A246" s="1">
        <v>44286</v>
      </c>
      <c r="B246" s="2">
        <v>748</v>
      </c>
      <c r="C246">
        <f t="shared" si="3"/>
        <v>-4.7999999999999545</v>
      </c>
      <c r="F246" s="2">
        <v>748</v>
      </c>
    </row>
    <row r="247" spans="1:6" x14ac:dyDescent="0.25">
      <c r="A247" s="1">
        <v>44287</v>
      </c>
      <c r="B247" s="2">
        <v>724.8</v>
      </c>
      <c r="C247">
        <f t="shared" si="3"/>
        <v>-23.200000000000045</v>
      </c>
      <c r="F247" s="2">
        <v>724.8</v>
      </c>
    </row>
    <row r="248" spans="1:6" x14ac:dyDescent="0.25">
      <c r="A248" s="1">
        <v>44291</v>
      </c>
      <c r="B248" s="2">
        <v>703.2</v>
      </c>
      <c r="C248">
        <f t="shared" si="3"/>
        <v>-21.599999999999909</v>
      </c>
      <c r="F248" s="2">
        <v>703.2</v>
      </c>
    </row>
    <row r="249" spans="1:6" x14ac:dyDescent="0.25">
      <c r="A249" s="1">
        <v>44292</v>
      </c>
      <c r="B249" s="2">
        <v>709.6</v>
      </c>
      <c r="C249">
        <f t="shared" si="3"/>
        <v>6.3999999999999773</v>
      </c>
      <c r="F249" s="2">
        <v>709.6</v>
      </c>
    </row>
    <row r="250" spans="1:6" x14ac:dyDescent="0.25">
      <c r="A250" s="1">
        <v>44293</v>
      </c>
      <c r="B250" s="2">
        <v>688</v>
      </c>
      <c r="C250">
        <f t="shared" si="3"/>
        <v>-21.600000000000023</v>
      </c>
      <c r="F250" s="2">
        <v>688</v>
      </c>
    </row>
    <row r="251" spans="1:6" x14ac:dyDescent="0.25">
      <c r="A251" s="1">
        <v>44294</v>
      </c>
      <c r="B251" s="2">
        <v>677.6</v>
      </c>
      <c r="C251">
        <f t="shared" si="3"/>
        <v>-10.399999999999977</v>
      </c>
      <c r="F251" s="2">
        <v>677.6</v>
      </c>
    </row>
    <row r="252" spans="1:6" x14ac:dyDescent="0.25">
      <c r="A252" s="1">
        <v>44295</v>
      </c>
      <c r="B252" s="2">
        <v>676</v>
      </c>
      <c r="C252">
        <f t="shared" si="3"/>
        <v>-1.6000000000000227</v>
      </c>
      <c r="F252" s="2">
        <v>676</v>
      </c>
    </row>
    <row r="253" spans="1:6" x14ac:dyDescent="0.25">
      <c r="A253" s="1">
        <v>44298</v>
      </c>
      <c r="B253" s="2">
        <v>665.6</v>
      </c>
      <c r="C253">
        <f t="shared" si="3"/>
        <v>-10.399999999999977</v>
      </c>
      <c r="F253" s="2">
        <v>665.6</v>
      </c>
    </row>
    <row r="254" spans="1:6" x14ac:dyDescent="0.25">
      <c r="A254" s="1">
        <v>44299</v>
      </c>
      <c r="B254" s="2">
        <v>660</v>
      </c>
      <c r="C254">
        <f t="shared" si="3"/>
        <v>-5.6000000000000227</v>
      </c>
      <c r="F254" s="2">
        <v>660</v>
      </c>
    </row>
    <row r="255" spans="1:6" x14ac:dyDescent="0.25">
      <c r="A255" s="1">
        <v>44300</v>
      </c>
      <c r="B255" s="2">
        <v>675.2</v>
      </c>
      <c r="C255">
        <f t="shared" si="3"/>
        <v>15.200000000000045</v>
      </c>
      <c r="F255" s="2">
        <v>675.2</v>
      </c>
    </row>
    <row r="256" spans="1:6" x14ac:dyDescent="0.25">
      <c r="A256" s="1">
        <v>44301</v>
      </c>
      <c r="B256" s="2">
        <v>652.79999999999995</v>
      </c>
      <c r="C256">
        <f t="shared" si="3"/>
        <v>-22.400000000000091</v>
      </c>
      <c r="F256" s="2">
        <v>652.79999999999995</v>
      </c>
    </row>
    <row r="257" spans="1:6" x14ac:dyDescent="0.25">
      <c r="A257" s="1">
        <v>44302</v>
      </c>
      <c r="B257" s="2">
        <v>642.4</v>
      </c>
      <c r="C257">
        <f t="shared" si="3"/>
        <v>-10.399999999999977</v>
      </c>
      <c r="F257" s="2">
        <v>642.4</v>
      </c>
    </row>
    <row r="258" spans="1:6" x14ac:dyDescent="0.25">
      <c r="A258" s="1">
        <v>44305</v>
      </c>
      <c r="B258" s="2">
        <v>664.8</v>
      </c>
      <c r="C258">
        <f t="shared" si="3"/>
        <v>22.399999999999977</v>
      </c>
      <c r="F258" s="2">
        <v>664.8</v>
      </c>
    </row>
    <row r="259" spans="1:6" x14ac:dyDescent="0.25">
      <c r="A259" s="1">
        <v>44306</v>
      </c>
      <c r="B259" s="2">
        <v>680</v>
      </c>
      <c r="C259">
        <f t="shared" si="3"/>
        <v>15.200000000000045</v>
      </c>
      <c r="F259" s="2">
        <v>680</v>
      </c>
    </row>
    <row r="260" spans="1:6" x14ac:dyDescent="0.25">
      <c r="A260" s="1">
        <v>44307</v>
      </c>
      <c r="B260" s="2">
        <v>644.79999999999995</v>
      </c>
      <c r="C260">
        <f t="shared" ref="C260:C323" si="4">(B260-B259)</f>
        <v>-35.200000000000045</v>
      </c>
      <c r="F260" s="2">
        <v>644.79999999999995</v>
      </c>
    </row>
    <row r="261" spans="1:6" x14ac:dyDescent="0.25">
      <c r="A261" s="1">
        <v>44308</v>
      </c>
      <c r="B261" s="2">
        <v>689.6</v>
      </c>
      <c r="C261">
        <f t="shared" si="4"/>
        <v>44.800000000000068</v>
      </c>
      <c r="F261" s="2">
        <v>689.6</v>
      </c>
    </row>
    <row r="262" spans="1:6" x14ac:dyDescent="0.25">
      <c r="A262" s="1">
        <v>44309</v>
      </c>
      <c r="B262" s="2">
        <v>658.4</v>
      </c>
      <c r="C262">
        <f t="shared" si="4"/>
        <v>-31.200000000000045</v>
      </c>
      <c r="F262" s="2">
        <v>658.4</v>
      </c>
    </row>
    <row r="263" spans="1:6" x14ac:dyDescent="0.25">
      <c r="A263" s="1">
        <v>44312</v>
      </c>
      <c r="B263" s="2">
        <v>653.6</v>
      </c>
      <c r="C263">
        <f t="shared" si="4"/>
        <v>-4.7999999999999545</v>
      </c>
      <c r="F263" s="2">
        <v>653.6</v>
      </c>
    </row>
    <row r="264" spans="1:6" x14ac:dyDescent="0.25">
      <c r="A264" s="1">
        <v>44313</v>
      </c>
      <c r="B264" s="2">
        <v>639.20000000000005</v>
      </c>
      <c r="C264">
        <f t="shared" si="4"/>
        <v>-14.399999999999977</v>
      </c>
      <c r="F264" s="2">
        <v>639.20000000000005</v>
      </c>
    </row>
    <row r="265" spans="1:6" x14ac:dyDescent="0.25">
      <c r="A265" s="1">
        <v>44314</v>
      </c>
      <c r="B265" s="2">
        <v>636.79999999999995</v>
      </c>
      <c r="C265">
        <f t="shared" si="4"/>
        <v>-2.4000000000000909</v>
      </c>
      <c r="F265" s="2">
        <v>636.79999999999995</v>
      </c>
    </row>
    <row r="266" spans="1:6" x14ac:dyDescent="0.25">
      <c r="A266" s="1">
        <v>44315</v>
      </c>
      <c r="B266" s="2">
        <v>632.79999999999995</v>
      </c>
      <c r="C266">
        <f t="shared" si="4"/>
        <v>-4</v>
      </c>
      <c r="F266" s="2">
        <v>632.79999999999995</v>
      </c>
    </row>
    <row r="267" spans="1:6" x14ac:dyDescent="0.25">
      <c r="A267" s="1">
        <v>44316</v>
      </c>
      <c r="B267" s="2">
        <v>658.4</v>
      </c>
      <c r="C267">
        <f t="shared" si="4"/>
        <v>25.600000000000023</v>
      </c>
      <c r="F267" s="2">
        <v>658.4</v>
      </c>
    </row>
    <row r="268" spans="1:6" x14ac:dyDescent="0.25">
      <c r="A268" s="1">
        <v>44319</v>
      </c>
      <c r="B268" s="2">
        <v>633.6</v>
      </c>
      <c r="C268">
        <f t="shared" si="4"/>
        <v>-24.799999999999955</v>
      </c>
      <c r="F268" s="2">
        <v>633.6</v>
      </c>
    </row>
    <row r="269" spans="1:6" x14ac:dyDescent="0.25">
      <c r="A269" s="1">
        <v>44320</v>
      </c>
      <c r="B269" s="2">
        <v>657.6</v>
      </c>
      <c r="C269">
        <f t="shared" si="4"/>
        <v>24</v>
      </c>
      <c r="F269" s="2">
        <v>657.6</v>
      </c>
    </row>
    <row r="270" spans="1:6" x14ac:dyDescent="0.25">
      <c r="A270" s="1">
        <v>44321</v>
      </c>
      <c r="B270" s="2">
        <v>642.4</v>
      </c>
      <c r="C270">
        <f t="shared" si="4"/>
        <v>-15.200000000000045</v>
      </c>
      <c r="F270" s="2">
        <v>642.4</v>
      </c>
    </row>
    <row r="271" spans="1:6" x14ac:dyDescent="0.25">
      <c r="A271" s="1">
        <v>44322</v>
      </c>
      <c r="B271" s="2">
        <v>638.4</v>
      </c>
      <c r="C271">
        <f t="shared" si="4"/>
        <v>-4</v>
      </c>
      <c r="F271" s="2">
        <v>638.4</v>
      </c>
    </row>
    <row r="272" spans="1:6" x14ac:dyDescent="0.25">
      <c r="A272" s="1">
        <v>44323</v>
      </c>
      <c r="B272" s="2">
        <v>600</v>
      </c>
      <c r="C272">
        <f t="shared" si="4"/>
        <v>-38.399999999999977</v>
      </c>
      <c r="F272" s="2">
        <v>600</v>
      </c>
    </row>
    <row r="273" spans="1:6" x14ac:dyDescent="0.25">
      <c r="A273" s="1">
        <v>44326</v>
      </c>
      <c r="B273" s="2">
        <v>626.4</v>
      </c>
      <c r="C273">
        <f t="shared" si="4"/>
        <v>26.399999999999977</v>
      </c>
      <c r="F273" s="2">
        <v>626.4</v>
      </c>
    </row>
    <row r="274" spans="1:6" x14ac:dyDescent="0.25">
      <c r="A274" s="1">
        <v>44327</v>
      </c>
      <c r="B274" s="2">
        <v>675.2</v>
      </c>
      <c r="C274">
        <f t="shared" si="4"/>
        <v>48.800000000000068</v>
      </c>
      <c r="F274" s="2">
        <v>675.2</v>
      </c>
    </row>
    <row r="275" spans="1:6" x14ac:dyDescent="0.25">
      <c r="A275" s="1">
        <v>44328</v>
      </c>
      <c r="B275" s="2">
        <v>791.2</v>
      </c>
      <c r="C275">
        <f t="shared" si="4"/>
        <v>116</v>
      </c>
      <c r="F275" s="2">
        <v>791.2</v>
      </c>
    </row>
    <row r="276" spans="1:6" x14ac:dyDescent="0.25">
      <c r="A276" s="1">
        <v>44329</v>
      </c>
      <c r="B276" s="2">
        <v>716.8</v>
      </c>
      <c r="C276">
        <f t="shared" si="4"/>
        <v>-74.400000000000091</v>
      </c>
      <c r="F276" s="2">
        <v>716.8</v>
      </c>
    </row>
    <row r="277" spans="1:6" x14ac:dyDescent="0.25">
      <c r="A277" s="1">
        <v>44330</v>
      </c>
      <c r="B277" s="2">
        <v>632.79999999999995</v>
      </c>
      <c r="C277">
        <f t="shared" si="4"/>
        <v>-84</v>
      </c>
      <c r="F277" s="2">
        <v>632.79999999999995</v>
      </c>
    </row>
    <row r="278" spans="1:6" x14ac:dyDescent="0.25">
      <c r="A278" s="1">
        <v>44333</v>
      </c>
      <c r="B278" s="2">
        <v>645.6</v>
      </c>
      <c r="C278">
        <f t="shared" si="4"/>
        <v>12.800000000000068</v>
      </c>
      <c r="F278" s="2">
        <v>645.6</v>
      </c>
    </row>
    <row r="279" spans="1:6" x14ac:dyDescent="0.25">
      <c r="A279" s="1">
        <v>44334</v>
      </c>
      <c r="B279" s="2">
        <v>663.2</v>
      </c>
      <c r="C279">
        <f t="shared" si="4"/>
        <v>17.600000000000023</v>
      </c>
      <c r="F279" s="2">
        <v>663.2</v>
      </c>
    </row>
    <row r="280" spans="1:6" x14ac:dyDescent="0.25">
      <c r="A280" s="1">
        <v>44335</v>
      </c>
      <c r="B280" s="2">
        <v>692</v>
      </c>
      <c r="C280">
        <f t="shared" si="4"/>
        <v>28.799999999999955</v>
      </c>
      <c r="F280" s="2">
        <v>692</v>
      </c>
    </row>
    <row r="281" spans="1:6" x14ac:dyDescent="0.25">
      <c r="A281" s="1">
        <v>44336</v>
      </c>
      <c r="B281" s="2">
        <v>655.20000000000005</v>
      </c>
      <c r="C281">
        <f t="shared" si="4"/>
        <v>-36.799999999999955</v>
      </c>
      <c r="F281" s="2">
        <v>655.20000000000005</v>
      </c>
    </row>
    <row r="282" spans="1:6" x14ac:dyDescent="0.25">
      <c r="A282" s="1">
        <v>44337</v>
      </c>
      <c r="B282" s="2">
        <v>646.4</v>
      </c>
      <c r="C282">
        <f t="shared" si="4"/>
        <v>-8.8000000000000682</v>
      </c>
      <c r="F282" s="2">
        <v>646.4</v>
      </c>
    </row>
    <row r="283" spans="1:6" x14ac:dyDescent="0.25">
      <c r="A283" s="1">
        <v>44340</v>
      </c>
      <c r="B283" s="2">
        <v>616.79999999999995</v>
      </c>
      <c r="C283">
        <f t="shared" si="4"/>
        <v>-29.600000000000023</v>
      </c>
      <c r="F283" s="2">
        <v>616.79999999999995</v>
      </c>
    </row>
    <row r="284" spans="1:6" x14ac:dyDescent="0.25">
      <c r="A284" s="1">
        <v>44341</v>
      </c>
      <c r="B284" s="2">
        <v>616.79999999999995</v>
      </c>
      <c r="C284">
        <f t="shared" si="4"/>
        <v>0</v>
      </c>
      <c r="F284" s="2">
        <v>616.79999999999995</v>
      </c>
    </row>
    <row r="285" spans="1:6" x14ac:dyDescent="0.25">
      <c r="A285" s="1">
        <v>44342</v>
      </c>
      <c r="B285" s="2">
        <v>587.79999999999995</v>
      </c>
      <c r="C285">
        <f t="shared" si="4"/>
        <v>-29</v>
      </c>
      <c r="F285" s="2">
        <v>587.79999999999995</v>
      </c>
    </row>
    <row r="286" spans="1:6" x14ac:dyDescent="0.25">
      <c r="A286" s="1">
        <v>44343</v>
      </c>
      <c r="B286" s="2">
        <v>559.20000000000005</v>
      </c>
      <c r="C286">
        <f t="shared" si="4"/>
        <v>-28.599999999999909</v>
      </c>
      <c r="F286" s="2">
        <v>559.20000000000005</v>
      </c>
    </row>
    <row r="287" spans="1:6" x14ac:dyDescent="0.25">
      <c r="A287" s="1">
        <v>44344</v>
      </c>
      <c r="B287" s="2">
        <v>567.20000000000005</v>
      </c>
      <c r="C287">
        <f t="shared" si="4"/>
        <v>8</v>
      </c>
      <c r="F287" s="2">
        <v>567.20000000000005</v>
      </c>
    </row>
    <row r="288" spans="1:6" x14ac:dyDescent="0.25">
      <c r="A288" s="1">
        <v>44348</v>
      </c>
      <c r="B288" s="2">
        <v>581.4</v>
      </c>
      <c r="C288">
        <f t="shared" si="4"/>
        <v>14.199999999999932</v>
      </c>
      <c r="F288" s="2">
        <v>581.4</v>
      </c>
    </row>
    <row r="289" spans="1:6" x14ac:dyDescent="0.25">
      <c r="A289" s="1">
        <v>44349</v>
      </c>
      <c r="B289" s="2">
        <v>567.20000000000005</v>
      </c>
      <c r="C289">
        <f t="shared" si="4"/>
        <v>-14.199999999999932</v>
      </c>
      <c r="F289" s="2">
        <v>567.20000000000005</v>
      </c>
    </row>
    <row r="290" spans="1:6" x14ac:dyDescent="0.25">
      <c r="A290" s="1">
        <v>44350</v>
      </c>
      <c r="B290" s="2">
        <v>577.6</v>
      </c>
      <c r="C290">
        <f t="shared" si="4"/>
        <v>10.399999999999977</v>
      </c>
      <c r="F290" s="2">
        <v>577.6</v>
      </c>
    </row>
    <row r="291" spans="1:6" x14ac:dyDescent="0.25">
      <c r="A291" s="1">
        <v>44351</v>
      </c>
      <c r="B291" s="2">
        <v>547</v>
      </c>
      <c r="C291">
        <f t="shared" si="4"/>
        <v>-30.600000000000023</v>
      </c>
      <c r="F291" s="2">
        <v>547</v>
      </c>
    </row>
    <row r="292" spans="1:6" x14ac:dyDescent="0.25">
      <c r="A292" s="1">
        <v>44354</v>
      </c>
      <c r="B292" s="2">
        <v>537.20000000000005</v>
      </c>
      <c r="C292">
        <f t="shared" si="4"/>
        <v>-9.7999999999999545</v>
      </c>
      <c r="F292" s="2">
        <v>537.20000000000005</v>
      </c>
    </row>
    <row r="293" spans="1:6" x14ac:dyDescent="0.25">
      <c r="A293" s="1">
        <v>44355</v>
      </c>
      <c r="B293" s="2">
        <v>543.79999999999995</v>
      </c>
      <c r="C293">
        <f t="shared" si="4"/>
        <v>6.5999999999999091</v>
      </c>
      <c r="F293" s="2">
        <v>543.79999999999995</v>
      </c>
    </row>
    <row r="294" spans="1:6" x14ac:dyDescent="0.25">
      <c r="A294" s="1">
        <v>44356</v>
      </c>
      <c r="B294" s="2">
        <v>552</v>
      </c>
      <c r="C294">
        <f t="shared" si="4"/>
        <v>8.2000000000000455</v>
      </c>
      <c r="F294" s="2">
        <v>552</v>
      </c>
    </row>
    <row r="295" spans="1:6" x14ac:dyDescent="0.25">
      <c r="A295" s="1">
        <v>44357</v>
      </c>
      <c r="B295" s="2">
        <v>518.6</v>
      </c>
      <c r="C295">
        <f t="shared" si="4"/>
        <v>-33.399999999999977</v>
      </c>
      <c r="F295" s="2">
        <v>518.6</v>
      </c>
    </row>
    <row r="296" spans="1:6" x14ac:dyDescent="0.25">
      <c r="A296" s="1">
        <v>44358</v>
      </c>
      <c r="B296" s="2">
        <v>504.6</v>
      </c>
      <c r="C296">
        <f t="shared" si="4"/>
        <v>-14</v>
      </c>
      <c r="F296" s="2">
        <v>504.6</v>
      </c>
    </row>
    <row r="297" spans="1:6" x14ac:dyDescent="0.25">
      <c r="A297" s="1">
        <v>44361</v>
      </c>
      <c r="B297" s="2">
        <v>508.4</v>
      </c>
      <c r="C297">
        <f t="shared" si="4"/>
        <v>3.7999999999999545</v>
      </c>
      <c r="F297" s="2">
        <v>508.4</v>
      </c>
    </row>
    <row r="298" spans="1:6" x14ac:dyDescent="0.25">
      <c r="A298" s="1">
        <v>44362</v>
      </c>
      <c r="B298" s="2">
        <v>519.9</v>
      </c>
      <c r="C298">
        <f t="shared" si="4"/>
        <v>11.5</v>
      </c>
      <c r="F298" s="2">
        <v>519.9</v>
      </c>
    </row>
    <row r="299" spans="1:6" x14ac:dyDescent="0.25">
      <c r="A299" s="1">
        <v>44363</v>
      </c>
      <c r="B299" s="2">
        <v>525</v>
      </c>
      <c r="C299">
        <f t="shared" si="4"/>
        <v>5.1000000000000227</v>
      </c>
      <c r="F299" s="2">
        <v>525</v>
      </c>
    </row>
    <row r="300" spans="1:6" x14ac:dyDescent="0.25">
      <c r="A300" s="1">
        <v>44364</v>
      </c>
      <c r="B300" s="2">
        <v>521.79999999999995</v>
      </c>
      <c r="C300">
        <f t="shared" si="4"/>
        <v>-3.2000000000000455</v>
      </c>
      <c r="F300" s="2">
        <v>521.79999999999995</v>
      </c>
    </row>
    <row r="301" spans="1:6" x14ac:dyDescent="0.25">
      <c r="A301" s="1">
        <v>44365</v>
      </c>
      <c r="B301" s="2">
        <v>567.20000000000005</v>
      </c>
      <c r="C301">
        <f t="shared" si="4"/>
        <v>45.400000000000091</v>
      </c>
      <c r="F301" s="2">
        <v>567.20000000000005</v>
      </c>
    </row>
    <row r="302" spans="1:6" x14ac:dyDescent="0.25">
      <c r="A302" s="1">
        <v>44368</v>
      </c>
      <c r="B302" s="2">
        <v>530</v>
      </c>
      <c r="C302">
        <f t="shared" si="4"/>
        <v>-37.200000000000045</v>
      </c>
      <c r="F302" s="2">
        <v>530</v>
      </c>
    </row>
    <row r="303" spans="1:6" x14ac:dyDescent="0.25">
      <c r="A303" s="1">
        <v>44369</v>
      </c>
      <c r="B303" s="2">
        <v>505.4</v>
      </c>
      <c r="C303">
        <f t="shared" si="4"/>
        <v>-24.600000000000023</v>
      </c>
      <c r="F303" s="2">
        <v>505.4</v>
      </c>
    </row>
    <row r="304" spans="1:6" x14ac:dyDescent="0.25">
      <c r="A304" s="1">
        <v>44370</v>
      </c>
      <c r="B304" s="2">
        <v>495.4</v>
      </c>
      <c r="C304">
        <f t="shared" si="4"/>
        <v>-10</v>
      </c>
      <c r="F304" s="2">
        <v>495.4</v>
      </c>
    </row>
    <row r="305" spans="1:6" x14ac:dyDescent="0.25">
      <c r="A305" s="1">
        <v>44371</v>
      </c>
      <c r="B305" s="2">
        <v>484.6</v>
      </c>
      <c r="C305">
        <f t="shared" si="4"/>
        <v>-10.799999999999955</v>
      </c>
      <c r="F305" s="2">
        <v>484.6</v>
      </c>
    </row>
    <row r="306" spans="1:6" x14ac:dyDescent="0.25">
      <c r="A306" s="1">
        <v>44372</v>
      </c>
      <c r="B306" s="2">
        <v>477.4</v>
      </c>
      <c r="C306">
        <f t="shared" si="4"/>
        <v>-7.2000000000000455</v>
      </c>
      <c r="F306" s="2">
        <v>477.4</v>
      </c>
    </row>
    <row r="307" spans="1:6" x14ac:dyDescent="0.25">
      <c r="A307" s="1">
        <v>44375</v>
      </c>
      <c r="B307" s="2">
        <v>478.2</v>
      </c>
      <c r="C307">
        <f t="shared" si="4"/>
        <v>0.80000000000001137</v>
      </c>
      <c r="F307" s="2">
        <v>478.2</v>
      </c>
    </row>
    <row r="308" spans="1:6" x14ac:dyDescent="0.25">
      <c r="A308" s="1">
        <v>44376</v>
      </c>
      <c r="B308" s="2">
        <v>486.6</v>
      </c>
      <c r="C308">
        <f t="shared" si="4"/>
        <v>8.4000000000000341</v>
      </c>
      <c r="F308" s="2">
        <v>486.6</v>
      </c>
    </row>
    <row r="309" spans="1:6" x14ac:dyDescent="0.25">
      <c r="A309" s="1">
        <v>44377</v>
      </c>
      <c r="B309" s="2">
        <v>481.6</v>
      </c>
      <c r="C309">
        <f t="shared" si="4"/>
        <v>-5</v>
      </c>
      <c r="F309" s="2">
        <v>481.6</v>
      </c>
    </row>
    <row r="310" spans="1:6" x14ac:dyDescent="0.25">
      <c r="A310" s="1">
        <v>44378</v>
      </c>
      <c r="B310" s="2">
        <v>475</v>
      </c>
      <c r="C310">
        <f t="shared" si="4"/>
        <v>-6.6000000000000227</v>
      </c>
      <c r="F310" s="2">
        <v>475</v>
      </c>
    </row>
    <row r="311" spans="1:6" x14ac:dyDescent="0.25">
      <c r="A311" s="1">
        <v>44379</v>
      </c>
      <c r="B311" s="2">
        <v>472.6</v>
      </c>
      <c r="C311">
        <f t="shared" si="4"/>
        <v>-2.3999999999999773</v>
      </c>
      <c r="F311" s="2">
        <v>472.6</v>
      </c>
    </row>
    <row r="312" spans="1:6" x14ac:dyDescent="0.25">
      <c r="A312" s="1">
        <v>44383</v>
      </c>
      <c r="B312" s="2">
        <v>484</v>
      </c>
      <c r="C312">
        <f t="shared" si="4"/>
        <v>11.399999999999977</v>
      </c>
      <c r="F312" s="2">
        <v>484</v>
      </c>
    </row>
    <row r="313" spans="1:6" x14ac:dyDescent="0.25">
      <c r="A313" s="1">
        <v>44384</v>
      </c>
      <c r="B313" s="2">
        <v>485.2</v>
      </c>
      <c r="C313">
        <f t="shared" si="4"/>
        <v>1.1999999999999886</v>
      </c>
      <c r="F313" s="2">
        <v>485.2</v>
      </c>
    </row>
    <row r="314" spans="1:6" x14ac:dyDescent="0.25">
      <c r="A314" s="1">
        <v>44385</v>
      </c>
      <c r="B314" s="2">
        <v>517.6</v>
      </c>
      <c r="C314">
        <f t="shared" si="4"/>
        <v>32.400000000000034</v>
      </c>
      <c r="F314" s="2">
        <v>517.6</v>
      </c>
    </row>
    <row r="315" spans="1:6" x14ac:dyDescent="0.25">
      <c r="A315" s="1">
        <v>44386</v>
      </c>
      <c r="B315" s="2">
        <v>481.4</v>
      </c>
      <c r="C315">
        <f t="shared" si="4"/>
        <v>-36.200000000000045</v>
      </c>
      <c r="F315" s="2">
        <v>481.4</v>
      </c>
    </row>
    <row r="316" spans="1:6" x14ac:dyDescent="0.25">
      <c r="A316" s="1">
        <v>44389</v>
      </c>
      <c r="B316" s="2">
        <v>478.8</v>
      </c>
      <c r="C316">
        <f t="shared" si="4"/>
        <v>-2.5999999999999659</v>
      </c>
      <c r="F316" s="2">
        <v>478.8</v>
      </c>
    </row>
    <row r="317" spans="1:6" x14ac:dyDescent="0.25">
      <c r="A317" s="1">
        <v>44390</v>
      </c>
      <c r="B317" s="2">
        <v>485</v>
      </c>
      <c r="C317">
        <f t="shared" si="4"/>
        <v>6.1999999999999886</v>
      </c>
      <c r="F317" s="2">
        <v>485</v>
      </c>
    </row>
    <row r="318" spans="1:6" x14ac:dyDescent="0.25">
      <c r="A318" s="1">
        <v>44391</v>
      </c>
      <c r="B318" s="2">
        <v>473.6</v>
      </c>
      <c r="C318">
        <f t="shared" si="4"/>
        <v>-11.399999999999977</v>
      </c>
      <c r="F318" s="2">
        <v>473.6</v>
      </c>
    </row>
    <row r="319" spans="1:6" x14ac:dyDescent="0.25">
      <c r="A319" s="1">
        <v>44392</v>
      </c>
      <c r="B319" s="2">
        <v>480.6</v>
      </c>
      <c r="C319">
        <f t="shared" si="4"/>
        <v>7</v>
      </c>
      <c r="F319" s="2">
        <v>480.6</v>
      </c>
    </row>
    <row r="320" spans="1:6" x14ac:dyDescent="0.25">
      <c r="A320" s="1">
        <v>44393</v>
      </c>
      <c r="B320" s="2">
        <v>499</v>
      </c>
      <c r="C320">
        <f t="shared" si="4"/>
        <v>18.399999999999977</v>
      </c>
      <c r="F320" s="2">
        <v>499</v>
      </c>
    </row>
    <row r="321" spans="1:6" x14ac:dyDescent="0.25">
      <c r="A321" s="1">
        <v>44396</v>
      </c>
      <c r="B321" s="2">
        <v>571.20000000000005</v>
      </c>
      <c r="C321">
        <f t="shared" si="4"/>
        <v>72.200000000000045</v>
      </c>
      <c r="F321" s="2">
        <v>571.20000000000005</v>
      </c>
    </row>
    <row r="322" spans="1:6" x14ac:dyDescent="0.25">
      <c r="A322" s="1">
        <v>44397</v>
      </c>
      <c r="B322" s="2">
        <v>525.6</v>
      </c>
      <c r="C322">
        <f t="shared" si="4"/>
        <v>-45.600000000000023</v>
      </c>
      <c r="F322" s="2">
        <v>525.6</v>
      </c>
    </row>
    <row r="323" spans="1:6" x14ac:dyDescent="0.25">
      <c r="A323" s="1">
        <v>44398</v>
      </c>
      <c r="B323" s="2">
        <v>489.8</v>
      </c>
      <c r="C323">
        <f t="shared" si="4"/>
        <v>-35.800000000000011</v>
      </c>
      <c r="F323" s="2">
        <v>489.8</v>
      </c>
    </row>
    <row r="324" spans="1:6" x14ac:dyDescent="0.25">
      <c r="A324" s="1">
        <v>44399</v>
      </c>
      <c r="B324" s="2">
        <v>498.6</v>
      </c>
      <c r="C324">
        <f t="shared" ref="C324:C387" si="5">(B324-B323)</f>
        <v>8.8000000000000114</v>
      </c>
      <c r="F324" s="2">
        <v>498.6</v>
      </c>
    </row>
    <row r="325" spans="1:6" x14ac:dyDescent="0.25">
      <c r="A325" s="1">
        <v>44400</v>
      </c>
      <c r="B325" s="2">
        <v>495.4</v>
      </c>
      <c r="C325">
        <f t="shared" si="5"/>
        <v>-3.2000000000000455</v>
      </c>
      <c r="F325" s="2">
        <v>495.4</v>
      </c>
    </row>
    <row r="326" spans="1:6" x14ac:dyDescent="0.25">
      <c r="A326" s="1">
        <v>44403</v>
      </c>
      <c r="B326" s="2">
        <v>488.8</v>
      </c>
      <c r="C326">
        <f t="shared" si="5"/>
        <v>-6.5999999999999659</v>
      </c>
      <c r="F326" s="2">
        <v>488.8</v>
      </c>
    </row>
    <row r="327" spans="1:6" x14ac:dyDescent="0.25">
      <c r="A327" s="1">
        <v>44404</v>
      </c>
      <c r="B327" s="2">
        <v>505</v>
      </c>
      <c r="C327">
        <f t="shared" si="5"/>
        <v>16.199999999999989</v>
      </c>
      <c r="F327" s="2">
        <v>505</v>
      </c>
    </row>
    <row r="328" spans="1:6" x14ac:dyDescent="0.25">
      <c r="A328" s="1">
        <v>44405</v>
      </c>
      <c r="B328" s="2">
        <v>492.2</v>
      </c>
      <c r="C328">
        <f t="shared" si="5"/>
        <v>-12.800000000000011</v>
      </c>
      <c r="F328" s="2">
        <v>492.2</v>
      </c>
    </row>
    <row r="329" spans="1:6" x14ac:dyDescent="0.25">
      <c r="A329" s="1">
        <v>44406</v>
      </c>
      <c r="B329" s="2">
        <v>482.2</v>
      </c>
      <c r="C329">
        <f t="shared" si="5"/>
        <v>-10</v>
      </c>
      <c r="F329" s="2">
        <v>482.2</v>
      </c>
    </row>
    <row r="330" spans="1:6" x14ac:dyDescent="0.25">
      <c r="A330" s="1">
        <v>44407</v>
      </c>
      <c r="B330" s="2">
        <v>495.4</v>
      </c>
      <c r="C330">
        <f t="shared" si="5"/>
        <v>13.199999999999989</v>
      </c>
      <c r="F330" s="2">
        <v>495.4</v>
      </c>
    </row>
    <row r="331" spans="1:6" x14ac:dyDescent="0.25">
      <c r="A331" s="1">
        <v>44410</v>
      </c>
      <c r="B331" s="2">
        <v>513.6</v>
      </c>
      <c r="C331">
        <f t="shared" si="5"/>
        <v>18.200000000000045</v>
      </c>
      <c r="F331" s="2">
        <v>513.6</v>
      </c>
    </row>
    <row r="332" spans="1:6" x14ac:dyDescent="0.25">
      <c r="A332" s="1">
        <v>44411</v>
      </c>
      <c r="B332" s="2">
        <v>488</v>
      </c>
      <c r="C332">
        <f t="shared" si="5"/>
        <v>-25.600000000000023</v>
      </c>
      <c r="F332" s="2">
        <v>488</v>
      </c>
    </row>
    <row r="333" spans="1:6" x14ac:dyDescent="0.25">
      <c r="A333" s="1">
        <v>44412</v>
      </c>
      <c r="B333" s="2">
        <v>487.6</v>
      </c>
      <c r="C333">
        <f t="shared" si="5"/>
        <v>-0.39999999999997726</v>
      </c>
      <c r="F333" s="2">
        <v>487.6</v>
      </c>
    </row>
    <row r="334" spans="1:6" x14ac:dyDescent="0.25">
      <c r="A334" s="1">
        <v>44413</v>
      </c>
      <c r="B334" s="2">
        <v>474.8</v>
      </c>
      <c r="C334">
        <f t="shared" si="5"/>
        <v>-12.800000000000011</v>
      </c>
      <c r="F334" s="2">
        <v>474.8</v>
      </c>
    </row>
    <row r="335" spans="1:6" x14ac:dyDescent="0.25">
      <c r="A335" s="1">
        <v>44414</v>
      </c>
      <c r="B335" s="2">
        <v>462.8</v>
      </c>
      <c r="C335">
        <f t="shared" si="5"/>
        <v>-12</v>
      </c>
      <c r="F335" s="2">
        <v>462.8</v>
      </c>
    </row>
    <row r="336" spans="1:6" x14ac:dyDescent="0.25">
      <c r="A336" s="1">
        <v>44417</v>
      </c>
      <c r="B336" s="2">
        <v>457.4</v>
      </c>
      <c r="C336">
        <f t="shared" si="5"/>
        <v>-5.4000000000000341</v>
      </c>
      <c r="F336" s="2">
        <v>457.4</v>
      </c>
    </row>
    <row r="337" spans="1:6" x14ac:dyDescent="0.25">
      <c r="A337" s="1">
        <v>44418</v>
      </c>
      <c r="B337" s="2">
        <v>451</v>
      </c>
      <c r="C337">
        <f t="shared" si="5"/>
        <v>-6.3999999999999773</v>
      </c>
      <c r="F337" s="2">
        <v>451</v>
      </c>
    </row>
    <row r="338" spans="1:6" x14ac:dyDescent="0.25">
      <c r="A338" s="1">
        <v>44419</v>
      </c>
      <c r="B338" s="2">
        <v>438.6</v>
      </c>
      <c r="C338">
        <f t="shared" si="5"/>
        <v>-12.399999999999977</v>
      </c>
      <c r="F338" s="2">
        <v>438.6</v>
      </c>
    </row>
    <row r="339" spans="1:6" x14ac:dyDescent="0.25">
      <c r="A339" s="1">
        <v>44420</v>
      </c>
      <c r="B339" s="2">
        <v>429</v>
      </c>
      <c r="C339">
        <f t="shared" si="5"/>
        <v>-9.6000000000000227</v>
      </c>
      <c r="F339" s="2">
        <v>429</v>
      </c>
    </row>
    <row r="340" spans="1:6" x14ac:dyDescent="0.25">
      <c r="A340" s="1">
        <v>44421</v>
      </c>
      <c r="B340" s="2">
        <v>429</v>
      </c>
      <c r="C340">
        <f t="shared" si="5"/>
        <v>0</v>
      </c>
      <c r="F340" s="2">
        <v>429</v>
      </c>
    </row>
    <row r="341" spans="1:6" x14ac:dyDescent="0.25">
      <c r="A341" s="1">
        <v>44424</v>
      </c>
      <c r="B341" s="2">
        <v>431</v>
      </c>
      <c r="C341">
        <f t="shared" si="5"/>
        <v>2</v>
      </c>
      <c r="F341" s="2">
        <v>431</v>
      </c>
    </row>
    <row r="342" spans="1:6" x14ac:dyDescent="0.25">
      <c r="A342" s="1">
        <v>44425</v>
      </c>
      <c r="B342" s="2">
        <v>445</v>
      </c>
      <c r="C342">
        <f t="shared" si="5"/>
        <v>14</v>
      </c>
      <c r="F342" s="2">
        <v>445</v>
      </c>
    </row>
    <row r="343" spans="1:6" x14ac:dyDescent="0.25">
      <c r="A343" s="1">
        <v>44426</v>
      </c>
      <c r="B343" s="2">
        <v>475.4</v>
      </c>
      <c r="C343">
        <f t="shared" si="5"/>
        <v>30.399999999999977</v>
      </c>
      <c r="F343" s="2">
        <v>475.4</v>
      </c>
    </row>
    <row r="344" spans="1:6" x14ac:dyDescent="0.25">
      <c r="A344" s="1">
        <v>44427</v>
      </c>
      <c r="B344" s="2">
        <v>490.8</v>
      </c>
      <c r="C344">
        <f t="shared" si="5"/>
        <v>15.400000000000034</v>
      </c>
      <c r="F344" s="2">
        <v>490.8</v>
      </c>
    </row>
    <row r="345" spans="1:6" x14ac:dyDescent="0.25">
      <c r="A345" s="1">
        <v>44428</v>
      </c>
      <c r="B345" s="2">
        <v>454</v>
      </c>
      <c r="C345">
        <f t="shared" si="5"/>
        <v>-36.800000000000011</v>
      </c>
      <c r="F345" s="2">
        <v>454</v>
      </c>
    </row>
    <row r="346" spans="1:6" x14ac:dyDescent="0.25">
      <c r="A346" s="1">
        <v>44431</v>
      </c>
      <c r="B346" s="2">
        <v>438.2</v>
      </c>
      <c r="C346">
        <f t="shared" si="5"/>
        <v>-15.800000000000011</v>
      </c>
      <c r="F346" s="2">
        <v>438.2</v>
      </c>
    </row>
    <row r="347" spans="1:6" x14ac:dyDescent="0.25">
      <c r="A347" s="1">
        <v>44432</v>
      </c>
      <c r="B347" s="2">
        <v>437.2</v>
      </c>
      <c r="C347">
        <f t="shared" si="5"/>
        <v>-1</v>
      </c>
      <c r="F347" s="2">
        <v>437.2</v>
      </c>
    </row>
    <row r="348" spans="1:6" x14ac:dyDescent="0.25">
      <c r="A348" s="1">
        <v>44433</v>
      </c>
      <c r="B348" s="2">
        <v>427.2</v>
      </c>
      <c r="C348">
        <f t="shared" si="5"/>
        <v>-10</v>
      </c>
      <c r="F348" s="2">
        <v>427.2</v>
      </c>
    </row>
    <row r="349" spans="1:6" x14ac:dyDescent="0.25">
      <c r="A349" s="1">
        <v>44434</v>
      </c>
      <c r="B349" s="2">
        <v>445.8</v>
      </c>
      <c r="C349">
        <f t="shared" si="5"/>
        <v>18.600000000000023</v>
      </c>
      <c r="F349" s="2">
        <v>445.8</v>
      </c>
    </row>
    <row r="350" spans="1:6" x14ac:dyDescent="0.25">
      <c r="A350" s="1">
        <v>44435</v>
      </c>
      <c r="B350" s="2">
        <v>422.8</v>
      </c>
      <c r="C350">
        <f t="shared" si="5"/>
        <v>-23</v>
      </c>
      <c r="F350" s="2">
        <v>422.8</v>
      </c>
    </row>
    <row r="351" spans="1:6" x14ac:dyDescent="0.25">
      <c r="A351" s="1">
        <v>44438</v>
      </c>
      <c r="B351" s="2">
        <v>418.4</v>
      </c>
      <c r="C351">
        <f t="shared" si="5"/>
        <v>-4.4000000000000341</v>
      </c>
      <c r="F351" s="2">
        <v>418.4</v>
      </c>
    </row>
    <row r="352" spans="1:6" x14ac:dyDescent="0.25">
      <c r="A352" s="1">
        <v>44439</v>
      </c>
      <c r="B352" s="2">
        <v>417</v>
      </c>
      <c r="C352">
        <f t="shared" si="5"/>
        <v>-1.3999999999999773</v>
      </c>
      <c r="F352" s="2">
        <v>417</v>
      </c>
    </row>
    <row r="353" spans="1:6" x14ac:dyDescent="0.25">
      <c r="A353" s="1">
        <v>44440</v>
      </c>
      <c r="B353" s="2">
        <v>406.2</v>
      </c>
      <c r="C353">
        <f t="shared" si="5"/>
        <v>-10.800000000000011</v>
      </c>
      <c r="F353" s="2">
        <v>406.2</v>
      </c>
    </row>
    <row r="354" spans="1:6" x14ac:dyDescent="0.25">
      <c r="A354" s="1">
        <v>44441</v>
      </c>
      <c r="B354" s="2">
        <v>405.4</v>
      </c>
      <c r="C354">
        <f t="shared" si="5"/>
        <v>-0.80000000000001137</v>
      </c>
      <c r="F354" s="2">
        <v>405.4</v>
      </c>
    </row>
    <row r="355" spans="1:6" x14ac:dyDescent="0.25">
      <c r="A355" s="1">
        <v>44442</v>
      </c>
      <c r="B355" s="2">
        <v>409.2</v>
      </c>
      <c r="C355">
        <f t="shared" si="5"/>
        <v>3.8000000000000114</v>
      </c>
      <c r="F355" s="2">
        <v>409.2</v>
      </c>
    </row>
    <row r="356" spans="1:6" x14ac:dyDescent="0.25">
      <c r="A356" s="1">
        <v>44446</v>
      </c>
      <c r="B356" s="2">
        <v>418.2</v>
      </c>
      <c r="C356">
        <f t="shared" si="5"/>
        <v>9</v>
      </c>
      <c r="F356" s="2">
        <v>418.2</v>
      </c>
    </row>
    <row r="357" spans="1:6" x14ac:dyDescent="0.25">
      <c r="A357" s="1">
        <v>44447</v>
      </c>
      <c r="B357" s="2">
        <v>417.6</v>
      </c>
      <c r="C357">
        <f t="shared" si="5"/>
        <v>-0.59999999999996589</v>
      </c>
      <c r="F357" s="2">
        <v>417.6</v>
      </c>
    </row>
    <row r="358" spans="1:6" x14ac:dyDescent="0.25">
      <c r="A358" s="1">
        <v>44448</v>
      </c>
      <c r="B358" s="2">
        <v>426.8</v>
      </c>
      <c r="C358">
        <f t="shared" si="5"/>
        <v>9.1999999999999886</v>
      </c>
      <c r="F358" s="2">
        <v>426.8</v>
      </c>
    </row>
    <row r="359" spans="1:6" x14ac:dyDescent="0.25">
      <c r="A359" s="1">
        <v>44449</v>
      </c>
      <c r="B359" s="2">
        <v>441</v>
      </c>
      <c r="C359">
        <f t="shared" si="5"/>
        <v>14.199999999999989</v>
      </c>
      <c r="F359" s="2">
        <v>441</v>
      </c>
    </row>
    <row r="360" spans="1:6" x14ac:dyDescent="0.25">
      <c r="A360" s="1">
        <v>44452</v>
      </c>
      <c r="B360" s="2">
        <v>426.8</v>
      </c>
      <c r="C360">
        <f t="shared" si="5"/>
        <v>-14.199999999999989</v>
      </c>
      <c r="F360" s="2">
        <v>426.8</v>
      </c>
    </row>
    <row r="361" spans="1:6" x14ac:dyDescent="0.25">
      <c r="A361" s="1">
        <v>44453</v>
      </c>
      <c r="B361" s="2">
        <v>433.6</v>
      </c>
      <c r="C361">
        <f t="shared" si="5"/>
        <v>6.8000000000000114</v>
      </c>
      <c r="F361" s="2">
        <v>433.6</v>
      </c>
    </row>
    <row r="362" spans="1:6" x14ac:dyDescent="0.25">
      <c r="A362" s="1">
        <v>44454</v>
      </c>
      <c r="B362" s="2">
        <v>416</v>
      </c>
      <c r="C362">
        <f t="shared" si="5"/>
        <v>-17.600000000000023</v>
      </c>
      <c r="F362" s="2">
        <v>416</v>
      </c>
    </row>
    <row r="363" spans="1:6" x14ac:dyDescent="0.25">
      <c r="A363" s="1">
        <v>44455</v>
      </c>
      <c r="B363" s="2">
        <v>411.8</v>
      </c>
      <c r="C363">
        <f t="shared" si="5"/>
        <v>-4.1999999999999886</v>
      </c>
      <c r="F363" s="2">
        <v>411.8</v>
      </c>
    </row>
    <row r="364" spans="1:6" x14ac:dyDescent="0.25">
      <c r="A364" s="1">
        <v>44456</v>
      </c>
      <c r="B364" s="2">
        <v>438.8</v>
      </c>
      <c r="C364">
        <f t="shared" si="5"/>
        <v>27</v>
      </c>
      <c r="F364" s="2">
        <v>438.8</v>
      </c>
    </row>
    <row r="365" spans="1:6" x14ac:dyDescent="0.25">
      <c r="A365" s="1">
        <v>44459</v>
      </c>
      <c r="B365" s="2">
        <v>486.6</v>
      </c>
      <c r="C365">
        <f t="shared" si="5"/>
        <v>47.800000000000011</v>
      </c>
      <c r="F365" s="2">
        <v>486.6</v>
      </c>
    </row>
    <row r="366" spans="1:6" x14ac:dyDescent="0.25">
      <c r="A366" s="1">
        <v>44460</v>
      </c>
      <c r="B366" s="2">
        <v>468.4</v>
      </c>
      <c r="C366">
        <f t="shared" si="5"/>
        <v>-18.200000000000045</v>
      </c>
      <c r="F366" s="2">
        <v>468.4</v>
      </c>
    </row>
    <row r="367" spans="1:6" x14ac:dyDescent="0.25">
      <c r="A367" s="1">
        <v>44461</v>
      </c>
      <c r="B367" s="2">
        <v>442</v>
      </c>
      <c r="C367">
        <f t="shared" si="5"/>
        <v>-26.399999999999977</v>
      </c>
      <c r="F367" s="2">
        <v>442</v>
      </c>
    </row>
    <row r="368" spans="1:6" x14ac:dyDescent="0.25">
      <c r="A368" s="1">
        <v>44462</v>
      </c>
      <c r="B368" s="2">
        <v>414.6</v>
      </c>
      <c r="C368">
        <f t="shared" si="5"/>
        <v>-27.399999999999977</v>
      </c>
      <c r="F368" s="2">
        <v>414.6</v>
      </c>
    </row>
    <row r="369" spans="1:6" x14ac:dyDescent="0.25">
      <c r="A369" s="1">
        <v>44463</v>
      </c>
      <c r="B369" s="2">
        <v>402</v>
      </c>
      <c r="C369">
        <f t="shared" si="5"/>
        <v>-12.600000000000023</v>
      </c>
      <c r="F369" s="2">
        <v>402</v>
      </c>
    </row>
    <row r="370" spans="1:6" x14ac:dyDescent="0.25">
      <c r="A370" s="1">
        <v>44466</v>
      </c>
      <c r="B370" s="2">
        <v>405.6</v>
      </c>
      <c r="C370">
        <f t="shared" si="5"/>
        <v>3.6000000000000227</v>
      </c>
      <c r="F370" s="2">
        <v>405.6</v>
      </c>
    </row>
    <row r="371" spans="1:6" x14ac:dyDescent="0.25">
      <c r="A371" s="1">
        <v>44467</v>
      </c>
      <c r="B371" s="2">
        <v>448.8</v>
      </c>
      <c r="C371">
        <f t="shared" si="5"/>
        <v>43.199999999999989</v>
      </c>
      <c r="F371" s="2">
        <v>448.8</v>
      </c>
    </row>
    <row r="372" spans="1:6" x14ac:dyDescent="0.25">
      <c r="A372" s="1">
        <v>44468</v>
      </c>
      <c r="B372" s="2">
        <v>454.8</v>
      </c>
      <c r="C372">
        <f t="shared" si="5"/>
        <v>6</v>
      </c>
      <c r="F372" s="2">
        <v>454.8</v>
      </c>
    </row>
    <row r="373" spans="1:6" x14ac:dyDescent="0.25">
      <c r="A373" s="1">
        <v>44469</v>
      </c>
      <c r="B373" s="2">
        <v>456</v>
      </c>
      <c r="C373">
        <f t="shared" si="5"/>
        <v>1.1999999999999886</v>
      </c>
      <c r="F373" s="2">
        <v>456</v>
      </c>
    </row>
    <row r="374" spans="1:6" x14ac:dyDescent="0.25">
      <c r="A374" s="1">
        <v>44470</v>
      </c>
      <c r="B374" s="2">
        <v>438.6</v>
      </c>
      <c r="C374">
        <f t="shared" si="5"/>
        <v>-17.399999999999977</v>
      </c>
      <c r="F374" s="2">
        <v>438.6</v>
      </c>
    </row>
    <row r="375" spans="1:6" x14ac:dyDescent="0.25">
      <c r="A375" s="1">
        <v>44473</v>
      </c>
      <c r="B375" s="2">
        <v>451.2</v>
      </c>
      <c r="C375">
        <f t="shared" si="5"/>
        <v>12.599999999999966</v>
      </c>
      <c r="F375" s="2">
        <v>451.2</v>
      </c>
    </row>
    <row r="376" spans="1:6" x14ac:dyDescent="0.25">
      <c r="A376" s="1">
        <v>44474</v>
      </c>
      <c r="B376" s="2">
        <v>434.6</v>
      </c>
      <c r="C376">
        <f t="shared" si="5"/>
        <v>-16.599999999999966</v>
      </c>
      <c r="F376" s="2">
        <v>434.6</v>
      </c>
    </row>
    <row r="377" spans="1:6" x14ac:dyDescent="0.25">
      <c r="A377" s="1">
        <v>44475</v>
      </c>
      <c r="B377" s="2">
        <v>429.6</v>
      </c>
      <c r="C377">
        <f t="shared" si="5"/>
        <v>-5</v>
      </c>
      <c r="F377" s="2">
        <v>429.6</v>
      </c>
    </row>
    <row r="378" spans="1:6" x14ac:dyDescent="0.25">
      <c r="A378" s="1">
        <v>44476</v>
      </c>
      <c r="B378" s="2">
        <v>413.4</v>
      </c>
      <c r="C378">
        <f t="shared" si="5"/>
        <v>-16.200000000000045</v>
      </c>
      <c r="F378" s="2">
        <v>413.4</v>
      </c>
    </row>
    <row r="379" spans="1:6" x14ac:dyDescent="0.25">
      <c r="A379" s="1">
        <v>44477</v>
      </c>
      <c r="B379" s="2">
        <v>405.6</v>
      </c>
      <c r="C379">
        <f t="shared" si="5"/>
        <v>-7.7999999999999545</v>
      </c>
      <c r="F379" s="2">
        <v>405.6</v>
      </c>
    </row>
    <row r="380" spans="1:6" x14ac:dyDescent="0.25">
      <c r="A380" s="1">
        <v>44480</v>
      </c>
      <c r="B380" s="2">
        <v>410.2</v>
      </c>
      <c r="C380">
        <f t="shared" si="5"/>
        <v>4.5999999999999659</v>
      </c>
      <c r="F380" s="2">
        <v>410.2</v>
      </c>
    </row>
    <row r="381" spans="1:6" x14ac:dyDescent="0.25">
      <c r="A381" s="1">
        <v>44481</v>
      </c>
      <c r="B381" s="2">
        <v>402.4</v>
      </c>
      <c r="C381">
        <f t="shared" si="5"/>
        <v>-7.8000000000000114</v>
      </c>
      <c r="F381" s="2">
        <v>402.4</v>
      </c>
    </row>
    <row r="382" spans="1:6" x14ac:dyDescent="0.25">
      <c r="A382" s="1">
        <v>44482</v>
      </c>
      <c r="B382" s="2">
        <v>394.8</v>
      </c>
      <c r="C382">
        <f t="shared" si="5"/>
        <v>-7.5999999999999659</v>
      </c>
      <c r="F382" s="2">
        <v>394.8</v>
      </c>
    </row>
    <row r="383" spans="1:6" x14ac:dyDescent="0.25">
      <c r="A383" s="1">
        <v>44483</v>
      </c>
      <c r="B383" s="2">
        <v>373.4</v>
      </c>
      <c r="C383">
        <f t="shared" si="5"/>
        <v>-21.400000000000034</v>
      </c>
      <c r="F383" s="2">
        <v>373.4</v>
      </c>
    </row>
    <row r="384" spans="1:6" x14ac:dyDescent="0.25">
      <c r="A384" s="1">
        <v>44484</v>
      </c>
      <c r="B384" s="2">
        <v>373.2</v>
      </c>
      <c r="C384">
        <f t="shared" si="5"/>
        <v>-0.19999999999998863</v>
      </c>
      <c r="F384" s="2">
        <v>373.2</v>
      </c>
    </row>
    <row r="385" spans="1:6" x14ac:dyDescent="0.25">
      <c r="A385" s="1">
        <v>44487</v>
      </c>
      <c r="B385" s="2">
        <v>365.6</v>
      </c>
      <c r="C385">
        <f t="shared" si="5"/>
        <v>-7.5999999999999659</v>
      </c>
      <c r="F385" s="2">
        <v>365.6</v>
      </c>
    </row>
    <row r="386" spans="1:6" x14ac:dyDescent="0.25">
      <c r="A386" s="1">
        <v>44488</v>
      </c>
      <c r="B386" s="2">
        <v>362.2</v>
      </c>
      <c r="C386">
        <f t="shared" si="5"/>
        <v>-3.4000000000000341</v>
      </c>
      <c r="F386" s="2">
        <v>362.2</v>
      </c>
    </row>
    <row r="387" spans="1:6" x14ac:dyDescent="0.25">
      <c r="A387" s="1">
        <v>44489</v>
      </c>
      <c r="B387" s="2">
        <v>359.2</v>
      </c>
      <c r="C387">
        <f t="shared" si="5"/>
        <v>-3</v>
      </c>
      <c r="F387" s="2">
        <v>359.2</v>
      </c>
    </row>
    <row r="388" spans="1:6" x14ac:dyDescent="0.25">
      <c r="A388" s="1">
        <v>44490</v>
      </c>
      <c r="B388" s="2">
        <v>347.4</v>
      </c>
      <c r="C388">
        <f t="shared" ref="C388:C451" si="6">(B388-B387)</f>
        <v>-11.800000000000011</v>
      </c>
      <c r="F388" s="2">
        <v>347.4</v>
      </c>
    </row>
    <row r="389" spans="1:6" x14ac:dyDescent="0.25">
      <c r="A389" s="1">
        <v>44491</v>
      </c>
      <c r="B389" s="2">
        <v>354.4</v>
      </c>
      <c r="C389">
        <f t="shared" si="6"/>
        <v>7</v>
      </c>
      <c r="F389" s="2">
        <v>354.4</v>
      </c>
    </row>
    <row r="390" spans="1:6" x14ac:dyDescent="0.25">
      <c r="A390" s="1">
        <v>44494</v>
      </c>
      <c r="B390" s="2">
        <v>344</v>
      </c>
      <c r="C390">
        <f t="shared" si="6"/>
        <v>-10.399999999999977</v>
      </c>
      <c r="F390" s="2">
        <v>344</v>
      </c>
    </row>
    <row r="391" spans="1:6" x14ac:dyDescent="0.25">
      <c r="A391" s="1">
        <v>44495</v>
      </c>
      <c r="B391" s="2">
        <v>350.6</v>
      </c>
      <c r="C391">
        <f t="shared" si="6"/>
        <v>6.6000000000000227</v>
      </c>
      <c r="F391" s="2">
        <v>350.6</v>
      </c>
    </row>
    <row r="392" spans="1:6" x14ac:dyDescent="0.25">
      <c r="A392" s="1">
        <v>44496</v>
      </c>
      <c r="B392" s="2">
        <v>358.8</v>
      </c>
      <c r="C392">
        <f t="shared" si="6"/>
        <v>8.1999999999999886</v>
      </c>
      <c r="F392" s="2">
        <v>358.8</v>
      </c>
    </row>
    <row r="393" spans="1:6" x14ac:dyDescent="0.25">
      <c r="A393" s="1">
        <v>44497</v>
      </c>
      <c r="B393" s="2">
        <v>347.6</v>
      </c>
      <c r="C393">
        <f t="shared" si="6"/>
        <v>-11.199999999999989</v>
      </c>
      <c r="F393" s="2">
        <v>347.6</v>
      </c>
    </row>
    <row r="394" spans="1:6" x14ac:dyDescent="0.25">
      <c r="A394" s="1">
        <v>44498</v>
      </c>
      <c r="B394" s="2">
        <v>349.8</v>
      </c>
      <c r="C394">
        <f t="shared" si="6"/>
        <v>2.1999999999999886</v>
      </c>
      <c r="F394" s="2">
        <v>349.8</v>
      </c>
    </row>
    <row r="395" spans="1:6" x14ac:dyDescent="0.25">
      <c r="A395" s="1">
        <v>44501</v>
      </c>
      <c r="B395" s="2">
        <v>345</v>
      </c>
      <c r="C395">
        <f t="shared" si="6"/>
        <v>-4.8000000000000114</v>
      </c>
      <c r="F395" s="2">
        <v>345</v>
      </c>
    </row>
    <row r="396" spans="1:6" x14ac:dyDescent="0.25">
      <c r="A396" s="1">
        <v>44502</v>
      </c>
      <c r="B396" s="2">
        <v>336</v>
      </c>
      <c r="C396">
        <f t="shared" si="6"/>
        <v>-9</v>
      </c>
      <c r="F396" s="2">
        <v>336</v>
      </c>
    </row>
    <row r="397" spans="1:6" x14ac:dyDescent="0.25">
      <c r="A397" s="1">
        <v>44503</v>
      </c>
      <c r="B397" s="2">
        <v>323.8</v>
      </c>
      <c r="C397">
        <f t="shared" si="6"/>
        <v>-12.199999999999989</v>
      </c>
      <c r="F397" s="2">
        <v>323.8</v>
      </c>
    </row>
    <row r="398" spans="1:6" x14ac:dyDescent="0.25">
      <c r="A398" s="1">
        <v>44504</v>
      </c>
      <c r="B398" s="2">
        <v>328.6</v>
      </c>
      <c r="C398">
        <f t="shared" si="6"/>
        <v>4.8000000000000114</v>
      </c>
      <c r="F398" s="2">
        <v>328.6</v>
      </c>
    </row>
    <row r="399" spans="1:6" x14ac:dyDescent="0.25">
      <c r="A399" s="1">
        <v>44505</v>
      </c>
      <c r="B399" s="2">
        <v>339.8</v>
      </c>
      <c r="C399">
        <f t="shared" si="6"/>
        <v>11.199999999999989</v>
      </c>
      <c r="F399" s="2">
        <v>339.8</v>
      </c>
    </row>
    <row r="400" spans="1:6" x14ac:dyDescent="0.25">
      <c r="A400" s="1">
        <v>44508</v>
      </c>
      <c r="B400" s="2">
        <v>340.6</v>
      </c>
      <c r="C400">
        <f t="shared" si="6"/>
        <v>0.80000000000001137</v>
      </c>
      <c r="F400" s="2">
        <v>340.6</v>
      </c>
    </row>
    <row r="401" spans="1:6" x14ac:dyDescent="0.25">
      <c r="A401" s="1">
        <v>44509</v>
      </c>
      <c r="B401" s="2">
        <v>346.2</v>
      </c>
      <c r="C401">
        <f t="shared" si="6"/>
        <v>5.5999999999999659</v>
      </c>
      <c r="F401" s="2">
        <v>346.2</v>
      </c>
    </row>
    <row r="402" spans="1:6" x14ac:dyDescent="0.25">
      <c r="A402" s="1">
        <v>44510</v>
      </c>
      <c r="B402" s="2">
        <v>352.2</v>
      </c>
      <c r="C402">
        <f t="shared" si="6"/>
        <v>6</v>
      </c>
      <c r="F402" s="2">
        <v>352.2</v>
      </c>
    </row>
    <row r="403" spans="1:6" x14ac:dyDescent="0.25">
      <c r="A403" s="1">
        <v>44511</v>
      </c>
      <c r="B403" s="2">
        <v>345.4</v>
      </c>
      <c r="C403">
        <f t="shared" si="6"/>
        <v>-6.8000000000000114</v>
      </c>
      <c r="F403" s="2">
        <v>345.4</v>
      </c>
    </row>
    <row r="404" spans="1:6" x14ac:dyDescent="0.25">
      <c r="A404" s="1">
        <v>44512</v>
      </c>
      <c r="B404" s="2">
        <v>333.6</v>
      </c>
      <c r="C404">
        <f t="shared" si="6"/>
        <v>-11.799999999999955</v>
      </c>
      <c r="F404" s="2">
        <v>333.6</v>
      </c>
    </row>
    <row r="405" spans="1:6" x14ac:dyDescent="0.25">
      <c r="A405" s="1">
        <v>44515</v>
      </c>
      <c r="B405" s="2">
        <v>329</v>
      </c>
      <c r="C405">
        <f t="shared" si="6"/>
        <v>-4.6000000000000227</v>
      </c>
      <c r="F405" s="2">
        <v>329</v>
      </c>
    </row>
    <row r="406" spans="1:6" x14ac:dyDescent="0.25">
      <c r="A406" s="1">
        <v>44516</v>
      </c>
      <c r="B406" s="2">
        <v>329.8</v>
      </c>
      <c r="C406">
        <f t="shared" si="6"/>
        <v>0.80000000000001137</v>
      </c>
      <c r="F406" s="2">
        <v>329.8</v>
      </c>
    </row>
    <row r="407" spans="1:6" x14ac:dyDescent="0.25">
      <c r="A407" s="1">
        <v>44517</v>
      </c>
      <c r="B407" s="2">
        <v>335.8</v>
      </c>
      <c r="C407">
        <f t="shared" si="6"/>
        <v>6</v>
      </c>
      <c r="F407" s="2">
        <v>335.8</v>
      </c>
    </row>
    <row r="408" spans="1:6" x14ac:dyDescent="0.25">
      <c r="A408" s="1">
        <v>44518</v>
      </c>
      <c r="B408" s="2">
        <v>338.2</v>
      </c>
      <c r="C408">
        <f t="shared" si="6"/>
        <v>2.3999999999999773</v>
      </c>
      <c r="F408" s="2">
        <v>338.2</v>
      </c>
    </row>
    <row r="409" spans="1:6" x14ac:dyDescent="0.25">
      <c r="A409" s="1">
        <v>44519</v>
      </c>
      <c r="B409" s="2">
        <v>342.8</v>
      </c>
      <c r="C409">
        <f t="shared" si="6"/>
        <v>4.6000000000000227</v>
      </c>
      <c r="F409" s="2">
        <v>342.8</v>
      </c>
    </row>
    <row r="410" spans="1:6" x14ac:dyDescent="0.25">
      <c r="A410" s="1">
        <v>44522</v>
      </c>
      <c r="B410" s="2">
        <v>348.4</v>
      </c>
      <c r="C410">
        <f t="shared" si="6"/>
        <v>5.5999999999999659</v>
      </c>
      <c r="F410" s="2">
        <v>348.4</v>
      </c>
    </row>
    <row r="411" spans="1:6" x14ac:dyDescent="0.25">
      <c r="A411" s="1">
        <v>44523</v>
      </c>
      <c r="B411" s="2">
        <v>340.8</v>
      </c>
      <c r="C411">
        <f t="shared" si="6"/>
        <v>-7.5999999999999659</v>
      </c>
      <c r="F411" s="2">
        <v>340.8</v>
      </c>
    </row>
    <row r="412" spans="1:6" x14ac:dyDescent="0.25">
      <c r="A412" s="1">
        <v>44524</v>
      </c>
      <c r="B412" s="2">
        <v>335.8</v>
      </c>
      <c r="C412">
        <f t="shared" si="6"/>
        <v>-5</v>
      </c>
      <c r="F412" s="2">
        <v>335.8</v>
      </c>
    </row>
    <row r="413" spans="1:6" x14ac:dyDescent="0.25">
      <c r="A413" s="1">
        <v>44526</v>
      </c>
      <c r="B413" s="2">
        <v>419.8</v>
      </c>
      <c r="C413">
        <f t="shared" si="6"/>
        <v>84</v>
      </c>
      <c r="F413" s="2">
        <v>419.8</v>
      </c>
    </row>
    <row r="414" spans="1:6" x14ac:dyDescent="0.25">
      <c r="A414" s="1">
        <v>44529</v>
      </c>
      <c r="B414" s="2">
        <v>363</v>
      </c>
      <c r="C414">
        <f t="shared" si="6"/>
        <v>-56.800000000000011</v>
      </c>
      <c r="F414" s="2">
        <v>363</v>
      </c>
    </row>
    <row r="415" spans="1:6" x14ac:dyDescent="0.25">
      <c r="A415" s="1">
        <v>44530</v>
      </c>
      <c r="B415" s="2">
        <v>414</v>
      </c>
      <c r="C415">
        <f t="shared" si="6"/>
        <v>51</v>
      </c>
      <c r="F415" s="2">
        <v>414</v>
      </c>
    </row>
    <row r="416" spans="1:6" x14ac:dyDescent="0.25">
      <c r="A416" s="1">
        <v>44531</v>
      </c>
      <c r="B416" s="2">
        <v>445.8</v>
      </c>
      <c r="C416">
        <f t="shared" si="6"/>
        <v>31.800000000000011</v>
      </c>
      <c r="F416" s="2">
        <v>445.8</v>
      </c>
    </row>
    <row r="417" spans="1:6" x14ac:dyDescent="0.25">
      <c r="A417" s="1">
        <v>44532</v>
      </c>
      <c r="B417" s="2">
        <v>421</v>
      </c>
      <c r="C417">
        <f t="shared" si="6"/>
        <v>-24.800000000000011</v>
      </c>
      <c r="F417" s="2">
        <v>421</v>
      </c>
    </row>
    <row r="418" spans="1:6" x14ac:dyDescent="0.25">
      <c r="A418" s="1">
        <v>44533</v>
      </c>
      <c r="B418" s="2">
        <v>457.8</v>
      </c>
      <c r="C418">
        <f t="shared" si="6"/>
        <v>36.800000000000011</v>
      </c>
      <c r="F418" s="2">
        <v>457.8</v>
      </c>
    </row>
    <row r="419" spans="1:6" x14ac:dyDescent="0.25">
      <c r="A419" s="1">
        <v>44536</v>
      </c>
      <c r="B419" s="2">
        <v>420.8</v>
      </c>
      <c r="C419">
        <f t="shared" si="6"/>
        <v>-37</v>
      </c>
      <c r="F419" s="2">
        <v>420.8</v>
      </c>
    </row>
    <row r="420" spans="1:6" x14ac:dyDescent="0.25">
      <c r="A420" s="1">
        <v>44537</v>
      </c>
      <c r="B420" s="2">
        <v>375.4</v>
      </c>
      <c r="C420">
        <f t="shared" si="6"/>
        <v>-45.400000000000034</v>
      </c>
      <c r="F420" s="2">
        <v>375.4</v>
      </c>
    </row>
    <row r="421" spans="1:6" x14ac:dyDescent="0.25">
      <c r="A421" s="1">
        <v>44538</v>
      </c>
      <c r="B421" s="2">
        <v>353.4</v>
      </c>
      <c r="C421">
        <f t="shared" si="6"/>
        <v>-22</v>
      </c>
      <c r="F421" s="2">
        <v>353.4</v>
      </c>
    </row>
    <row r="422" spans="1:6" x14ac:dyDescent="0.25">
      <c r="A422" s="1">
        <v>44539</v>
      </c>
      <c r="B422" s="2">
        <v>363.2</v>
      </c>
      <c r="C422">
        <f t="shared" si="6"/>
        <v>9.8000000000000114</v>
      </c>
      <c r="F422" s="2">
        <v>363.2</v>
      </c>
    </row>
    <row r="423" spans="1:6" x14ac:dyDescent="0.25">
      <c r="A423" s="1">
        <v>44540</v>
      </c>
      <c r="B423" s="2">
        <v>339.6</v>
      </c>
      <c r="C423">
        <f t="shared" si="6"/>
        <v>-23.599999999999966</v>
      </c>
      <c r="F423" s="2">
        <v>339.6</v>
      </c>
    </row>
    <row r="424" spans="1:6" x14ac:dyDescent="0.25">
      <c r="A424" s="1">
        <v>44543</v>
      </c>
      <c r="B424" s="2">
        <v>353.2</v>
      </c>
      <c r="C424">
        <f t="shared" si="6"/>
        <v>13.599999999999966</v>
      </c>
      <c r="F424" s="2">
        <v>353.2</v>
      </c>
    </row>
    <row r="425" spans="1:6" x14ac:dyDescent="0.25">
      <c r="A425" s="1">
        <v>44544</v>
      </c>
      <c r="B425" s="2">
        <v>359.4</v>
      </c>
      <c r="C425">
        <f t="shared" si="6"/>
        <v>6.1999999999999886</v>
      </c>
      <c r="F425" s="2">
        <v>359.4</v>
      </c>
    </row>
    <row r="426" spans="1:6" x14ac:dyDescent="0.25">
      <c r="A426" s="1">
        <v>44545</v>
      </c>
      <c r="B426" s="2">
        <v>333.6</v>
      </c>
      <c r="C426">
        <f t="shared" si="6"/>
        <v>-25.799999999999955</v>
      </c>
      <c r="F426" s="2">
        <v>333.6</v>
      </c>
    </row>
    <row r="427" spans="1:6" x14ac:dyDescent="0.25">
      <c r="A427" s="1">
        <v>44546</v>
      </c>
      <c r="B427" s="2">
        <v>348</v>
      </c>
      <c r="C427">
        <f t="shared" si="6"/>
        <v>14.399999999999977</v>
      </c>
      <c r="F427" s="2">
        <v>348</v>
      </c>
    </row>
    <row r="428" spans="1:6" x14ac:dyDescent="0.25">
      <c r="A428" s="1">
        <v>44547</v>
      </c>
      <c r="B428" s="2">
        <v>359.2</v>
      </c>
      <c r="C428">
        <f t="shared" si="6"/>
        <v>11.199999999999989</v>
      </c>
      <c r="F428" s="2">
        <v>359.2</v>
      </c>
    </row>
    <row r="429" spans="1:6" x14ac:dyDescent="0.25">
      <c r="A429" s="1">
        <v>44550</v>
      </c>
      <c r="B429" s="2">
        <v>371.6</v>
      </c>
      <c r="C429">
        <f t="shared" si="6"/>
        <v>12.400000000000034</v>
      </c>
      <c r="F429" s="2">
        <v>371.6</v>
      </c>
    </row>
    <row r="430" spans="1:6" x14ac:dyDescent="0.25">
      <c r="A430" s="1">
        <v>44551</v>
      </c>
      <c r="B430" s="2">
        <v>353.8</v>
      </c>
      <c r="C430">
        <f t="shared" si="6"/>
        <v>-17.800000000000011</v>
      </c>
      <c r="F430" s="2">
        <v>353.8</v>
      </c>
    </row>
    <row r="431" spans="1:6" x14ac:dyDescent="0.25">
      <c r="A431" s="1">
        <v>44552</v>
      </c>
      <c r="B431" s="2">
        <v>333.8</v>
      </c>
      <c r="C431">
        <f t="shared" si="6"/>
        <v>-20</v>
      </c>
      <c r="F431" s="2">
        <v>333.8</v>
      </c>
    </row>
    <row r="432" spans="1:6" x14ac:dyDescent="0.25">
      <c r="A432" s="1">
        <v>44553</v>
      </c>
      <c r="B432" s="2">
        <v>329.6</v>
      </c>
      <c r="C432">
        <f t="shared" si="6"/>
        <v>-4.1999999999999886</v>
      </c>
      <c r="F432" s="2">
        <v>329.6</v>
      </c>
    </row>
    <row r="433" spans="1:6" x14ac:dyDescent="0.25">
      <c r="A433" s="1">
        <v>44557</v>
      </c>
      <c r="B433" s="2">
        <v>322</v>
      </c>
      <c r="C433">
        <f t="shared" si="6"/>
        <v>-7.6000000000000227</v>
      </c>
      <c r="F433" s="2">
        <v>322</v>
      </c>
    </row>
    <row r="434" spans="1:6" x14ac:dyDescent="0.25">
      <c r="A434" s="1">
        <v>44558</v>
      </c>
      <c r="B434" s="2">
        <v>313.8</v>
      </c>
      <c r="C434">
        <f t="shared" si="6"/>
        <v>-8.1999999999999886</v>
      </c>
      <c r="F434" s="2">
        <v>313.8</v>
      </c>
    </row>
    <row r="435" spans="1:6" x14ac:dyDescent="0.25">
      <c r="A435" s="1">
        <v>44559</v>
      </c>
      <c r="B435" s="2">
        <v>306</v>
      </c>
      <c r="C435">
        <f t="shared" si="6"/>
        <v>-7.8000000000000114</v>
      </c>
      <c r="F435" s="2">
        <v>306</v>
      </c>
    </row>
    <row r="436" spans="1:6" x14ac:dyDescent="0.25">
      <c r="A436" s="1">
        <v>44560</v>
      </c>
      <c r="B436" s="2">
        <v>305.8</v>
      </c>
      <c r="C436">
        <f t="shared" si="6"/>
        <v>-0.19999999999998863</v>
      </c>
      <c r="F436" s="2">
        <v>305.8</v>
      </c>
    </row>
    <row r="437" spans="1:6" x14ac:dyDescent="0.25">
      <c r="A437" s="1">
        <v>44561</v>
      </c>
      <c r="B437" s="2">
        <v>303.39999999999998</v>
      </c>
      <c r="C437">
        <f t="shared" si="6"/>
        <v>-2.4000000000000341</v>
      </c>
      <c r="F437" s="2">
        <v>303.39999999999998</v>
      </c>
    </row>
    <row r="438" spans="1:6" x14ac:dyDescent="0.25">
      <c r="A438" s="1">
        <v>44564</v>
      </c>
      <c r="B438" s="2">
        <v>292.39999999999998</v>
      </c>
      <c r="C438">
        <f t="shared" si="6"/>
        <v>-11</v>
      </c>
      <c r="F438" s="2">
        <v>292.39999999999998</v>
      </c>
    </row>
    <row r="439" spans="1:6" x14ac:dyDescent="0.25">
      <c r="A439" s="1">
        <v>44565</v>
      </c>
      <c r="B439" s="2">
        <v>292.2</v>
      </c>
      <c r="C439">
        <f t="shared" si="6"/>
        <v>-0.19999999999998863</v>
      </c>
      <c r="F439" s="2">
        <v>292.2</v>
      </c>
    </row>
    <row r="440" spans="1:6" x14ac:dyDescent="0.25">
      <c r="A440" s="1">
        <v>44566</v>
      </c>
      <c r="B440" s="2">
        <v>314.60000000000002</v>
      </c>
      <c r="C440">
        <f t="shared" si="6"/>
        <v>22.400000000000034</v>
      </c>
      <c r="F440" s="2">
        <v>314.60000000000002</v>
      </c>
    </row>
    <row r="441" spans="1:6" x14ac:dyDescent="0.25">
      <c r="A441" s="1">
        <v>44567</v>
      </c>
      <c r="B441" s="2">
        <v>316.8</v>
      </c>
      <c r="C441">
        <f t="shared" si="6"/>
        <v>2.1999999999999886</v>
      </c>
      <c r="F441" s="2">
        <v>316.8</v>
      </c>
    </row>
    <row r="442" spans="1:6" x14ac:dyDescent="0.25">
      <c r="A442" s="1">
        <v>44568</v>
      </c>
      <c r="B442" s="2">
        <v>307.60000000000002</v>
      </c>
      <c r="C442">
        <f t="shared" si="6"/>
        <v>-9.1999999999999886</v>
      </c>
      <c r="F442" s="2">
        <v>307.60000000000002</v>
      </c>
    </row>
    <row r="443" spans="1:6" x14ac:dyDescent="0.25">
      <c r="A443" s="1">
        <v>44571</v>
      </c>
      <c r="B443" s="2">
        <v>301.8</v>
      </c>
      <c r="C443">
        <f t="shared" si="6"/>
        <v>-5.8000000000000114</v>
      </c>
      <c r="F443" s="2">
        <v>301.8</v>
      </c>
    </row>
    <row r="444" spans="1:6" x14ac:dyDescent="0.25">
      <c r="A444" s="1">
        <v>44572</v>
      </c>
      <c r="B444" s="2">
        <v>291.39999999999998</v>
      </c>
      <c r="C444">
        <f t="shared" si="6"/>
        <v>-10.400000000000034</v>
      </c>
      <c r="F444" s="2">
        <v>291.39999999999998</v>
      </c>
    </row>
    <row r="445" spans="1:6" x14ac:dyDescent="0.25">
      <c r="A445" s="1">
        <v>44573</v>
      </c>
      <c r="B445" s="2">
        <v>288.39999999999998</v>
      </c>
      <c r="C445">
        <f t="shared" si="6"/>
        <v>-3</v>
      </c>
      <c r="F445" s="2">
        <v>288.39999999999998</v>
      </c>
    </row>
    <row r="446" spans="1:6" x14ac:dyDescent="0.25">
      <c r="A446" s="1">
        <v>44574</v>
      </c>
      <c r="B446" s="2">
        <v>306.60000000000002</v>
      </c>
      <c r="C446">
        <f t="shared" si="6"/>
        <v>18.200000000000045</v>
      </c>
      <c r="F446" s="2">
        <v>306.60000000000002</v>
      </c>
    </row>
    <row r="447" spans="1:6" x14ac:dyDescent="0.25">
      <c r="A447" s="1">
        <v>44575</v>
      </c>
      <c r="B447" s="2">
        <v>301.60000000000002</v>
      </c>
      <c r="C447">
        <f t="shared" si="6"/>
        <v>-5</v>
      </c>
      <c r="F447" s="2">
        <v>301.60000000000002</v>
      </c>
    </row>
    <row r="448" spans="1:6" x14ac:dyDescent="0.25">
      <c r="A448" s="1">
        <v>44579</v>
      </c>
      <c r="B448" s="2">
        <v>324.8</v>
      </c>
      <c r="C448">
        <f t="shared" si="6"/>
        <v>23.199999999999989</v>
      </c>
      <c r="F448" s="2">
        <v>324.8</v>
      </c>
    </row>
    <row r="449" spans="1:6" x14ac:dyDescent="0.25">
      <c r="A449" s="1">
        <v>44580</v>
      </c>
      <c r="B449" s="2">
        <v>332.8</v>
      </c>
      <c r="C449">
        <f t="shared" si="6"/>
        <v>8</v>
      </c>
      <c r="F449" s="2">
        <v>332.8</v>
      </c>
    </row>
    <row r="450" spans="1:6" x14ac:dyDescent="0.25">
      <c r="A450" s="1">
        <v>44581</v>
      </c>
      <c r="B450" s="2">
        <v>347</v>
      </c>
      <c r="C450">
        <f t="shared" si="6"/>
        <v>14.199999999999989</v>
      </c>
      <c r="F450" s="2">
        <v>347</v>
      </c>
    </row>
    <row r="451" spans="1:6" x14ac:dyDescent="0.25">
      <c r="A451" s="1">
        <v>44582</v>
      </c>
      <c r="B451" s="2">
        <v>379.2</v>
      </c>
      <c r="C451">
        <f t="shared" si="6"/>
        <v>32.199999999999989</v>
      </c>
      <c r="F451" s="2">
        <v>379.2</v>
      </c>
    </row>
    <row r="452" spans="1:6" x14ac:dyDescent="0.25">
      <c r="A452" s="1">
        <v>44585</v>
      </c>
      <c r="B452" s="2">
        <v>387.4</v>
      </c>
      <c r="C452">
        <f t="shared" ref="C452:C515" si="7">(B452-B451)</f>
        <v>8.1999999999999886</v>
      </c>
      <c r="F452" s="2">
        <v>387.4</v>
      </c>
    </row>
    <row r="453" spans="1:6" x14ac:dyDescent="0.25">
      <c r="A453" s="1">
        <v>44586</v>
      </c>
      <c r="B453" s="2">
        <v>390.6</v>
      </c>
      <c r="C453">
        <f t="shared" si="7"/>
        <v>3.2000000000000455</v>
      </c>
      <c r="F453" s="2">
        <v>390.6</v>
      </c>
    </row>
    <row r="454" spans="1:6" x14ac:dyDescent="0.25">
      <c r="A454" s="1">
        <v>44587</v>
      </c>
      <c r="B454" s="2">
        <v>396.8</v>
      </c>
      <c r="C454">
        <f t="shared" si="7"/>
        <v>6.1999999999999886</v>
      </c>
      <c r="F454" s="2">
        <v>396.8</v>
      </c>
    </row>
    <row r="455" spans="1:6" x14ac:dyDescent="0.25">
      <c r="A455" s="1">
        <v>44588</v>
      </c>
      <c r="B455" s="2">
        <v>400.2</v>
      </c>
      <c r="C455">
        <f t="shared" si="7"/>
        <v>3.3999999999999773</v>
      </c>
      <c r="F455" s="2">
        <v>400.2</v>
      </c>
    </row>
    <row r="456" spans="1:6" x14ac:dyDescent="0.25">
      <c r="A456" s="1">
        <v>44589</v>
      </c>
      <c r="B456" s="2">
        <v>374.6</v>
      </c>
      <c r="C456">
        <f t="shared" si="7"/>
        <v>-25.599999999999966</v>
      </c>
      <c r="F456" s="2">
        <v>374.6</v>
      </c>
    </row>
    <row r="457" spans="1:6" x14ac:dyDescent="0.25">
      <c r="A457" s="1">
        <v>44592</v>
      </c>
      <c r="B457" s="2">
        <v>349.6</v>
      </c>
      <c r="C457">
        <f t="shared" si="7"/>
        <v>-25</v>
      </c>
      <c r="F457" s="2">
        <v>349.6</v>
      </c>
    </row>
    <row r="458" spans="1:6" x14ac:dyDescent="0.25">
      <c r="A458" s="1">
        <v>44593</v>
      </c>
      <c r="B458" s="2">
        <v>323.8</v>
      </c>
      <c r="C458">
        <f t="shared" si="7"/>
        <v>-25.800000000000011</v>
      </c>
      <c r="F458" s="2">
        <v>323.8</v>
      </c>
    </row>
    <row r="459" spans="1:6" x14ac:dyDescent="0.25">
      <c r="A459" s="1">
        <v>44594</v>
      </c>
      <c r="B459" s="2">
        <v>317.39999999999998</v>
      </c>
      <c r="C459">
        <f t="shared" si="7"/>
        <v>-6.4000000000000341</v>
      </c>
      <c r="F459" s="2">
        <v>317.39999999999998</v>
      </c>
    </row>
    <row r="460" spans="1:6" x14ac:dyDescent="0.25">
      <c r="A460" s="1">
        <v>44595</v>
      </c>
      <c r="B460" s="2">
        <v>355.6</v>
      </c>
      <c r="C460">
        <f t="shared" si="7"/>
        <v>38.200000000000045</v>
      </c>
      <c r="F460" s="2">
        <v>355.6</v>
      </c>
    </row>
    <row r="461" spans="1:6" x14ac:dyDescent="0.25">
      <c r="A461" s="1">
        <v>44596</v>
      </c>
      <c r="B461" s="2">
        <v>343.2</v>
      </c>
      <c r="C461">
        <f t="shared" si="7"/>
        <v>-12.400000000000034</v>
      </c>
      <c r="F461" s="2">
        <v>343.2</v>
      </c>
    </row>
    <row r="462" spans="1:6" x14ac:dyDescent="0.25">
      <c r="A462" s="1">
        <v>44599</v>
      </c>
      <c r="B462" s="2">
        <v>334</v>
      </c>
      <c r="C462">
        <f t="shared" si="7"/>
        <v>-9.1999999999999886</v>
      </c>
      <c r="F462" s="2">
        <v>334</v>
      </c>
    </row>
    <row r="463" spans="1:6" x14ac:dyDescent="0.25">
      <c r="A463" s="1">
        <v>44600</v>
      </c>
      <c r="B463" s="2">
        <v>318.60000000000002</v>
      </c>
      <c r="C463">
        <f t="shared" si="7"/>
        <v>-15.399999999999977</v>
      </c>
      <c r="F463" s="2">
        <v>318.60000000000002</v>
      </c>
    </row>
    <row r="464" spans="1:6" x14ac:dyDescent="0.25">
      <c r="A464" s="1">
        <v>44601</v>
      </c>
      <c r="B464" s="2">
        <v>306.39999999999998</v>
      </c>
      <c r="C464">
        <f t="shared" si="7"/>
        <v>-12.200000000000045</v>
      </c>
      <c r="F464" s="2">
        <v>306.39999999999998</v>
      </c>
    </row>
    <row r="465" spans="1:6" x14ac:dyDescent="0.25">
      <c r="A465" s="1">
        <v>44602</v>
      </c>
      <c r="B465" s="2">
        <v>334.8</v>
      </c>
      <c r="C465">
        <f t="shared" si="7"/>
        <v>28.400000000000034</v>
      </c>
      <c r="F465" s="2">
        <v>334.8</v>
      </c>
    </row>
    <row r="466" spans="1:6" x14ac:dyDescent="0.25">
      <c r="A466" s="1">
        <v>44603</v>
      </c>
      <c r="B466" s="2">
        <v>379.2</v>
      </c>
      <c r="C466">
        <f t="shared" si="7"/>
        <v>44.399999999999977</v>
      </c>
      <c r="F466" s="2">
        <v>379.2</v>
      </c>
    </row>
    <row r="467" spans="1:6" x14ac:dyDescent="0.25">
      <c r="A467" s="1">
        <v>44606</v>
      </c>
      <c r="B467" s="2">
        <v>379.2</v>
      </c>
      <c r="C467">
        <f t="shared" si="7"/>
        <v>0</v>
      </c>
      <c r="F467" s="2">
        <v>379.2</v>
      </c>
    </row>
    <row r="468" spans="1:6" x14ac:dyDescent="0.25">
      <c r="A468" s="1">
        <v>44607</v>
      </c>
      <c r="B468" s="2">
        <v>349</v>
      </c>
      <c r="C468">
        <f t="shared" si="7"/>
        <v>-30.199999999999989</v>
      </c>
      <c r="F468" s="2">
        <v>349</v>
      </c>
    </row>
    <row r="469" spans="1:6" x14ac:dyDescent="0.25">
      <c r="A469" s="1">
        <v>44608</v>
      </c>
      <c r="B469" s="2">
        <v>335.4</v>
      </c>
      <c r="C469">
        <f t="shared" si="7"/>
        <v>-13.600000000000023</v>
      </c>
      <c r="F469" s="2">
        <v>335.4</v>
      </c>
    </row>
    <row r="470" spans="1:6" x14ac:dyDescent="0.25">
      <c r="A470" s="1">
        <v>44609</v>
      </c>
      <c r="B470" s="2">
        <v>374</v>
      </c>
      <c r="C470">
        <f t="shared" si="7"/>
        <v>38.600000000000023</v>
      </c>
      <c r="F470" s="2">
        <v>374</v>
      </c>
    </row>
    <row r="471" spans="1:6" x14ac:dyDescent="0.25">
      <c r="A471" s="1">
        <v>44610</v>
      </c>
      <c r="B471" s="2">
        <v>383.8</v>
      </c>
      <c r="C471">
        <f t="shared" si="7"/>
        <v>9.8000000000000114</v>
      </c>
      <c r="F471" s="2">
        <v>383.8</v>
      </c>
    </row>
    <row r="472" spans="1:6" x14ac:dyDescent="0.25">
      <c r="A472" s="1">
        <v>44614</v>
      </c>
      <c r="B472" s="2">
        <v>381.8</v>
      </c>
      <c r="C472">
        <f t="shared" si="7"/>
        <v>-2</v>
      </c>
      <c r="F472" s="2">
        <v>381.8</v>
      </c>
    </row>
    <row r="473" spans="1:6" x14ac:dyDescent="0.25">
      <c r="A473" s="1">
        <v>44615</v>
      </c>
      <c r="B473" s="2">
        <v>403</v>
      </c>
      <c r="C473">
        <f t="shared" si="7"/>
        <v>21.199999999999989</v>
      </c>
      <c r="F473" s="2">
        <v>403</v>
      </c>
    </row>
    <row r="474" spans="1:6" x14ac:dyDescent="0.25">
      <c r="A474" s="1">
        <v>44616</v>
      </c>
      <c r="B474" s="2">
        <v>390.4</v>
      </c>
      <c r="C474">
        <f t="shared" si="7"/>
        <v>-12.600000000000023</v>
      </c>
      <c r="F474" s="2">
        <v>390.4</v>
      </c>
    </row>
    <row r="475" spans="1:6" x14ac:dyDescent="0.25">
      <c r="A475" s="1">
        <v>44617</v>
      </c>
      <c r="B475" s="2">
        <v>374.4</v>
      </c>
      <c r="C475">
        <f t="shared" si="7"/>
        <v>-16</v>
      </c>
      <c r="F475" s="2">
        <v>374.4</v>
      </c>
    </row>
    <row r="476" spans="1:6" x14ac:dyDescent="0.25">
      <c r="A476" s="1">
        <v>44620</v>
      </c>
      <c r="B476" s="2">
        <v>393</v>
      </c>
      <c r="C476">
        <f t="shared" si="7"/>
        <v>18.600000000000023</v>
      </c>
      <c r="F476" s="2">
        <v>393</v>
      </c>
    </row>
    <row r="477" spans="1:6" x14ac:dyDescent="0.25">
      <c r="A477" s="1">
        <v>44621</v>
      </c>
      <c r="B477" s="2">
        <v>435.2</v>
      </c>
      <c r="C477">
        <f t="shared" si="7"/>
        <v>42.199999999999989</v>
      </c>
      <c r="F477" s="2">
        <v>435.2</v>
      </c>
    </row>
    <row r="478" spans="1:6" x14ac:dyDescent="0.25">
      <c r="A478" s="1">
        <v>44622</v>
      </c>
      <c r="B478" s="2">
        <v>408</v>
      </c>
      <c r="C478">
        <f t="shared" si="7"/>
        <v>-27.199999999999989</v>
      </c>
      <c r="F478" s="2">
        <v>408</v>
      </c>
    </row>
    <row r="479" spans="1:6" x14ac:dyDescent="0.25">
      <c r="A479" s="1">
        <v>44623</v>
      </c>
      <c r="B479" s="2">
        <v>410</v>
      </c>
      <c r="C479">
        <f t="shared" si="7"/>
        <v>2</v>
      </c>
      <c r="F479" s="2">
        <v>410</v>
      </c>
    </row>
    <row r="480" spans="1:6" x14ac:dyDescent="0.25">
      <c r="A480" s="1">
        <v>44624</v>
      </c>
      <c r="B480" s="2">
        <v>427</v>
      </c>
      <c r="C480">
        <f t="shared" si="7"/>
        <v>17</v>
      </c>
      <c r="F480" s="2">
        <v>427</v>
      </c>
    </row>
    <row r="481" spans="1:6" x14ac:dyDescent="0.25">
      <c r="A481" s="1">
        <v>44627</v>
      </c>
      <c r="B481" s="2">
        <v>464.8</v>
      </c>
      <c r="C481">
        <f t="shared" si="7"/>
        <v>37.800000000000011</v>
      </c>
      <c r="F481" s="2">
        <v>464.8</v>
      </c>
    </row>
    <row r="482" spans="1:6" x14ac:dyDescent="0.25">
      <c r="A482" s="1">
        <v>44628</v>
      </c>
      <c r="B482" s="2">
        <v>460.2</v>
      </c>
      <c r="C482">
        <f t="shared" si="7"/>
        <v>-4.6000000000000227</v>
      </c>
      <c r="F482" s="2">
        <v>460.2</v>
      </c>
    </row>
    <row r="483" spans="1:6" x14ac:dyDescent="0.25">
      <c r="A483" s="1">
        <v>44629</v>
      </c>
      <c r="B483" s="2">
        <v>441.4</v>
      </c>
      <c r="C483">
        <f t="shared" si="7"/>
        <v>-18.800000000000011</v>
      </c>
      <c r="F483" s="2">
        <v>441.4</v>
      </c>
    </row>
    <row r="484" spans="1:6" x14ac:dyDescent="0.25">
      <c r="A484" s="1">
        <v>44630</v>
      </c>
      <c r="B484" s="2">
        <v>422.2</v>
      </c>
      <c r="C484">
        <f t="shared" si="7"/>
        <v>-19.199999999999989</v>
      </c>
      <c r="F484" s="2">
        <v>422.2</v>
      </c>
    </row>
    <row r="485" spans="1:6" x14ac:dyDescent="0.25">
      <c r="A485" s="1">
        <v>44631</v>
      </c>
      <c r="B485" s="2">
        <v>430.2</v>
      </c>
      <c r="C485">
        <f t="shared" si="7"/>
        <v>8</v>
      </c>
      <c r="F485" s="2">
        <v>430.2</v>
      </c>
    </row>
    <row r="486" spans="1:6" x14ac:dyDescent="0.25">
      <c r="A486" s="1">
        <v>44634</v>
      </c>
      <c r="B486" s="2">
        <v>444</v>
      </c>
      <c r="C486">
        <f t="shared" si="7"/>
        <v>13.800000000000011</v>
      </c>
      <c r="F486" s="2">
        <v>444</v>
      </c>
    </row>
    <row r="487" spans="1:6" x14ac:dyDescent="0.25">
      <c r="A487" s="1">
        <v>44635</v>
      </c>
      <c r="B487" s="2">
        <v>429.4</v>
      </c>
      <c r="C487">
        <f t="shared" si="7"/>
        <v>-14.600000000000023</v>
      </c>
      <c r="F487" s="2">
        <v>429.4</v>
      </c>
    </row>
    <row r="488" spans="1:6" x14ac:dyDescent="0.25">
      <c r="A488" s="1">
        <v>44636</v>
      </c>
      <c r="B488" s="2">
        <v>385.2</v>
      </c>
      <c r="C488">
        <f t="shared" si="7"/>
        <v>-44.199999999999989</v>
      </c>
      <c r="F488" s="2">
        <v>385.2</v>
      </c>
    </row>
    <row r="489" spans="1:6" x14ac:dyDescent="0.25">
      <c r="A489" s="1">
        <v>44637</v>
      </c>
      <c r="B489" s="2">
        <v>379.2</v>
      </c>
      <c r="C489">
        <f t="shared" si="7"/>
        <v>-6</v>
      </c>
      <c r="F489" s="2">
        <v>379.2</v>
      </c>
    </row>
    <row r="490" spans="1:6" x14ac:dyDescent="0.25">
      <c r="A490" s="1">
        <v>44638</v>
      </c>
      <c r="B490" s="2">
        <v>361.4</v>
      </c>
      <c r="C490">
        <f t="shared" si="7"/>
        <v>-17.800000000000011</v>
      </c>
      <c r="F490" s="2">
        <v>361.4</v>
      </c>
    </row>
    <row r="491" spans="1:6" x14ac:dyDescent="0.25">
      <c r="A491" s="1">
        <v>44641</v>
      </c>
      <c r="B491" s="2">
        <v>357.6</v>
      </c>
      <c r="C491">
        <f t="shared" si="7"/>
        <v>-3.7999999999999545</v>
      </c>
      <c r="F491" s="2">
        <v>357.6</v>
      </c>
    </row>
    <row r="492" spans="1:6" x14ac:dyDescent="0.25">
      <c r="A492" s="1">
        <v>44642</v>
      </c>
      <c r="B492" s="2">
        <v>351</v>
      </c>
      <c r="C492">
        <f t="shared" si="7"/>
        <v>-6.6000000000000227</v>
      </c>
      <c r="F492" s="2">
        <v>351</v>
      </c>
    </row>
    <row r="493" spans="1:6" x14ac:dyDescent="0.25">
      <c r="A493" s="1">
        <v>44643</v>
      </c>
      <c r="B493" s="2">
        <v>350.4</v>
      </c>
      <c r="C493">
        <f t="shared" si="7"/>
        <v>-0.60000000000002274</v>
      </c>
      <c r="F493" s="2">
        <v>350.4</v>
      </c>
    </row>
    <row r="494" spans="1:6" x14ac:dyDescent="0.25">
      <c r="A494" s="1">
        <v>44644</v>
      </c>
      <c r="B494" s="2">
        <v>342.4</v>
      </c>
      <c r="C494">
        <f t="shared" si="7"/>
        <v>-8</v>
      </c>
      <c r="F494" s="2">
        <v>342.4</v>
      </c>
    </row>
    <row r="495" spans="1:6" x14ac:dyDescent="0.25">
      <c r="A495" s="1">
        <v>44645</v>
      </c>
      <c r="B495" s="2">
        <v>332.6</v>
      </c>
      <c r="C495">
        <f t="shared" si="7"/>
        <v>-9.7999999999999545</v>
      </c>
      <c r="F495" s="2">
        <v>332.6</v>
      </c>
    </row>
    <row r="496" spans="1:6" x14ac:dyDescent="0.25">
      <c r="A496" s="1">
        <v>44648</v>
      </c>
      <c r="B496" s="2">
        <v>327.60000000000002</v>
      </c>
      <c r="C496">
        <f t="shared" si="7"/>
        <v>-5</v>
      </c>
      <c r="F496" s="2">
        <v>327.60000000000002</v>
      </c>
    </row>
    <row r="497" spans="1:6" x14ac:dyDescent="0.25">
      <c r="A497" s="1">
        <v>44649</v>
      </c>
      <c r="B497" s="2">
        <v>312.39999999999998</v>
      </c>
      <c r="C497">
        <f t="shared" si="7"/>
        <v>-15.200000000000045</v>
      </c>
      <c r="F497" s="2">
        <v>312.39999999999998</v>
      </c>
    </row>
    <row r="498" spans="1:6" x14ac:dyDescent="0.25">
      <c r="A498" s="1">
        <v>44650</v>
      </c>
      <c r="B498" s="2">
        <v>315.8</v>
      </c>
      <c r="C498">
        <f t="shared" si="7"/>
        <v>3.4000000000000341</v>
      </c>
      <c r="F498" s="2">
        <v>315.8</v>
      </c>
    </row>
    <row r="499" spans="1:6" x14ac:dyDescent="0.25">
      <c r="A499" s="1">
        <v>44651</v>
      </c>
      <c r="B499" s="2">
        <v>331.4</v>
      </c>
      <c r="C499">
        <f t="shared" si="7"/>
        <v>15.599999999999966</v>
      </c>
      <c r="F499" s="2">
        <v>331.4</v>
      </c>
    </row>
    <row r="500" spans="1:6" x14ac:dyDescent="0.25">
      <c r="A500" s="1">
        <v>44652</v>
      </c>
      <c r="B500" s="2">
        <v>320</v>
      </c>
      <c r="C500">
        <f t="shared" si="7"/>
        <v>-11.399999999999977</v>
      </c>
      <c r="F500" s="2">
        <v>320</v>
      </c>
    </row>
    <row r="501" spans="1:6" x14ac:dyDescent="0.25">
      <c r="A501" s="1">
        <v>44655</v>
      </c>
      <c r="B501" s="2">
        <v>302.8</v>
      </c>
      <c r="C501">
        <f t="shared" si="7"/>
        <v>-17.199999999999989</v>
      </c>
      <c r="F501" s="2">
        <v>302.8</v>
      </c>
    </row>
    <row r="502" spans="1:6" x14ac:dyDescent="0.25">
      <c r="A502" s="1">
        <v>44656</v>
      </c>
      <c r="B502" s="2">
        <v>328.4</v>
      </c>
      <c r="C502">
        <f t="shared" si="7"/>
        <v>25.599999999999966</v>
      </c>
      <c r="F502" s="2">
        <v>328.4</v>
      </c>
    </row>
    <row r="503" spans="1:6" x14ac:dyDescent="0.25">
      <c r="A503" s="1">
        <v>44657</v>
      </c>
      <c r="B503" s="2">
        <v>336</v>
      </c>
      <c r="C503">
        <f t="shared" si="7"/>
        <v>7.6000000000000227</v>
      </c>
      <c r="F503" s="2">
        <v>336</v>
      </c>
    </row>
    <row r="504" spans="1:6" x14ac:dyDescent="0.25">
      <c r="A504" s="1">
        <v>44658</v>
      </c>
      <c r="B504" s="2">
        <v>326.2</v>
      </c>
      <c r="C504">
        <f t="shared" si="7"/>
        <v>-9.8000000000000114</v>
      </c>
      <c r="F504" s="2">
        <v>326.2</v>
      </c>
    </row>
    <row r="505" spans="1:6" x14ac:dyDescent="0.25">
      <c r="A505" s="1">
        <v>44659</v>
      </c>
      <c r="B505" s="2">
        <v>326.2</v>
      </c>
      <c r="C505">
        <f t="shared" si="7"/>
        <v>0</v>
      </c>
      <c r="F505" s="2">
        <v>326.2</v>
      </c>
    </row>
    <row r="506" spans="1:6" x14ac:dyDescent="0.25">
      <c r="A506" s="1">
        <v>44662</v>
      </c>
      <c r="B506" s="2">
        <v>344.8</v>
      </c>
      <c r="C506">
        <f t="shared" si="7"/>
        <v>18.600000000000023</v>
      </c>
      <c r="F506" s="2">
        <v>344.8</v>
      </c>
    </row>
    <row r="507" spans="1:6" x14ac:dyDescent="0.25">
      <c r="A507" s="1">
        <v>44663</v>
      </c>
      <c r="B507" s="2">
        <v>348</v>
      </c>
      <c r="C507">
        <f t="shared" si="7"/>
        <v>3.1999999999999886</v>
      </c>
      <c r="F507" s="2">
        <v>348</v>
      </c>
    </row>
    <row r="508" spans="1:6" x14ac:dyDescent="0.25">
      <c r="A508" s="1">
        <v>44664</v>
      </c>
      <c r="B508" s="2">
        <v>324.60000000000002</v>
      </c>
      <c r="C508">
        <f t="shared" si="7"/>
        <v>-23.399999999999977</v>
      </c>
      <c r="F508" s="2">
        <v>324.60000000000002</v>
      </c>
    </row>
    <row r="509" spans="1:6" x14ac:dyDescent="0.25">
      <c r="A509" s="1">
        <v>44665</v>
      </c>
      <c r="B509" s="2">
        <v>332.4</v>
      </c>
      <c r="C509">
        <f t="shared" si="7"/>
        <v>7.7999999999999545</v>
      </c>
      <c r="F509" s="2">
        <v>332.4</v>
      </c>
    </row>
    <row r="510" spans="1:6" x14ac:dyDescent="0.25">
      <c r="A510" s="1">
        <v>44669</v>
      </c>
      <c r="B510" s="2">
        <v>327.8</v>
      </c>
      <c r="C510">
        <f t="shared" si="7"/>
        <v>-4.5999999999999659</v>
      </c>
      <c r="F510" s="2">
        <v>327.8</v>
      </c>
    </row>
    <row r="511" spans="1:6" x14ac:dyDescent="0.25">
      <c r="A511" s="1">
        <v>44670</v>
      </c>
      <c r="B511" s="2">
        <v>311.60000000000002</v>
      </c>
      <c r="C511">
        <f t="shared" si="7"/>
        <v>-16.199999999999989</v>
      </c>
      <c r="F511" s="2">
        <v>311.60000000000002</v>
      </c>
    </row>
    <row r="512" spans="1:6" x14ac:dyDescent="0.25">
      <c r="A512" s="1">
        <v>44671</v>
      </c>
      <c r="B512" s="2">
        <v>304.39999999999998</v>
      </c>
      <c r="C512">
        <f t="shared" si="7"/>
        <v>-7.2000000000000455</v>
      </c>
      <c r="F512" s="2">
        <v>304.39999999999998</v>
      </c>
    </row>
    <row r="513" spans="1:6" x14ac:dyDescent="0.25">
      <c r="A513" s="1">
        <v>44672</v>
      </c>
      <c r="B513" s="2">
        <v>326.39999999999998</v>
      </c>
      <c r="C513">
        <f t="shared" si="7"/>
        <v>22</v>
      </c>
      <c r="F513" s="2">
        <v>326.39999999999998</v>
      </c>
    </row>
    <row r="514" spans="1:6" x14ac:dyDescent="0.25">
      <c r="A514" s="1">
        <v>44673</v>
      </c>
      <c r="B514" s="2">
        <v>367.2</v>
      </c>
      <c r="C514">
        <f t="shared" si="7"/>
        <v>40.800000000000011</v>
      </c>
      <c r="F514" s="2">
        <v>367.2</v>
      </c>
    </row>
    <row r="515" spans="1:6" x14ac:dyDescent="0.25">
      <c r="A515" s="1">
        <v>44676</v>
      </c>
      <c r="B515" s="2">
        <v>358.6</v>
      </c>
      <c r="C515">
        <f t="shared" si="7"/>
        <v>-8.5999999999999659</v>
      </c>
      <c r="F515" s="2">
        <v>358.6</v>
      </c>
    </row>
    <row r="516" spans="1:6" x14ac:dyDescent="0.25">
      <c r="A516" s="1">
        <v>44677</v>
      </c>
      <c r="B516" s="2">
        <v>396.2</v>
      </c>
      <c r="C516">
        <f t="shared" ref="C516:C579" si="8">(B516-B515)</f>
        <v>37.599999999999966</v>
      </c>
      <c r="F516" s="2">
        <v>396.2</v>
      </c>
    </row>
    <row r="517" spans="1:6" x14ac:dyDescent="0.25">
      <c r="A517" s="1">
        <v>44678</v>
      </c>
      <c r="B517" s="2">
        <v>404.4</v>
      </c>
      <c r="C517">
        <f t="shared" si="8"/>
        <v>8.1999999999999886</v>
      </c>
      <c r="F517" s="2">
        <v>404.4</v>
      </c>
    </row>
    <row r="518" spans="1:6" x14ac:dyDescent="0.25">
      <c r="A518" s="1">
        <v>44679</v>
      </c>
      <c r="B518" s="2">
        <v>383.4</v>
      </c>
      <c r="C518">
        <f t="shared" si="8"/>
        <v>-21</v>
      </c>
      <c r="F518" s="2">
        <v>383.4</v>
      </c>
    </row>
    <row r="519" spans="1:6" x14ac:dyDescent="0.25">
      <c r="A519" s="1">
        <v>44680</v>
      </c>
      <c r="B519" s="2">
        <v>412.6</v>
      </c>
      <c r="C519">
        <f t="shared" si="8"/>
        <v>29.200000000000045</v>
      </c>
      <c r="F519" s="2">
        <v>412.6</v>
      </c>
    </row>
    <row r="520" spans="1:6" x14ac:dyDescent="0.25">
      <c r="A520" s="1">
        <v>44683</v>
      </c>
      <c r="B520" s="2">
        <v>407</v>
      </c>
      <c r="C520">
        <f t="shared" si="8"/>
        <v>-5.6000000000000227</v>
      </c>
      <c r="F520" s="2">
        <v>407</v>
      </c>
    </row>
    <row r="521" spans="1:6" x14ac:dyDescent="0.25">
      <c r="A521" s="1">
        <v>44684</v>
      </c>
      <c r="B521" s="2">
        <v>382.4</v>
      </c>
      <c r="C521">
        <f t="shared" si="8"/>
        <v>-24.600000000000023</v>
      </c>
      <c r="F521" s="2">
        <v>382.4</v>
      </c>
    </row>
    <row r="522" spans="1:6" x14ac:dyDescent="0.25">
      <c r="A522" s="1">
        <v>44685</v>
      </c>
      <c r="B522" s="2">
        <v>347.4</v>
      </c>
      <c r="C522">
        <f t="shared" si="8"/>
        <v>-35</v>
      </c>
      <c r="F522" s="2">
        <v>347.4</v>
      </c>
    </row>
    <row r="523" spans="1:6" x14ac:dyDescent="0.25">
      <c r="A523" s="1">
        <v>44686</v>
      </c>
      <c r="B523" s="2">
        <v>409</v>
      </c>
      <c r="C523">
        <f t="shared" si="8"/>
        <v>61.600000000000023</v>
      </c>
      <c r="F523" s="2">
        <v>409</v>
      </c>
    </row>
    <row r="524" spans="1:6" x14ac:dyDescent="0.25">
      <c r="A524" s="1">
        <v>44687</v>
      </c>
      <c r="B524" s="2">
        <v>403.6</v>
      </c>
      <c r="C524">
        <f t="shared" si="8"/>
        <v>-5.3999999999999773</v>
      </c>
      <c r="F524" s="2">
        <v>403.6</v>
      </c>
    </row>
    <row r="525" spans="1:6" x14ac:dyDescent="0.25">
      <c r="A525" s="1">
        <v>44690</v>
      </c>
      <c r="B525" s="2">
        <v>435.8</v>
      </c>
      <c r="C525">
        <f t="shared" si="8"/>
        <v>32.199999999999989</v>
      </c>
      <c r="F525" s="2">
        <v>435.8</v>
      </c>
    </row>
    <row r="526" spans="1:6" x14ac:dyDescent="0.25">
      <c r="A526" s="1">
        <v>44691</v>
      </c>
      <c r="B526" s="2">
        <v>421.4</v>
      </c>
      <c r="C526">
        <f t="shared" si="8"/>
        <v>-14.400000000000034</v>
      </c>
      <c r="F526" s="2">
        <v>421.4</v>
      </c>
    </row>
    <row r="527" spans="1:6" x14ac:dyDescent="0.25">
      <c r="A527" s="1">
        <v>44692</v>
      </c>
      <c r="B527" s="2">
        <v>417.6</v>
      </c>
      <c r="C527">
        <f t="shared" si="8"/>
        <v>-3.7999999999999545</v>
      </c>
      <c r="F527" s="2">
        <v>417.6</v>
      </c>
    </row>
    <row r="528" spans="1:6" x14ac:dyDescent="0.25">
      <c r="A528" s="1">
        <v>44693</v>
      </c>
      <c r="B528" s="2">
        <v>410.2</v>
      </c>
      <c r="C528">
        <f t="shared" si="8"/>
        <v>-7.4000000000000341</v>
      </c>
      <c r="F528" s="2">
        <v>410.2</v>
      </c>
    </row>
    <row r="529" spans="1:6" x14ac:dyDescent="0.25">
      <c r="A529" s="1">
        <v>44694</v>
      </c>
      <c r="B529" s="2">
        <v>383.6</v>
      </c>
      <c r="C529">
        <f t="shared" si="8"/>
        <v>-26.599999999999966</v>
      </c>
      <c r="F529" s="2">
        <v>383.6</v>
      </c>
    </row>
    <row r="530" spans="1:6" x14ac:dyDescent="0.25">
      <c r="A530" s="1">
        <v>44697</v>
      </c>
      <c r="B530" s="2">
        <v>367.8</v>
      </c>
      <c r="C530">
        <f t="shared" si="8"/>
        <v>-15.800000000000011</v>
      </c>
      <c r="F530" s="2">
        <v>367.8</v>
      </c>
    </row>
    <row r="531" spans="1:6" x14ac:dyDescent="0.25">
      <c r="A531" s="1">
        <v>44698</v>
      </c>
      <c r="B531" s="2">
        <v>358.8</v>
      </c>
      <c r="C531">
        <f t="shared" si="8"/>
        <v>-9</v>
      </c>
      <c r="F531" s="2">
        <v>358.8</v>
      </c>
    </row>
    <row r="532" spans="1:6" x14ac:dyDescent="0.25">
      <c r="A532" s="1">
        <v>44699</v>
      </c>
      <c r="B532" s="2">
        <v>411.4</v>
      </c>
      <c r="C532">
        <f t="shared" si="8"/>
        <v>52.599999999999966</v>
      </c>
      <c r="F532" s="2">
        <v>411.4</v>
      </c>
    </row>
    <row r="533" spans="1:6" x14ac:dyDescent="0.25">
      <c r="A533" s="1">
        <v>44700</v>
      </c>
      <c r="B533" s="2">
        <v>384.8</v>
      </c>
      <c r="C533">
        <f t="shared" si="8"/>
        <v>-26.599999999999966</v>
      </c>
      <c r="F533" s="2">
        <v>384.8</v>
      </c>
    </row>
    <row r="534" spans="1:6" x14ac:dyDescent="0.25">
      <c r="A534" s="1">
        <v>44701</v>
      </c>
      <c r="B534" s="2">
        <v>386.6</v>
      </c>
      <c r="C534">
        <f t="shared" si="8"/>
        <v>1.8000000000000114</v>
      </c>
      <c r="F534" s="2">
        <v>386.6</v>
      </c>
    </row>
    <row r="535" spans="1:6" x14ac:dyDescent="0.25">
      <c r="A535" s="1">
        <v>44704</v>
      </c>
      <c r="B535" s="2">
        <v>380.6</v>
      </c>
      <c r="C535">
        <f t="shared" si="8"/>
        <v>-6</v>
      </c>
      <c r="F535" s="2">
        <v>380.6</v>
      </c>
    </row>
    <row r="536" spans="1:6" x14ac:dyDescent="0.25">
      <c r="A536" s="1">
        <v>44705</v>
      </c>
      <c r="B536" s="2">
        <v>382.4</v>
      </c>
      <c r="C536">
        <f t="shared" si="8"/>
        <v>1.7999999999999545</v>
      </c>
      <c r="F536" s="2">
        <v>382.4</v>
      </c>
    </row>
    <row r="537" spans="1:6" x14ac:dyDescent="0.25">
      <c r="A537" s="1">
        <v>44706</v>
      </c>
      <c r="B537" s="2">
        <v>373.8</v>
      </c>
      <c r="C537">
        <f t="shared" si="8"/>
        <v>-8.5999999999999659</v>
      </c>
      <c r="F537" s="2">
        <v>373.8</v>
      </c>
    </row>
    <row r="538" spans="1:6" x14ac:dyDescent="0.25">
      <c r="A538" s="1">
        <v>44707</v>
      </c>
      <c r="B538" s="2">
        <v>369.8</v>
      </c>
      <c r="C538">
        <f t="shared" si="8"/>
        <v>-4</v>
      </c>
      <c r="F538" s="2">
        <v>369.8</v>
      </c>
    </row>
    <row r="539" spans="1:6" x14ac:dyDescent="0.25">
      <c r="A539" s="1">
        <v>44708</v>
      </c>
      <c r="B539" s="2">
        <v>355.8</v>
      </c>
      <c r="C539">
        <f t="shared" si="8"/>
        <v>-14</v>
      </c>
      <c r="F539" s="2">
        <v>355.8</v>
      </c>
    </row>
    <row r="540" spans="1:6" x14ac:dyDescent="0.25">
      <c r="A540" s="1">
        <v>44712</v>
      </c>
      <c r="B540" s="2">
        <v>349.8</v>
      </c>
      <c r="C540">
        <f t="shared" si="8"/>
        <v>-6</v>
      </c>
      <c r="F540" s="2">
        <v>349.8</v>
      </c>
    </row>
    <row r="541" spans="1:6" x14ac:dyDescent="0.25">
      <c r="A541" s="1">
        <v>44713</v>
      </c>
      <c r="B541" s="2">
        <v>347.4</v>
      </c>
      <c r="C541">
        <f t="shared" si="8"/>
        <v>-2.4000000000000341</v>
      </c>
      <c r="F541" s="2">
        <v>347.4</v>
      </c>
    </row>
    <row r="542" spans="1:6" x14ac:dyDescent="0.25">
      <c r="A542" s="1">
        <v>44714</v>
      </c>
      <c r="B542" s="2">
        <v>340.2</v>
      </c>
      <c r="C542">
        <f t="shared" si="8"/>
        <v>-7.1999999999999886</v>
      </c>
      <c r="F542" s="2">
        <v>340.2</v>
      </c>
    </row>
    <row r="543" spans="1:6" x14ac:dyDescent="0.25">
      <c r="A543" s="1">
        <v>44715</v>
      </c>
      <c r="B543" s="2">
        <v>343.4</v>
      </c>
      <c r="C543">
        <f t="shared" si="8"/>
        <v>3.1999999999999886</v>
      </c>
      <c r="F543" s="2">
        <v>343.4</v>
      </c>
    </row>
    <row r="544" spans="1:6" x14ac:dyDescent="0.25">
      <c r="A544" s="1">
        <v>44718</v>
      </c>
      <c r="B544" s="2">
        <v>339.4</v>
      </c>
      <c r="C544">
        <f t="shared" si="8"/>
        <v>-4</v>
      </c>
      <c r="F544" s="2">
        <v>339.4</v>
      </c>
    </row>
    <row r="545" spans="1:6" x14ac:dyDescent="0.25">
      <c r="A545" s="1">
        <v>44719</v>
      </c>
      <c r="B545" s="2">
        <v>330</v>
      </c>
      <c r="C545">
        <f t="shared" si="8"/>
        <v>-9.3999999999999773</v>
      </c>
      <c r="F545" s="2">
        <v>330</v>
      </c>
    </row>
    <row r="546" spans="1:6" x14ac:dyDescent="0.25">
      <c r="A546" s="1">
        <v>44720</v>
      </c>
      <c r="B546" s="2">
        <v>330</v>
      </c>
      <c r="C546">
        <f t="shared" si="8"/>
        <v>0</v>
      </c>
      <c r="F546" s="2">
        <v>330</v>
      </c>
    </row>
    <row r="547" spans="1:6" x14ac:dyDescent="0.25">
      <c r="A547" s="1">
        <v>44721</v>
      </c>
      <c r="B547" s="2">
        <v>346</v>
      </c>
      <c r="C547">
        <f t="shared" si="8"/>
        <v>16</v>
      </c>
      <c r="F547" s="2">
        <v>346</v>
      </c>
    </row>
    <row r="548" spans="1:6" x14ac:dyDescent="0.25">
      <c r="A548" s="1">
        <v>44722</v>
      </c>
      <c r="B548" s="2">
        <v>366.8</v>
      </c>
      <c r="C548">
        <f t="shared" si="8"/>
        <v>20.800000000000011</v>
      </c>
      <c r="F548" s="2">
        <v>366.8</v>
      </c>
    </row>
    <row r="549" spans="1:6" x14ac:dyDescent="0.25">
      <c r="A549" s="1">
        <v>44725</v>
      </c>
      <c r="B549" s="2">
        <v>416.2</v>
      </c>
      <c r="C549">
        <f t="shared" si="8"/>
        <v>49.399999999999977</v>
      </c>
      <c r="F549" s="2">
        <v>416.2</v>
      </c>
    </row>
    <row r="550" spans="1:6" x14ac:dyDescent="0.25">
      <c r="A550" s="1">
        <v>44726</v>
      </c>
      <c r="B550" s="2">
        <v>403.6</v>
      </c>
      <c r="C550">
        <f t="shared" si="8"/>
        <v>-12.599999999999966</v>
      </c>
      <c r="F550" s="2">
        <v>403.6</v>
      </c>
    </row>
    <row r="551" spans="1:6" x14ac:dyDescent="0.25">
      <c r="A551" s="1">
        <v>44727</v>
      </c>
      <c r="B551" s="2">
        <v>379.6</v>
      </c>
      <c r="C551">
        <f t="shared" si="8"/>
        <v>-24</v>
      </c>
      <c r="F551" s="2">
        <v>379.6</v>
      </c>
    </row>
    <row r="552" spans="1:6" x14ac:dyDescent="0.25">
      <c r="A552" s="1">
        <v>44728</v>
      </c>
      <c r="B552" s="2">
        <v>403.8</v>
      </c>
      <c r="C552">
        <f t="shared" si="8"/>
        <v>24.199999999999989</v>
      </c>
      <c r="F552" s="2">
        <v>403.8</v>
      </c>
    </row>
    <row r="553" spans="1:6" x14ac:dyDescent="0.25">
      <c r="A553" s="1">
        <v>44729</v>
      </c>
      <c r="B553" s="2">
        <v>392</v>
      </c>
      <c r="C553">
        <f t="shared" si="8"/>
        <v>-11.800000000000011</v>
      </c>
      <c r="F553" s="2">
        <v>392</v>
      </c>
    </row>
    <row r="554" spans="1:6" x14ac:dyDescent="0.25">
      <c r="A554" s="1">
        <v>44733</v>
      </c>
      <c r="B554" s="2">
        <v>384.2</v>
      </c>
      <c r="C554">
        <f t="shared" si="8"/>
        <v>-7.8000000000000114</v>
      </c>
      <c r="F554" s="2">
        <v>384.2</v>
      </c>
    </row>
    <row r="555" spans="1:6" x14ac:dyDescent="0.25">
      <c r="A555" s="1">
        <v>44734</v>
      </c>
      <c r="B555" s="2">
        <v>369.2</v>
      </c>
      <c r="C555">
        <f t="shared" si="8"/>
        <v>-15</v>
      </c>
      <c r="F555" s="2">
        <v>369.2</v>
      </c>
    </row>
    <row r="556" spans="1:6" x14ac:dyDescent="0.25">
      <c r="A556" s="1">
        <v>44735</v>
      </c>
      <c r="B556" s="2">
        <v>369.2</v>
      </c>
      <c r="C556">
        <f t="shared" si="8"/>
        <v>0</v>
      </c>
      <c r="F556" s="2">
        <v>369.2</v>
      </c>
    </row>
    <row r="557" spans="1:6" x14ac:dyDescent="0.25">
      <c r="A557" s="1">
        <v>44736</v>
      </c>
      <c r="B557" s="2">
        <v>361.6</v>
      </c>
      <c r="C557">
        <f t="shared" si="8"/>
        <v>-7.5999999999999659</v>
      </c>
      <c r="F557" s="2">
        <v>361.6</v>
      </c>
    </row>
    <row r="558" spans="1:6" x14ac:dyDescent="0.25">
      <c r="A558" s="1">
        <v>44739</v>
      </c>
      <c r="B558" s="2">
        <v>350.4</v>
      </c>
      <c r="C558">
        <f t="shared" si="8"/>
        <v>-11.200000000000045</v>
      </c>
      <c r="F558" s="2">
        <v>350.4</v>
      </c>
    </row>
    <row r="559" spans="1:6" x14ac:dyDescent="0.25">
      <c r="A559" s="1">
        <v>44740</v>
      </c>
      <c r="B559" s="2">
        <v>360.6</v>
      </c>
      <c r="C559">
        <f t="shared" si="8"/>
        <v>10.200000000000045</v>
      </c>
      <c r="F559" s="2">
        <v>360.6</v>
      </c>
    </row>
    <row r="560" spans="1:6" x14ac:dyDescent="0.25">
      <c r="A560" s="1">
        <v>44741</v>
      </c>
      <c r="B560" s="2">
        <v>361.6</v>
      </c>
      <c r="C560">
        <f t="shared" si="8"/>
        <v>1</v>
      </c>
      <c r="F560" s="2">
        <v>361.6</v>
      </c>
    </row>
    <row r="561" spans="1:6" x14ac:dyDescent="0.25">
      <c r="A561" s="1">
        <v>44742</v>
      </c>
      <c r="B561" s="2">
        <v>365</v>
      </c>
      <c r="C561">
        <f t="shared" si="8"/>
        <v>3.3999999999999773</v>
      </c>
      <c r="F561" s="2">
        <v>365</v>
      </c>
    </row>
    <row r="562" spans="1:6" x14ac:dyDescent="0.25">
      <c r="A562" s="1">
        <v>44743</v>
      </c>
      <c r="B562" s="2">
        <v>355.6</v>
      </c>
      <c r="C562">
        <f t="shared" si="8"/>
        <v>-9.3999999999999773</v>
      </c>
      <c r="F562" s="2">
        <v>355.6</v>
      </c>
    </row>
    <row r="563" spans="1:6" x14ac:dyDescent="0.25">
      <c r="A563" s="1">
        <v>44747</v>
      </c>
      <c r="B563" s="2">
        <v>355.4</v>
      </c>
      <c r="C563">
        <f t="shared" si="8"/>
        <v>-0.20000000000004547</v>
      </c>
      <c r="F563" s="2">
        <v>355.4</v>
      </c>
    </row>
    <row r="564" spans="1:6" x14ac:dyDescent="0.25">
      <c r="A564" s="1">
        <v>44748</v>
      </c>
      <c r="B564" s="2">
        <v>349.6</v>
      </c>
      <c r="C564">
        <f t="shared" si="8"/>
        <v>-5.7999999999999545</v>
      </c>
      <c r="F564" s="2">
        <v>349.6</v>
      </c>
    </row>
    <row r="565" spans="1:6" x14ac:dyDescent="0.25">
      <c r="A565" s="1">
        <v>44749</v>
      </c>
      <c r="B565" s="2">
        <v>345.8</v>
      </c>
      <c r="C565">
        <f t="shared" si="8"/>
        <v>-3.8000000000000114</v>
      </c>
      <c r="F565" s="2">
        <v>345.8</v>
      </c>
    </row>
    <row r="566" spans="1:6" x14ac:dyDescent="0.25">
      <c r="A566" s="1">
        <v>44750</v>
      </c>
      <c r="B566" s="2">
        <v>338.6</v>
      </c>
      <c r="C566">
        <f t="shared" si="8"/>
        <v>-7.1999999999999886</v>
      </c>
      <c r="F566" s="2">
        <v>338.6</v>
      </c>
    </row>
    <row r="567" spans="1:6" x14ac:dyDescent="0.25">
      <c r="A567" s="1">
        <v>44753</v>
      </c>
      <c r="B567" s="2">
        <v>348.2</v>
      </c>
      <c r="C567">
        <f t="shared" si="8"/>
        <v>9.5999999999999659</v>
      </c>
      <c r="F567" s="2">
        <v>348.2</v>
      </c>
    </row>
    <row r="568" spans="1:6" x14ac:dyDescent="0.25">
      <c r="A568" s="1">
        <v>44754</v>
      </c>
      <c r="B568" s="2">
        <v>351.6</v>
      </c>
      <c r="C568">
        <f t="shared" si="8"/>
        <v>3.4000000000000341</v>
      </c>
      <c r="F568" s="2">
        <v>351.6</v>
      </c>
    </row>
    <row r="569" spans="1:6" x14ac:dyDescent="0.25">
      <c r="A569" s="1">
        <v>44755</v>
      </c>
      <c r="B569" s="2">
        <v>346.2</v>
      </c>
      <c r="C569">
        <f t="shared" si="8"/>
        <v>-5.4000000000000341</v>
      </c>
      <c r="F569" s="2">
        <v>346.2</v>
      </c>
    </row>
    <row r="570" spans="1:6" x14ac:dyDescent="0.25">
      <c r="A570" s="1">
        <v>44756</v>
      </c>
      <c r="B570" s="2">
        <v>346.8</v>
      </c>
      <c r="C570">
        <f t="shared" si="8"/>
        <v>0.60000000000002274</v>
      </c>
      <c r="F570" s="2">
        <v>346.8</v>
      </c>
    </row>
    <row r="571" spans="1:6" x14ac:dyDescent="0.25">
      <c r="A571" s="1">
        <v>44757</v>
      </c>
      <c r="B571" s="2">
        <v>329.2</v>
      </c>
      <c r="C571">
        <f t="shared" si="8"/>
        <v>-17.600000000000023</v>
      </c>
      <c r="F571" s="2">
        <v>329.2</v>
      </c>
    </row>
    <row r="572" spans="1:6" x14ac:dyDescent="0.25">
      <c r="A572" s="1">
        <v>44760</v>
      </c>
      <c r="B572" s="2">
        <v>338.8</v>
      </c>
      <c r="C572">
        <f t="shared" si="8"/>
        <v>9.6000000000000227</v>
      </c>
      <c r="F572" s="2">
        <v>338.8</v>
      </c>
    </row>
    <row r="573" spans="1:6" x14ac:dyDescent="0.25">
      <c r="A573" s="1">
        <v>44761</v>
      </c>
      <c r="B573" s="2">
        <v>334</v>
      </c>
      <c r="C573">
        <f t="shared" si="8"/>
        <v>-4.8000000000000114</v>
      </c>
      <c r="F573" s="2">
        <v>334</v>
      </c>
    </row>
    <row r="574" spans="1:6" x14ac:dyDescent="0.25">
      <c r="A574" s="1">
        <v>44762</v>
      </c>
      <c r="B574" s="2">
        <v>326.60000000000002</v>
      </c>
      <c r="C574">
        <f t="shared" si="8"/>
        <v>-7.3999999999999773</v>
      </c>
      <c r="F574" s="2">
        <v>326.60000000000002</v>
      </c>
    </row>
    <row r="575" spans="1:6" x14ac:dyDescent="0.25">
      <c r="A575" s="1">
        <v>44763</v>
      </c>
      <c r="B575" s="2">
        <v>318.2</v>
      </c>
      <c r="C575">
        <f t="shared" si="8"/>
        <v>-8.4000000000000341</v>
      </c>
      <c r="F575" s="2">
        <v>318.2</v>
      </c>
    </row>
    <row r="576" spans="1:6" x14ac:dyDescent="0.25">
      <c r="A576" s="1">
        <v>44764</v>
      </c>
      <c r="B576" s="2">
        <v>316.60000000000002</v>
      </c>
      <c r="C576">
        <f t="shared" si="8"/>
        <v>-1.5999999999999659</v>
      </c>
      <c r="F576" s="2">
        <v>316.60000000000002</v>
      </c>
    </row>
    <row r="577" spans="1:6" x14ac:dyDescent="0.25">
      <c r="A577" s="1">
        <v>44767</v>
      </c>
      <c r="B577" s="2">
        <v>312.60000000000002</v>
      </c>
      <c r="C577">
        <f t="shared" si="8"/>
        <v>-4</v>
      </c>
      <c r="F577" s="2">
        <v>312.60000000000002</v>
      </c>
    </row>
    <row r="578" spans="1:6" x14ac:dyDescent="0.25">
      <c r="A578" s="1">
        <v>44768</v>
      </c>
      <c r="B578" s="2">
        <v>319.8</v>
      </c>
      <c r="C578">
        <f t="shared" si="8"/>
        <v>7.1999999999999886</v>
      </c>
      <c r="F578" s="2">
        <v>319.8</v>
      </c>
    </row>
    <row r="579" spans="1:6" x14ac:dyDescent="0.25">
      <c r="A579" s="1">
        <v>44769</v>
      </c>
      <c r="B579" s="2">
        <v>310</v>
      </c>
      <c r="C579">
        <f t="shared" si="8"/>
        <v>-9.8000000000000114</v>
      </c>
      <c r="F579" s="2">
        <v>310</v>
      </c>
    </row>
    <row r="580" spans="1:6" x14ac:dyDescent="0.25">
      <c r="A580" s="1">
        <v>44770</v>
      </c>
      <c r="B580" s="2">
        <v>294</v>
      </c>
      <c r="C580">
        <f t="shared" ref="C580:C643" si="9">(B580-B579)</f>
        <v>-16</v>
      </c>
      <c r="F580" s="2">
        <v>294</v>
      </c>
    </row>
    <row r="581" spans="1:6" x14ac:dyDescent="0.25">
      <c r="A581" s="1">
        <v>44771</v>
      </c>
      <c r="B581" s="2">
        <v>291.2</v>
      </c>
      <c r="C581">
        <f t="shared" si="9"/>
        <v>-2.8000000000000114</v>
      </c>
      <c r="F581" s="2">
        <v>291.2</v>
      </c>
    </row>
    <row r="582" spans="1:6" x14ac:dyDescent="0.25">
      <c r="A582" s="1">
        <v>44774</v>
      </c>
      <c r="B582" s="2">
        <v>301.39999999999998</v>
      </c>
      <c r="C582">
        <f t="shared" si="9"/>
        <v>10.199999999999989</v>
      </c>
      <c r="F582" s="2">
        <v>301.39999999999998</v>
      </c>
    </row>
    <row r="583" spans="1:6" x14ac:dyDescent="0.25">
      <c r="A583" s="1">
        <v>44775</v>
      </c>
      <c r="B583" s="2">
        <v>304.39999999999998</v>
      </c>
      <c r="C583">
        <f t="shared" si="9"/>
        <v>3</v>
      </c>
      <c r="F583" s="2">
        <v>304.39999999999998</v>
      </c>
    </row>
    <row r="584" spans="1:6" x14ac:dyDescent="0.25">
      <c r="A584" s="1">
        <v>44776</v>
      </c>
      <c r="B584" s="2">
        <v>289.2</v>
      </c>
      <c r="C584">
        <f t="shared" si="9"/>
        <v>-15.199999999999989</v>
      </c>
      <c r="F584" s="2">
        <v>289.2</v>
      </c>
    </row>
    <row r="585" spans="1:6" x14ac:dyDescent="0.25">
      <c r="A585" s="1">
        <v>44777</v>
      </c>
      <c r="B585" s="2">
        <v>290.2</v>
      </c>
      <c r="C585">
        <f t="shared" si="9"/>
        <v>1</v>
      </c>
      <c r="F585" s="2">
        <v>290.2</v>
      </c>
    </row>
    <row r="586" spans="1:6" x14ac:dyDescent="0.25">
      <c r="A586" s="1">
        <v>44778</v>
      </c>
      <c r="B586" s="2">
        <v>282.8</v>
      </c>
      <c r="C586">
        <f t="shared" si="9"/>
        <v>-7.3999999999999773</v>
      </c>
      <c r="F586" s="2">
        <v>282.8</v>
      </c>
    </row>
    <row r="587" spans="1:6" x14ac:dyDescent="0.25">
      <c r="A587" s="1">
        <v>44781</v>
      </c>
      <c r="B587" s="2">
        <v>284.39999999999998</v>
      </c>
      <c r="C587">
        <f t="shared" si="9"/>
        <v>1.5999999999999659</v>
      </c>
      <c r="F587" s="2">
        <v>284.39999999999998</v>
      </c>
    </row>
    <row r="588" spans="1:6" x14ac:dyDescent="0.25">
      <c r="A588" s="1">
        <v>44782</v>
      </c>
      <c r="B588" s="2">
        <v>286.39999999999998</v>
      </c>
      <c r="C588">
        <f t="shared" si="9"/>
        <v>2</v>
      </c>
      <c r="F588" s="2">
        <v>286.39999999999998</v>
      </c>
    </row>
    <row r="589" spans="1:6" x14ac:dyDescent="0.25">
      <c r="A589" s="1">
        <v>44783</v>
      </c>
      <c r="B589" s="2">
        <v>270</v>
      </c>
      <c r="C589">
        <f t="shared" si="9"/>
        <v>-16.399999999999977</v>
      </c>
      <c r="F589" s="2">
        <v>270</v>
      </c>
    </row>
    <row r="590" spans="1:6" x14ac:dyDescent="0.25">
      <c r="A590" s="1">
        <v>44784</v>
      </c>
      <c r="B590" s="2">
        <v>272.2</v>
      </c>
      <c r="C590">
        <f t="shared" si="9"/>
        <v>2.1999999999999886</v>
      </c>
      <c r="F590" s="2">
        <v>272.2</v>
      </c>
    </row>
    <row r="591" spans="1:6" x14ac:dyDescent="0.25">
      <c r="A591" s="1">
        <v>44785</v>
      </c>
      <c r="B591" s="2">
        <v>268.8</v>
      </c>
      <c r="C591">
        <f t="shared" si="9"/>
        <v>-3.3999999999999773</v>
      </c>
      <c r="F591" s="2">
        <v>268.8</v>
      </c>
    </row>
    <row r="592" spans="1:6" x14ac:dyDescent="0.25">
      <c r="A592" s="1">
        <v>44788</v>
      </c>
      <c r="B592" s="2">
        <v>264.60000000000002</v>
      </c>
      <c r="C592">
        <f t="shared" si="9"/>
        <v>-4.1999999999999886</v>
      </c>
      <c r="F592" s="2">
        <v>264.60000000000002</v>
      </c>
    </row>
    <row r="593" spans="1:6" x14ac:dyDescent="0.25">
      <c r="A593" s="1">
        <v>44789</v>
      </c>
      <c r="B593" s="2">
        <v>266.60000000000002</v>
      </c>
      <c r="C593">
        <f t="shared" si="9"/>
        <v>2</v>
      </c>
      <c r="F593" s="2">
        <v>266.60000000000002</v>
      </c>
    </row>
    <row r="594" spans="1:6" x14ac:dyDescent="0.25">
      <c r="A594" s="1">
        <v>44790</v>
      </c>
      <c r="B594" s="2">
        <v>265.39999999999998</v>
      </c>
      <c r="C594">
        <f t="shared" si="9"/>
        <v>-1.2000000000000455</v>
      </c>
      <c r="F594" s="2">
        <v>265.39999999999998</v>
      </c>
    </row>
    <row r="595" spans="1:6" x14ac:dyDescent="0.25">
      <c r="A595" s="1">
        <v>44791</v>
      </c>
      <c r="B595" s="2">
        <v>261.2</v>
      </c>
      <c r="C595">
        <f t="shared" si="9"/>
        <v>-4.1999999999999886</v>
      </c>
      <c r="F595" s="2">
        <v>261.2</v>
      </c>
    </row>
    <row r="596" spans="1:6" x14ac:dyDescent="0.25">
      <c r="A596" s="1">
        <v>44792</v>
      </c>
      <c r="B596" s="2">
        <v>274.2</v>
      </c>
      <c r="C596">
        <f t="shared" si="9"/>
        <v>13</v>
      </c>
      <c r="F596" s="2">
        <v>274.2</v>
      </c>
    </row>
    <row r="597" spans="1:6" x14ac:dyDescent="0.25">
      <c r="A597" s="1">
        <v>44795</v>
      </c>
      <c r="B597" s="2">
        <v>292</v>
      </c>
      <c r="C597">
        <f t="shared" si="9"/>
        <v>17.800000000000011</v>
      </c>
      <c r="F597" s="2">
        <v>292</v>
      </c>
    </row>
    <row r="598" spans="1:6" x14ac:dyDescent="0.25">
      <c r="A598" s="1">
        <v>44796</v>
      </c>
      <c r="B598" s="2">
        <v>287</v>
      </c>
      <c r="C598">
        <f t="shared" si="9"/>
        <v>-5</v>
      </c>
      <c r="F598" s="2">
        <v>287</v>
      </c>
    </row>
    <row r="599" spans="1:6" x14ac:dyDescent="0.25">
      <c r="A599" s="1">
        <v>44797</v>
      </c>
      <c r="B599" s="2">
        <v>277.60000000000002</v>
      </c>
      <c r="C599">
        <f t="shared" si="9"/>
        <v>-9.3999999999999773</v>
      </c>
      <c r="F599" s="2">
        <v>277.60000000000002</v>
      </c>
    </row>
    <row r="600" spans="1:6" x14ac:dyDescent="0.25">
      <c r="A600" s="1">
        <v>44798</v>
      </c>
      <c r="B600" s="2">
        <v>268.2</v>
      </c>
      <c r="C600">
        <f t="shared" si="9"/>
        <v>-9.4000000000000341</v>
      </c>
      <c r="F600" s="2">
        <v>268.2</v>
      </c>
    </row>
    <row r="601" spans="1:6" x14ac:dyDescent="0.25">
      <c r="A601" s="1">
        <v>44799</v>
      </c>
      <c r="B601" s="2">
        <v>295.39999999999998</v>
      </c>
      <c r="C601">
        <f t="shared" si="9"/>
        <v>27.199999999999989</v>
      </c>
      <c r="F601" s="2">
        <v>295.39999999999998</v>
      </c>
    </row>
    <row r="602" spans="1:6" x14ac:dyDescent="0.25">
      <c r="A602" s="1">
        <v>44802</v>
      </c>
      <c r="B602" s="2">
        <v>292.60000000000002</v>
      </c>
      <c r="C602">
        <f t="shared" si="9"/>
        <v>-2.7999999999999545</v>
      </c>
      <c r="F602" s="2">
        <v>292.60000000000002</v>
      </c>
    </row>
    <row r="603" spans="1:6" x14ac:dyDescent="0.25">
      <c r="A603" s="1">
        <v>44803</v>
      </c>
      <c r="B603" s="2">
        <v>297.60000000000002</v>
      </c>
      <c r="C603">
        <f t="shared" si="9"/>
        <v>5</v>
      </c>
      <c r="F603" s="2">
        <v>297.60000000000002</v>
      </c>
    </row>
    <row r="604" spans="1:6" x14ac:dyDescent="0.25">
      <c r="A604" s="1">
        <v>44804</v>
      </c>
      <c r="B604" s="2">
        <v>291.8</v>
      </c>
      <c r="C604">
        <f t="shared" si="9"/>
        <v>-5.8000000000000114</v>
      </c>
      <c r="F604" s="2">
        <v>291.8</v>
      </c>
    </row>
    <row r="605" spans="1:6" x14ac:dyDescent="0.25">
      <c r="A605" s="1">
        <v>44805</v>
      </c>
      <c r="B605" s="2">
        <v>289.60000000000002</v>
      </c>
      <c r="C605">
        <f t="shared" si="9"/>
        <v>-2.1999999999999886</v>
      </c>
      <c r="F605" s="2">
        <v>289.60000000000002</v>
      </c>
    </row>
    <row r="606" spans="1:6" x14ac:dyDescent="0.25">
      <c r="A606" s="1">
        <v>44806</v>
      </c>
      <c r="B606" s="2">
        <v>292.2</v>
      </c>
      <c r="C606">
        <f t="shared" si="9"/>
        <v>2.5999999999999659</v>
      </c>
      <c r="F606" s="2">
        <v>292.2</v>
      </c>
    </row>
    <row r="607" spans="1:6" x14ac:dyDescent="0.25">
      <c r="A607" s="1">
        <v>44810</v>
      </c>
      <c r="B607" s="2">
        <v>298.39999999999998</v>
      </c>
      <c r="C607">
        <f t="shared" si="9"/>
        <v>6.1999999999999886</v>
      </c>
      <c r="F607" s="2">
        <v>298.39999999999998</v>
      </c>
    </row>
    <row r="608" spans="1:6" x14ac:dyDescent="0.25">
      <c r="A608" s="1">
        <v>44811</v>
      </c>
      <c r="B608" s="2">
        <v>282.39999999999998</v>
      </c>
      <c r="C608">
        <f t="shared" si="9"/>
        <v>-16</v>
      </c>
      <c r="F608" s="2">
        <v>282.39999999999998</v>
      </c>
    </row>
    <row r="609" spans="1:6" x14ac:dyDescent="0.25">
      <c r="A609" s="1">
        <v>44812</v>
      </c>
      <c r="B609" s="2">
        <v>278</v>
      </c>
      <c r="C609">
        <f t="shared" si="9"/>
        <v>-4.3999999999999773</v>
      </c>
      <c r="F609" s="2">
        <v>278</v>
      </c>
    </row>
    <row r="610" spans="1:6" x14ac:dyDescent="0.25">
      <c r="A610" s="1">
        <v>44813</v>
      </c>
      <c r="B610" s="2">
        <v>275.2</v>
      </c>
      <c r="C610">
        <f t="shared" si="9"/>
        <v>-2.8000000000000114</v>
      </c>
      <c r="F610" s="2">
        <v>275.2</v>
      </c>
    </row>
    <row r="611" spans="1:6" x14ac:dyDescent="0.25">
      <c r="A611" s="1">
        <v>44816</v>
      </c>
      <c r="B611" s="2">
        <v>273.8</v>
      </c>
      <c r="C611">
        <f t="shared" si="9"/>
        <v>-1.3999999999999773</v>
      </c>
      <c r="F611" s="2">
        <v>273.8</v>
      </c>
    </row>
    <row r="612" spans="1:6" x14ac:dyDescent="0.25">
      <c r="A612" s="1">
        <v>44817</v>
      </c>
      <c r="B612" s="2">
        <v>297.60000000000002</v>
      </c>
      <c r="C612">
        <f t="shared" si="9"/>
        <v>23.800000000000011</v>
      </c>
      <c r="F612" s="2">
        <v>297.60000000000002</v>
      </c>
    </row>
    <row r="613" spans="1:6" x14ac:dyDescent="0.25">
      <c r="A613" s="1">
        <v>44818</v>
      </c>
      <c r="B613" s="2">
        <v>297</v>
      </c>
      <c r="C613">
        <f t="shared" si="9"/>
        <v>-0.60000000000002274</v>
      </c>
      <c r="F613" s="2">
        <v>297</v>
      </c>
    </row>
    <row r="614" spans="1:6" x14ac:dyDescent="0.25">
      <c r="A614" s="1">
        <v>44819</v>
      </c>
      <c r="B614" s="2">
        <v>296.39999999999998</v>
      </c>
      <c r="C614">
        <f t="shared" si="9"/>
        <v>-0.60000000000002274</v>
      </c>
      <c r="F614" s="2">
        <v>296.39999999999998</v>
      </c>
    </row>
    <row r="615" spans="1:6" x14ac:dyDescent="0.25">
      <c r="A615" s="1">
        <v>44820</v>
      </c>
      <c r="B615" s="2">
        <v>296.39999999999998</v>
      </c>
      <c r="C615">
        <f t="shared" si="9"/>
        <v>0</v>
      </c>
      <c r="F615" s="2">
        <v>296.39999999999998</v>
      </c>
    </row>
    <row r="616" spans="1:6" x14ac:dyDescent="0.25">
      <c r="A616" s="1">
        <v>44823</v>
      </c>
      <c r="B616" s="2">
        <v>287</v>
      </c>
      <c r="C616">
        <f t="shared" si="9"/>
        <v>-9.3999999999999773</v>
      </c>
      <c r="F616" s="2">
        <v>287</v>
      </c>
    </row>
    <row r="617" spans="1:6" x14ac:dyDescent="0.25">
      <c r="A617" s="1">
        <v>44824</v>
      </c>
      <c r="B617" s="2">
        <v>296.60000000000002</v>
      </c>
      <c r="C617">
        <f t="shared" si="9"/>
        <v>9.6000000000000227</v>
      </c>
      <c r="F617" s="2">
        <v>296.60000000000002</v>
      </c>
    </row>
    <row r="618" spans="1:6" x14ac:dyDescent="0.25">
      <c r="A618" s="1">
        <v>44825</v>
      </c>
      <c r="B618" s="2">
        <v>306.2</v>
      </c>
      <c r="C618">
        <f t="shared" si="9"/>
        <v>9.5999999999999659</v>
      </c>
      <c r="F618" s="2">
        <v>306.2</v>
      </c>
    </row>
    <row r="619" spans="1:6" x14ac:dyDescent="0.25">
      <c r="A619" s="1">
        <v>44826</v>
      </c>
      <c r="B619" s="2">
        <v>304.39999999999998</v>
      </c>
      <c r="C619">
        <f t="shared" si="9"/>
        <v>-1.8000000000000114</v>
      </c>
      <c r="F619" s="2">
        <v>304.39999999999998</v>
      </c>
    </row>
    <row r="620" spans="1:6" x14ac:dyDescent="0.25">
      <c r="A620" s="1">
        <v>44827</v>
      </c>
      <c r="B620" s="2">
        <v>323</v>
      </c>
      <c r="C620">
        <f t="shared" si="9"/>
        <v>18.600000000000023</v>
      </c>
      <c r="F620" s="2">
        <v>323</v>
      </c>
    </row>
    <row r="621" spans="1:6" x14ac:dyDescent="0.25">
      <c r="A621" s="1">
        <v>44830</v>
      </c>
      <c r="B621" s="2">
        <v>334.2</v>
      </c>
      <c r="C621">
        <f t="shared" si="9"/>
        <v>11.199999999999989</v>
      </c>
      <c r="F621" s="2">
        <v>334.2</v>
      </c>
    </row>
    <row r="622" spans="1:6" x14ac:dyDescent="0.25">
      <c r="A622" s="1">
        <v>44831</v>
      </c>
      <c r="B622" s="2">
        <v>339.2</v>
      </c>
      <c r="C622">
        <f t="shared" si="9"/>
        <v>5</v>
      </c>
      <c r="F622" s="2">
        <v>339.2</v>
      </c>
    </row>
    <row r="623" spans="1:6" x14ac:dyDescent="0.25">
      <c r="A623" s="1">
        <v>44832</v>
      </c>
      <c r="B623" s="2">
        <v>325.2</v>
      </c>
      <c r="C623">
        <f t="shared" si="9"/>
        <v>-14</v>
      </c>
      <c r="F623" s="2">
        <v>325.2</v>
      </c>
    </row>
    <row r="624" spans="1:6" x14ac:dyDescent="0.25">
      <c r="A624" s="1">
        <v>44833</v>
      </c>
      <c r="B624" s="2">
        <v>334.4</v>
      </c>
      <c r="C624">
        <f t="shared" si="9"/>
        <v>9.1999999999999886</v>
      </c>
      <c r="F624" s="2">
        <v>334.4</v>
      </c>
    </row>
    <row r="625" spans="1:6" x14ac:dyDescent="0.25">
      <c r="A625" s="1">
        <v>44834</v>
      </c>
      <c r="B625" s="2">
        <v>342</v>
      </c>
      <c r="C625">
        <f t="shared" si="9"/>
        <v>7.6000000000000227</v>
      </c>
      <c r="F625" s="2">
        <v>342</v>
      </c>
    </row>
    <row r="626" spans="1:6" x14ac:dyDescent="0.25">
      <c r="A626" s="1">
        <v>44837</v>
      </c>
      <c r="B626" s="2">
        <v>326.2</v>
      </c>
      <c r="C626">
        <f t="shared" si="9"/>
        <v>-15.800000000000011</v>
      </c>
      <c r="F626" s="2">
        <v>326.2</v>
      </c>
    </row>
    <row r="627" spans="1:6" x14ac:dyDescent="0.25">
      <c r="A627" s="1">
        <v>44838</v>
      </c>
      <c r="B627" s="2">
        <v>314.39999999999998</v>
      </c>
      <c r="C627">
        <f t="shared" si="9"/>
        <v>-11.800000000000011</v>
      </c>
      <c r="F627" s="2">
        <v>314.39999999999998</v>
      </c>
    </row>
    <row r="628" spans="1:6" x14ac:dyDescent="0.25">
      <c r="A628" s="1">
        <v>44839</v>
      </c>
      <c r="B628" s="2">
        <v>316.8</v>
      </c>
      <c r="C628">
        <f t="shared" si="9"/>
        <v>2.4000000000000341</v>
      </c>
      <c r="F628" s="2">
        <v>316.8</v>
      </c>
    </row>
    <row r="629" spans="1:6" x14ac:dyDescent="0.25">
      <c r="A629" s="1">
        <v>44840</v>
      </c>
      <c r="B629" s="2">
        <v>326</v>
      </c>
      <c r="C629">
        <f t="shared" si="9"/>
        <v>9.1999999999999886</v>
      </c>
      <c r="F629" s="2">
        <v>326</v>
      </c>
    </row>
    <row r="630" spans="1:6" x14ac:dyDescent="0.25">
      <c r="A630" s="1">
        <v>44841</v>
      </c>
      <c r="B630" s="2">
        <v>339.4</v>
      </c>
      <c r="C630">
        <f t="shared" si="9"/>
        <v>13.399999999999977</v>
      </c>
      <c r="F630" s="2">
        <v>339.4</v>
      </c>
    </row>
    <row r="631" spans="1:6" x14ac:dyDescent="0.25">
      <c r="A631" s="1">
        <v>44844</v>
      </c>
      <c r="B631" s="2">
        <v>347.6</v>
      </c>
      <c r="C631">
        <f t="shared" si="9"/>
        <v>8.2000000000000455</v>
      </c>
      <c r="F631" s="2">
        <v>347.6</v>
      </c>
    </row>
    <row r="632" spans="1:6" x14ac:dyDescent="0.25">
      <c r="A632" s="1">
        <v>44845</v>
      </c>
      <c r="B632" s="2">
        <v>353</v>
      </c>
      <c r="C632">
        <f t="shared" si="9"/>
        <v>5.3999999999999773</v>
      </c>
      <c r="F632" s="2">
        <v>353</v>
      </c>
    </row>
    <row r="633" spans="1:6" x14ac:dyDescent="0.25">
      <c r="A633" s="1">
        <v>44846</v>
      </c>
      <c r="B633" s="2">
        <v>349.8</v>
      </c>
      <c r="C633">
        <f t="shared" si="9"/>
        <v>-3.1999999999999886</v>
      </c>
      <c r="F633" s="2">
        <v>349.8</v>
      </c>
    </row>
    <row r="634" spans="1:6" x14ac:dyDescent="0.25">
      <c r="A634" s="1">
        <v>44847</v>
      </c>
      <c r="B634" s="2">
        <v>339.8</v>
      </c>
      <c r="C634">
        <f t="shared" si="9"/>
        <v>-10</v>
      </c>
      <c r="F634" s="2">
        <v>339.8</v>
      </c>
    </row>
    <row r="635" spans="1:6" x14ac:dyDescent="0.25">
      <c r="A635" s="1">
        <v>44848</v>
      </c>
      <c r="B635" s="2">
        <v>346.8</v>
      </c>
      <c r="C635">
        <f t="shared" si="9"/>
        <v>7</v>
      </c>
      <c r="F635" s="2">
        <v>346.8</v>
      </c>
    </row>
    <row r="636" spans="1:6" x14ac:dyDescent="0.25">
      <c r="A636" s="1">
        <v>44851</v>
      </c>
      <c r="B636" s="2">
        <v>338</v>
      </c>
      <c r="C636">
        <f t="shared" si="9"/>
        <v>-8.8000000000000114</v>
      </c>
      <c r="F636" s="2">
        <v>338</v>
      </c>
    </row>
    <row r="637" spans="1:6" x14ac:dyDescent="0.25">
      <c r="A637" s="1">
        <v>44852</v>
      </c>
      <c r="B637" s="2">
        <v>331.4</v>
      </c>
      <c r="C637">
        <f t="shared" si="9"/>
        <v>-6.6000000000000227</v>
      </c>
      <c r="F637" s="2">
        <v>331.4</v>
      </c>
    </row>
    <row r="638" spans="1:6" x14ac:dyDescent="0.25">
      <c r="A638" s="1">
        <v>44853</v>
      </c>
      <c r="B638" s="2">
        <v>333.8</v>
      </c>
      <c r="C638">
        <f t="shared" si="9"/>
        <v>2.4000000000000341</v>
      </c>
      <c r="F638" s="2">
        <v>333.8</v>
      </c>
    </row>
    <row r="639" spans="1:6" x14ac:dyDescent="0.25">
      <c r="A639" s="1">
        <v>44854</v>
      </c>
      <c r="B639" s="2">
        <v>329.6</v>
      </c>
      <c r="C639">
        <f t="shared" si="9"/>
        <v>-4.1999999999999886</v>
      </c>
      <c r="F639" s="2">
        <v>329.6</v>
      </c>
    </row>
    <row r="640" spans="1:6" x14ac:dyDescent="0.25">
      <c r="A640" s="1">
        <v>44855</v>
      </c>
      <c r="B640" s="2">
        <v>328.4</v>
      </c>
      <c r="C640">
        <f t="shared" si="9"/>
        <v>-1.2000000000000455</v>
      </c>
      <c r="F640" s="2">
        <v>328.4</v>
      </c>
    </row>
    <row r="641" spans="1:6" x14ac:dyDescent="0.25">
      <c r="A641" s="1">
        <v>44858</v>
      </c>
      <c r="B641" s="2">
        <v>323.2</v>
      </c>
      <c r="C641">
        <f t="shared" si="9"/>
        <v>-5.1999999999999886</v>
      </c>
      <c r="F641" s="2">
        <v>323.2</v>
      </c>
    </row>
    <row r="642" spans="1:6" x14ac:dyDescent="0.25">
      <c r="A642" s="1">
        <v>44859</v>
      </c>
      <c r="B642" s="2">
        <v>310.39999999999998</v>
      </c>
      <c r="C642">
        <f t="shared" si="9"/>
        <v>-12.800000000000011</v>
      </c>
      <c r="F642" s="2">
        <v>310.39999999999998</v>
      </c>
    </row>
    <row r="643" spans="1:6" x14ac:dyDescent="0.25">
      <c r="A643" s="1">
        <v>44860</v>
      </c>
      <c r="B643" s="2">
        <v>303.2</v>
      </c>
      <c r="C643">
        <f t="shared" si="9"/>
        <v>-7.1999999999999886</v>
      </c>
      <c r="F643" s="2">
        <v>303.2</v>
      </c>
    </row>
    <row r="644" spans="1:6" x14ac:dyDescent="0.25">
      <c r="A644" s="1">
        <v>44861</v>
      </c>
      <c r="B644" s="2">
        <v>297.2</v>
      </c>
      <c r="C644">
        <f t="shared" ref="C644:C707" si="10">(B644-B643)</f>
        <v>-6</v>
      </c>
      <c r="F644" s="2">
        <v>297.2</v>
      </c>
    </row>
    <row r="645" spans="1:6" x14ac:dyDescent="0.25">
      <c r="A645" s="1">
        <v>44862</v>
      </c>
      <c r="B645" s="2">
        <v>290.2</v>
      </c>
      <c r="C645">
        <f t="shared" si="10"/>
        <v>-7</v>
      </c>
      <c r="F645" s="2">
        <v>290.2</v>
      </c>
    </row>
    <row r="646" spans="1:6" x14ac:dyDescent="0.25">
      <c r="A646" s="1">
        <v>44865</v>
      </c>
      <c r="B646" s="2">
        <v>285.8</v>
      </c>
      <c r="C646">
        <f t="shared" si="10"/>
        <v>-4.3999999999999773</v>
      </c>
      <c r="F646" s="2">
        <v>285.8</v>
      </c>
    </row>
    <row r="647" spans="1:6" x14ac:dyDescent="0.25">
      <c r="A647" s="1">
        <v>44866</v>
      </c>
      <c r="B647" s="2">
        <v>283</v>
      </c>
      <c r="C647">
        <f t="shared" si="10"/>
        <v>-2.8000000000000114</v>
      </c>
      <c r="F647" s="2">
        <v>283</v>
      </c>
    </row>
    <row r="648" spans="1:6" x14ac:dyDescent="0.25">
      <c r="A648" s="1">
        <v>44867</v>
      </c>
      <c r="B648" s="2">
        <v>290.60000000000002</v>
      </c>
      <c r="C648">
        <f t="shared" si="10"/>
        <v>7.6000000000000227</v>
      </c>
      <c r="F648" s="2">
        <v>290.60000000000002</v>
      </c>
    </row>
    <row r="649" spans="1:6" x14ac:dyDescent="0.25">
      <c r="A649" s="1">
        <v>44868</v>
      </c>
      <c r="B649" s="2">
        <v>284.2</v>
      </c>
      <c r="C649">
        <f t="shared" si="10"/>
        <v>-6.4000000000000341</v>
      </c>
      <c r="F649" s="2">
        <v>284.2</v>
      </c>
    </row>
    <row r="650" spans="1:6" x14ac:dyDescent="0.25">
      <c r="A650" s="1">
        <v>44869</v>
      </c>
      <c r="B650" s="2">
        <v>280.8</v>
      </c>
      <c r="C650">
        <f t="shared" si="10"/>
        <v>-3.3999999999999773</v>
      </c>
      <c r="F650" s="2">
        <v>280.8</v>
      </c>
    </row>
    <row r="651" spans="1:6" x14ac:dyDescent="0.25">
      <c r="A651" s="1">
        <v>44872</v>
      </c>
      <c r="B651" s="2">
        <v>278.2</v>
      </c>
      <c r="C651">
        <f t="shared" si="10"/>
        <v>-2.6000000000000227</v>
      </c>
      <c r="F651" s="2">
        <v>278.2</v>
      </c>
    </row>
    <row r="652" spans="1:6" x14ac:dyDescent="0.25">
      <c r="A652" s="1">
        <v>44873</v>
      </c>
      <c r="B652" s="2">
        <v>285.60000000000002</v>
      </c>
      <c r="C652">
        <f t="shared" si="10"/>
        <v>7.4000000000000341</v>
      </c>
      <c r="F652" s="2">
        <v>285.60000000000002</v>
      </c>
    </row>
    <row r="653" spans="1:6" x14ac:dyDescent="0.25">
      <c r="A653" s="1">
        <v>44874</v>
      </c>
      <c r="B653" s="2">
        <v>294.2</v>
      </c>
      <c r="C653">
        <f t="shared" si="10"/>
        <v>8.5999999999999659</v>
      </c>
      <c r="F653" s="2">
        <v>294.2</v>
      </c>
    </row>
    <row r="654" spans="1:6" x14ac:dyDescent="0.25">
      <c r="A654" s="1">
        <v>44875</v>
      </c>
      <c r="B654" s="2">
        <v>278.2</v>
      </c>
      <c r="C654">
        <f t="shared" si="10"/>
        <v>-16</v>
      </c>
      <c r="F654" s="2">
        <v>278.2</v>
      </c>
    </row>
    <row r="655" spans="1:6" x14ac:dyDescent="0.25">
      <c r="A655" s="1">
        <v>44876</v>
      </c>
      <c r="B655" s="2">
        <v>275</v>
      </c>
      <c r="C655">
        <f t="shared" si="10"/>
        <v>-3.1999999999999886</v>
      </c>
      <c r="F655" s="2">
        <v>275</v>
      </c>
    </row>
    <row r="656" spans="1:6" x14ac:dyDescent="0.25">
      <c r="A656" s="1">
        <v>44879</v>
      </c>
      <c r="B656" s="2">
        <v>274.8</v>
      </c>
      <c r="C656">
        <f t="shared" si="10"/>
        <v>-0.19999999999998863</v>
      </c>
      <c r="F656" s="2">
        <v>274.8</v>
      </c>
    </row>
    <row r="657" spans="1:6" x14ac:dyDescent="0.25">
      <c r="A657" s="1">
        <v>44880</v>
      </c>
      <c r="B657" s="2">
        <v>278</v>
      </c>
      <c r="C657">
        <f t="shared" si="10"/>
        <v>3.1999999999999886</v>
      </c>
      <c r="F657" s="2">
        <v>278</v>
      </c>
    </row>
    <row r="658" spans="1:6" x14ac:dyDescent="0.25">
      <c r="A658" s="1">
        <v>44881</v>
      </c>
      <c r="B658" s="2">
        <v>270.8</v>
      </c>
      <c r="C658">
        <f t="shared" si="10"/>
        <v>-7.1999999999999886</v>
      </c>
      <c r="F658" s="2">
        <v>270.8</v>
      </c>
    </row>
    <row r="659" spans="1:6" x14ac:dyDescent="0.25">
      <c r="A659" s="1">
        <v>44882</v>
      </c>
      <c r="B659" s="2">
        <v>268.39999999999998</v>
      </c>
      <c r="C659">
        <f t="shared" si="10"/>
        <v>-2.4000000000000341</v>
      </c>
      <c r="F659" s="2">
        <v>268.39999999999998</v>
      </c>
    </row>
    <row r="660" spans="1:6" x14ac:dyDescent="0.25">
      <c r="A660" s="1">
        <v>44883</v>
      </c>
      <c r="B660" s="2">
        <v>265.60000000000002</v>
      </c>
      <c r="C660">
        <f t="shared" si="10"/>
        <v>-2.7999999999999545</v>
      </c>
      <c r="F660" s="2">
        <v>265.60000000000002</v>
      </c>
    </row>
    <row r="661" spans="1:6" x14ac:dyDescent="0.25">
      <c r="A661" s="1">
        <v>44886</v>
      </c>
      <c r="B661" s="2">
        <v>258.60000000000002</v>
      </c>
      <c r="C661">
        <f t="shared" si="10"/>
        <v>-7</v>
      </c>
      <c r="F661" s="2">
        <v>258.60000000000002</v>
      </c>
    </row>
    <row r="662" spans="1:6" x14ac:dyDescent="0.25">
      <c r="A662" s="1">
        <v>44887</v>
      </c>
      <c r="B662" s="2">
        <v>249.6</v>
      </c>
      <c r="C662">
        <f t="shared" si="10"/>
        <v>-9.0000000000000284</v>
      </c>
      <c r="F662" s="2">
        <v>249.6</v>
      </c>
    </row>
    <row r="663" spans="1:6" x14ac:dyDescent="0.25">
      <c r="A663" s="1">
        <v>44888</v>
      </c>
      <c r="B663" s="2">
        <v>244.2</v>
      </c>
      <c r="C663">
        <f t="shared" si="10"/>
        <v>-5.4000000000000057</v>
      </c>
      <c r="F663" s="2">
        <v>244.2</v>
      </c>
    </row>
    <row r="664" spans="1:6" x14ac:dyDescent="0.25">
      <c r="A664" s="1">
        <v>44890</v>
      </c>
      <c r="B664" s="2">
        <v>245.2</v>
      </c>
      <c r="C664">
        <f t="shared" si="10"/>
        <v>1</v>
      </c>
      <c r="F664" s="2">
        <v>245.2</v>
      </c>
    </row>
    <row r="665" spans="1:6" x14ac:dyDescent="0.25">
      <c r="A665" s="1">
        <v>44893</v>
      </c>
      <c r="B665" s="2">
        <v>254.2</v>
      </c>
      <c r="C665">
        <f t="shared" si="10"/>
        <v>9</v>
      </c>
      <c r="F665" s="2">
        <v>254.2</v>
      </c>
    </row>
    <row r="666" spans="1:6" x14ac:dyDescent="0.25">
      <c r="A666" s="1">
        <v>44894</v>
      </c>
      <c r="B666" s="2">
        <v>250.8</v>
      </c>
      <c r="C666">
        <f t="shared" si="10"/>
        <v>-3.3999999999999773</v>
      </c>
      <c r="F666" s="2">
        <v>250.8</v>
      </c>
    </row>
    <row r="667" spans="1:6" x14ac:dyDescent="0.25">
      <c r="A667" s="1">
        <v>44895</v>
      </c>
      <c r="B667" s="2">
        <v>241.2</v>
      </c>
      <c r="C667">
        <f t="shared" si="10"/>
        <v>-9.6000000000000227</v>
      </c>
      <c r="F667" s="2">
        <v>241.2</v>
      </c>
    </row>
    <row r="668" spans="1:6" x14ac:dyDescent="0.25">
      <c r="A668" s="1">
        <v>44896</v>
      </c>
      <c r="B668" s="2">
        <v>237.2</v>
      </c>
      <c r="C668">
        <f t="shared" si="10"/>
        <v>-4</v>
      </c>
      <c r="F668" s="2">
        <v>237.2</v>
      </c>
    </row>
    <row r="669" spans="1:6" x14ac:dyDescent="0.25">
      <c r="A669" s="1">
        <v>44897</v>
      </c>
      <c r="B669" s="2">
        <v>232.4</v>
      </c>
      <c r="C669">
        <f t="shared" si="10"/>
        <v>-4.7999999999999829</v>
      </c>
      <c r="F669" s="2">
        <v>232.4</v>
      </c>
    </row>
    <row r="670" spans="1:6" x14ac:dyDescent="0.25">
      <c r="A670" s="1">
        <v>44900</v>
      </c>
      <c r="B670" s="2">
        <v>237</v>
      </c>
      <c r="C670">
        <f t="shared" si="10"/>
        <v>4.5999999999999943</v>
      </c>
      <c r="F670" s="2">
        <v>237</v>
      </c>
    </row>
    <row r="671" spans="1:6" x14ac:dyDescent="0.25">
      <c r="A671" s="1">
        <v>44901</v>
      </c>
      <c r="B671" s="2">
        <v>243.6</v>
      </c>
      <c r="C671">
        <f t="shared" si="10"/>
        <v>6.5999999999999943</v>
      </c>
      <c r="F671" s="2">
        <v>243.6</v>
      </c>
    </row>
    <row r="672" spans="1:6" x14ac:dyDescent="0.25">
      <c r="A672" s="1">
        <v>44902</v>
      </c>
      <c r="B672" s="2">
        <v>247</v>
      </c>
      <c r="C672">
        <f t="shared" si="10"/>
        <v>3.4000000000000057</v>
      </c>
      <c r="F672" s="2">
        <v>247</v>
      </c>
    </row>
    <row r="673" spans="1:6" x14ac:dyDescent="0.25">
      <c r="A673" s="1">
        <v>44903</v>
      </c>
      <c r="B673" s="2">
        <v>242.2</v>
      </c>
      <c r="C673">
        <f t="shared" si="10"/>
        <v>-4.8000000000000114</v>
      </c>
      <c r="F673" s="2">
        <v>242.2</v>
      </c>
    </row>
    <row r="674" spans="1:6" x14ac:dyDescent="0.25">
      <c r="A674" s="1">
        <v>44904</v>
      </c>
      <c r="B674" s="2">
        <v>247.8</v>
      </c>
      <c r="C674">
        <f t="shared" si="10"/>
        <v>5.6000000000000227</v>
      </c>
      <c r="F674" s="2">
        <v>247.8</v>
      </c>
    </row>
    <row r="675" spans="1:6" x14ac:dyDescent="0.25">
      <c r="A675" s="1">
        <v>44907</v>
      </c>
      <c r="B675" s="2">
        <v>246.2</v>
      </c>
      <c r="C675">
        <f t="shared" si="10"/>
        <v>-1.6000000000000227</v>
      </c>
      <c r="F675" s="2">
        <v>246.2</v>
      </c>
    </row>
    <row r="676" spans="1:6" x14ac:dyDescent="0.25">
      <c r="A676" s="1">
        <v>44908</v>
      </c>
      <c r="B676" s="2">
        <v>236</v>
      </c>
      <c r="C676">
        <f t="shared" si="10"/>
        <v>-10.199999999999989</v>
      </c>
      <c r="F676" s="2">
        <v>236</v>
      </c>
    </row>
    <row r="677" spans="1:6" x14ac:dyDescent="0.25">
      <c r="A677" s="1">
        <v>44909</v>
      </c>
      <c r="B677" s="2">
        <v>227.2</v>
      </c>
      <c r="C677">
        <f t="shared" si="10"/>
        <v>-8.8000000000000114</v>
      </c>
      <c r="F677" s="2">
        <v>227.2</v>
      </c>
    </row>
    <row r="678" spans="1:6" x14ac:dyDescent="0.25">
      <c r="A678" s="1">
        <v>44910</v>
      </c>
      <c r="B678" s="2">
        <v>241.8</v>
      </c>
      <c r="C678">
        <f t="shared" si="10"/>
        <v>14.600000000000023</v>
      </c>
      <c r="F678" s="2">
        <v>241.8</v>
      </c>
    </row>
    <row r="679" spans="1:6" x14ac:dyDescent="0.25">
      <c r="A679" s="1">
        <v>44911</v>
      </c>
      <c r="B679" s="2">
        <v>243.2</v>
      </c>
      <c r="C679">
        <f t="shared" si="10"/>
        <v>1.3999999999999773</v>
      </c>
      <c r="F679" s="2">
        <v>243.2</v>
      </c>
    </row>
    <row r="680" spans="1:6" x14ac:dyDescent="0.25">
      <c r="A680" s="1">
        <v>44914</v>
      </c>
      <c r="B680" s="2">
        <v>236.8</v>
      </c>
      <c r="C680">
        <f t="shared" si="10"/>
        <v>-6.3999999999999773</v>
      </c>
      <c r="F680" s="2">
        <v>236.8</v>
      </c>
    </row>
    <row r="681" spans="1:6" x14ac:dyDescent="0.25">
      <c r="A681" s="1">
        <v>44915</v>
      </c>
      <c r="B681" s="2">
        <v>234.8</v>
      </c>
      <c r="C681">
        <f t="shared" si="10"/>
        <v>-2</v>
      </c>
      <c r="F681" s="2">
        <v>234.8</v>
      </c>
    </row>
    <row r="682" spans="1:6" x14ac:dyDescent="0.25">
      <c r="A682" s="1">
        <v>44916</v>
      </c>
      <c r="B682" s="2">
        <v>226.4</v>
      </c>
      <c r="C682">
        <f t="shared" si="10"/>
        <v>-8.4000000000000057</v>
      </c>
      <c r="F682" s="2">
        <v>226.4</v>
      </c>
    </row>
    <row r="683" spans="1:6" x14ac:dyDescent="0.25">
      <c r="A683" s="1">
        <v>44917</v>
      </c>
      <c r="B683" s="2">
        <v>238.2</v>
      </c>
      <c r="C683">
        <f t="shared" si="10"/>
        <v>11.799999999999983</v>
      </c>
      <c r="F683" s="2">
        <v>238.2</v>
      </c>
    </row>
    <row r="684" spans="1:6" x14ac:dyDescent="0.25">
      <c r="A684" s="1">
        <v>44918</v>
      </c>
      <c r="B684" s="2">
        <v>231.6</v>
      </c>
      <c r="C684">
        <f t="shared" si="10"/>
        <v>-6.5999999999999943</v>
      </c>
      <c r="F684" s="2">
        <v>231.6</v>
      </c>
    </row>
    <row r="685" spans="1:6" x14ac:dyDescent="0.25">
      <c r="A685" s="1">
        <v>44922</v>
      </c>
      <c r="B685" s="2">
        <v>231.8</v>
      </c>
      <c r="C685">
        <f t="shared" si="10"/>
        <v>0.20000000000001705</v>
      </c>
      <c r="F685" s="2">
        <v>231.8</v>
      </c>
    </row>
    <row r="686" spans="1:6" x14ac:dyDescent="0.25">
      <c r="A686" s="1">
        <v>44923</v>
      </c>
      <c r="B686" s="2">
        <v>231.6</v>
      </c>
      <c r="C686">
        <f t="shared" si="10"/>
        <v>-0.20000000000001705</v>
      </c>
      <c r="F686" s="2">
        <v>231.6</v>
      </c>
    </row>
    <row r="687" spans="1:6" x14ac:dyDescent="0.25">
      <c r="A687" s="1">
        <v>44924</v>
      </c>
      <c r="B687" s="2">
        <v>228.6</v>
      </c>
      <c r="C687">
        <f t="shared" si="10"/>
        <v>-3</v>
      </c>
      <c r="F687" s="2">
        <v>228.6</v>
      </c>
    </row>
    <row r="688" spans="1:6" x14ac:dyDescent="0.25">
      <c r="A688" s="1">
        <v>44925</v>
      </c>
      <c r="B688" s="2">
        <v>227.6</v>
      </c>
      <c r="C688">
        <f t="shared" si="10"/>
        <v>-1</v>
      </c>
      <c r="F688" s="2">
        <v>227.6</v>
      </c>
    </row>
    <row r="689" spans="1:6" x14ac:dyDescent="0.25">
      <c r="A689" s="1">
        <v>44929</v>
      </c>
      <c r="B689" s="2">
        <v>226.6</v>
      </c>
      <c r="C689">
        <f t="shared" si="10"/>
        <v>-1</v>
      </c>
      <c r="F689" s="2">
        <v>226.6</v>
      </c>
    </row>
    <row r="690" spans="1:6" x14ac:dyDescent="0.25">
      <c r="A690" s="1">
        <v>44930</v>
      </c>
      <c r="B690" s="2">
        <v>219.8</v>
      </c>
      <c r="C690">
        <f t="shared" si="10"/>
        <v>-6.7999999999999829</v>
      </c>
      <c r="F690" s="2">
        <v>219.8</v>
      </c>
    </row>
    <row r="691" spans="1:6" x14ac:dyDescent="0.25">
      <c r="A691" s="1">
        <v>44931</v>
      </c>
      <c r="B691" s="2">
        <v>221.6</v>
      </c>
      <c r="C691">
        <f t="shared" si="10"/>
        <v>1.7999999999999829</v>
      </c>
      <c r="F691" s="2">
        <v>221.6</v>
      </c>
    </row>
    <row r="692" spans="1:6" x14ac:dyDescent="0.25">
      <c r="A692" s="1">
        <v>44932</v>
      </c>
      <c r="B692" s="2">
        <v>216.4</v>
      </c>
      <c r="C692">
        <f t="shared" si="10"/>
        <v>-5.1999999999999886</v>
      </c>
      <c r="F692" s="2">
        <v>216.4</v>
      </c>
    </row>
    <row r="693" spans="1:6" x14ac:dyDescent="0.25">
      <c r="A693" s="1">
        <v>44935</v>
      </c>
      <c r="B693" s="2">
        <v>217.6</v>
      </c>
      <c r="C693">
        <f t="shared" si="10"/>
        <v>1.1999999999999886</v>
      </c>
      <c r="F693" s="2">
        <v>217.6</v>
      </c>
    </row>
    <row r="694" spans="1:6" x14ac:dyDescent="0.25">
      <c r="A694" s="1">
        <v>44936</v>
      </c>
      <c r="B694" s="2">
        <v>208.4</v>
      </c>
      <c r="C694">
        <f t="shared" si="10"/>
        <v>-9.1999999999999886</v>
      </c>
      <c r="F694" s="2">
        <v>208.4</v>
      </c>
    </row>
    <row r="695" spans="1:6" x14ac:dyDescent="0.25">
      <c r="A695" s="1">
        <v>44937</v>
      </c>
      <c r="B695" s="2">
        <v>209.6</v>
      </c>
      <c r="C695">
        <f t="shared" si="10"/>
        <v>1.1999999999999886</v>
      </c>
      <c r="F695" s="2">
        <v>209.6</v>
      </c>
    </row>
    <row r="696" spans="1:6" x14ac:dyDescent="0.25">
      <c r="A696" s="1">
        <v>44938</v>
      </c>
      <c r="B696" s="2">
        <v>199.2</v>
      </c>
      <c r="C696">
        <f t="shared" si="10"/>
        <v>-10.400000000000006</v>
      </c>
      <c r="F696" s="2">
        <v>199.2</v>
      </c>
    </row>
    <row r="697" spans="1:6" x14ac:dyDescent="0.25">
      <c r="A697" s="1">
        <v>44939</v>
      </c>
      <c r="B697" s="2">
        <v>194.4</v>
      </c>
      <c r="C697">
        <f t="shared" si="10"/>
        <v>-4.7999999999999829</v>
      </c>
      <c r="F697" s="2">
        <v>194.4</v>
      </c>
    </row>
    <row r="698" spans="1:6" x14ac:dyDescent="0.25">
      <c r="A698" s="1">
        <v>44943</v>
      </c>
      <c r="B698" s="2">
        <v>196</v>
      </c>
      <c r="C698">
        <f t="shared" si="10"/>
        <v>1.5999999999999943</v>
      </c>
      <c r="F698" s="2">
        <v>196</v>
      </c>
    </row>
    <row r="699" spans="1:6" x14ac:dyDescent="0.25">
      <c r="A699" s="1">
        <v>44944</v>
      </c>
      <c r="B699" s="2">
        <v>202.6</v>
      </c>
      <c r="C699">
        <f t="shared" si="10"/>
        <v>6.5999999999999943</v>
      </c>
      <c r="F699" s="2">
        <v>202.6</v>
      </c>
    </row>
    <row r="700" spans="1:6" x14ac:dyDescent="0.25">
      <c r="A700" s="1">
        <v>44945</v>
      </c>
      <c r="B700" s="2">
        <v>203.6</v>
      </c>
      <c r="C700">
        <f t="shared" si="10"/>
        <v>1</v>
      </c>
      <c r="F700" s="2">
        <v>203.6</v>
      </c>
    </row>
    <row r="701" spans="1:6" x14ac:dyDescent="0.25">
      <c r="A701" s="1">
        <v>44946</v>
      </c>
      <c r="B701" s="2">
        <v>196.6</v>
      </c>
      <c r="C701">
        <f t="shared" si="10"/>
        <v>-7</v>
      </c>
      <c r="F701" s="2">
        <v>196.6</v>
      </c>
    </row>
    <row r="702" spans="1:6" x14ac:dyDescent="0.25">
      <c r="A702" s="1">
        <v>44949</v>
      </c>
      <c r="B702" s="2">
        <v>194.6</v>
      </c>
      <c r="C702">
        <f t="shared" si="10"/>
        <v>-2</v>
      </c>
      <c r="F702" s="2">
        <v>194.6</v>
      </c>
    </row>
    <row r="703" spans="1:6" x14ac:dyDescent="0.25">
      <c r="A703" s="1">
        <v>44950</v>
      </c>
      <c r="B703" s="2">
        <v>187.8</v>
      </c>
      <c r="C703">
        <f t="shared" si="10"/>
        <v>-6.7999999999999829</v>
      </c>
      <c r="F703" s="2">
        <v>187.8</v>
      </c>
    </row>
    <row r="704" spans="1:6" x14ac:dyDescent="0.25">
      <c r="A704" s="1">
        <v>44951</v>
      </c>
      <c r="B704" s="2">
        <v>187.5</v>
      </c>
      <c r="C704">
        <f t="shared" si="10"/>
        <v>-0.30000000000001137</v>
      </c>
      <c r="F704" s="2">
        <v>187.5</v>
      </c>
    </row>
    <row r="705" spans="1:6" x14ac:dyDescent="0.25">
      <c r="A705" s="1">
        <v>44952</v>
      </c>
      <c r="B705" s="2">
        <v>185.2</v>
      </c>
      <c r="C705">
        <f t="shared" si="10"/>
        <v>-2.3000000000000114</v>
      </c>
      <c r="F705" s="2">
        <v>185.2</v>
      </c>
    </row>
    <row r="706" spans="1:6" x14ac:dyDescent="0.25">
      <c r="A706" s="1">
        <v>44953</v>
      </c>
      <c r="B706" s="2">
        <v>182</v>
      </c>
      <c r="C706">
        <f t="shared" si="10"/>
        <v>-3.1999999999999886</v>
      </c>
      <c r="F706" s="2">
        <v>182</v>
      </c>
    </row>
    <row r="707" spans="1:6" x14ac:dyDescent="0.25">
      <c r="A707" s="1">
        <v>44956</v>
      </c>
      <c r="B707" s="2">
        <v>187.2</v>
      </c>
      <c r="C707">
        <f t="shared" si="10"/>
        <v>5.1999999999999886</v>
      </c>
      <c r="F707" s="2">
        <v>187.2</v>
      </c>
    </row>
    <row r="708" spans="1:6" x14ac:dyDescent="0.25">
      <c r="A708" s="1">
        <v>44957</v>
      </c>
      <c r="B708" s="2">
        <v>183</v>
      </c>
      <c r="C708">
        <f t="shared" ref="C708:C771" si="11">(B708-B707)</f>
        <v>-4.1999999999999886</v>
      </c>
      <c r="F708" s="2">
        <v>183</v>
      </c>
    </row>
    <row r="709" spans="1:6" x14ac:dyDescent="0.25">
      <c r="A709" s="1">
        <v>44958</v>
      </c>
      <c r="B709" s="2">
        <v>176.6</v>
      </c>
      <c r="C709">
        <f t="shared" si="11"/>
        <v>-6.4000000000000057</v>
      </c>
      <c r="F709" s="2">
        <v>176.6</v>
      </c>
    </row>
    <row r="710" spans="1:6" x14ac:dyDescent="0.25">
      <c r="A710" s="1">
        <v>44959</v>
      </c>
      <c r="B710" s="2">
        <v>181</v>
      </c>
      <c r="C710">
        <f t="shared" si="11"/>
        <v>4.4000000000000057</v>
      </c>
      <c r="F710" s="2">
        <v>181</v>
      </c>
    </row>
    <row r="711" spans="1:6" x14ac:dyDescent="0.25">
      <c r="A711" s="1">
        <v>44960</v>
      </c>
      <c r="B711" s="2">
        <v>182.2</v>
      </c>
      <c r="C711">
        <f t="shared" si="11"/>
        <v>1.1999999999999886</v>
      </c>
      <c r="F711" s="2">
        <v>182.2</v>
      </c>
    </row>
    <row r="712" spans="1:6" x14ac:dyDescent="0.25">
      <c r="A712" s="1">
        <v>44963</v>
      </c>
      <c r="B712" s="2">
        <v>187</v>
      </c>
      <c r="C712">
        <f t="shared" si="11"/>
        <v>4.8000000000000114</v>
      </c>
      <c r="F712" s="2">
        <v>187</v>
      </c>
    </row>
    <row r="713" spans="1:6" x14ac:dyDescent="0.25">
      <c r="A713" s="1">
        <v>44964</v>
      </c>
      <c r="B713" s="2">
        <v>181.2</v>
      </c>
      <c r="C713">
        <f t="shared" si="11"/>
        <v>-5.8000000000000114</v>
      </c>
      <c r="F713" s="2">
        <v>181.2</v>
      </c>
    </row>
    <row r="714" spans="1:6" x14ac:dyDescent="0.25">
      <c r="A714" s="1">
        <v>44965</v>
      </c>
      <c r="B714" s="2">
        <v>188.6</v>
      </c>
      <c r="C714">
        <f t="shared" si="11"/>
        <v>7.4000000000000057</v>
      </c>
      <c r="F714" s="2">
        <v>188.6</v>
      </c>
    </row>
    <row r="715" spans="1:6" x14ac:dyDescent="0.25">
      <c r="A715" s="1">
        <v>44966</v>
      </c>
      <c r="B715" s="2">
        <v>193.8</v>
      </c>
      <c r="C715">
        <f t="shared" si="11"/>
        <v>5.2000000000000171</v>
      </c>
      <c r="F715" s="2">
        <v>193.8</v>
      </c>
    </row>
    <row r="716" spans="1:6" x14ac:dyDescent="0.25">
      <c r="A716" s="1">
        <v>44967</v>
      </c>
      <c r="B716" s="2">
        <v>196.4</v>
      </c>
      <c r="C716">
        <f t="shared" si="11"/>
        <v>2.5999999999999943</v>
      </c>
      <c r="F716" s="2">
        <v>196.4</v>
      </c>
    </row>
    <row r="717" spans="1:6" x14ac:dyDescent="0.25">
      <c r="A717" s="1">
        <v>44970</v>
      </c>
      <c r="B717" s="2">
        <v>189.4</v>
      </c>
      <c r="C717">
        <f t="shared" si="11"/>
        <v>-7</v>
      </c>
      <c r="F717" s="2">
        <v>189.4</v>
      </c>
    </row>
    <row r="718" spans="1:6" x14ac:dyDescent="0.25">
      <c r="A718" s="1">
        <v>44971</v>
      </c>
      <c r="B718" s="2">
        <v>182.2</v>
      </c>
      <c r="C718">
        <f t="shared" si="11"/>
        <v>-7.2000000000000171</v>
      </c>
      <c r="F718" s="2">
        <v>182.2</v>
      </c>
    </row>
    <row r="719" spans="1:6" x14ac:dyDescent="0.25">
      <c r="A719" s="1">
        <v>44972</v>
      </c>
      <c r="B719" s="2">
        <v>178.6</v>
      </c>
      <c r="C719">
        <f t="shared" si="11"/>
        <v>-3.5999999999999943</v>
      </c>
      <c r="F719" s="2">
        <v>178.6</v>
      </c>
    </row>
    <row r="720" spans="1:6" x14ac:dyDescent="0.25">
      <c r="A720" s="1">
        <v>44973</v>
      </c>
      <c r="B720" s="2">
        <v>188</v>
      </c>
      <c r="C720">
        <f t="shared" si="11"/>
        <v>9.4000000000000057</v>
      </c>
      <c r="F720" s="2">
        <v>188</v>
      </c>
    </row>
    <row r="721" spans="1:6" x14ac:dyDescent="0.25">
      <c r="A721" s="1">
        <v>44974</v>
      </c>
      <c r="B721" s="2">
        <v>189</v>
      </c>
      <c r="C721">
        <f t="shared" si="11"/>
        <v>1</v>
      </c>
      <c r="F721" s="2">
        <v>189</v>
      </c>
    </row>
    <row r="722" spans="1:6" x14ac:dyDescent="0.25">
      <c r="A722" s="1">
        <v>44978</v>
      </c>
      <c r="B722" s="2">
        <v>203.4</v>
      </c>
      <c r="C722">
        <f t="shared" si="11"/>
        <v>14.400000000000006</v>
      </c>
      <c r="F722" s="2">
        <v>203.4</v>
      </c>
    </row>
    <row r="723" spans="1:6" x14ac:dyDescent="0.25">
      <c r="A723" s="1">
        <v>44979</v>
      </c>
      <c r="B723" s="2">
        <v>197</v>
      </c>
      <c r="C723">
        <f t="shared" si="11"/>
        <v>-6.4000000000000057</v>
      </c>
      <c r="F723" s="2">
        <v>197</v>
      </c>
    </row>
    <row r="724" spans="1:6" x14ac:dyDescent="0.25">
      <c r="A724" s="1">
        <v>44980</v>
      </c>
      <c r="B724" s="2">
        <v>190.4</v>
      </c>
      <c r="C724">
        <f t="shared" si="11"/>
        <v>-6.5999999999999943</v>
      </c>
      <c r="F724" s="2">
        <v>190.4</v>
      </c>
    </row>
    <row r="725" spans="1:6" x14ac:dyDescent="0.25">
      <c r="A725" s="1">
        <v>44981</v>
      </c>
      <c r="B725" s="2">
        <v>197.6</v>
      </c>
      <c r="C725">
        <f t="shared" si="11"/>
        <v>7.1999999999999886</v>
      </c>
      <c r="F725" s="2">
        <v>197.6</v>
      </c>
    </row>
    <row r="726" spans="1:6" x14ac:dyDescent="0.25">
      <c r="A726" s="1">
        <v>44984</v>
      </c>
      <c r="B726" s="2">
        <v>190.6</v>
      </c>
      <c r="C726">
        <f t="shared" si="11"/>
        <v>-7</v>
      </c>
      <c r="F726" s="2">
        <v>190.6</v>
      </c>
    </row>
    <row r="727" spans="1:6" x14ac:dyDescent="0.25">
      <c r="A727" s="1">
        <v>44985</v>
      </c>
      <c r="B727" s="2">
        <v>186.4</v>
      </c>
      <c r="C727">
        <f t="shared" si="11"/>
        <v>-4.1999999999999886</v>
      </c>
      <c r="F727" s="2">
        <v>186.4</v>
      </c>
    </row>
    <row r="728" spans="1:6" x14ac:dyDescent="0.25">
      <c r="A728" s="1">
        <v>44986</v>
      </c>
      <c r="B728" s="2">
        <v>187.6</v>
      </c>
      <c r="C728">
        <f t="shared" si="11"/>
        <v>1.1999999999999886</v>
      </c>
      <c r="F728" s="2">
        <v>187.6</v>
      </c>
    </row>
    <row r="729" spans="1:6" x14ac:dyDescent="0.25">
      <c r="A729" s="1">
        <v>44987</v>
      </c>
      <c r="B729" s="2">
        <v>181</v>
      </c>
      <c r="C729">
        <f t="shared" si="11"/>
        <v>-6.5999999999999943</v>
      </c>
      <c r="F729" s="2">
        <v>181</v>
      </c>
    </row>
    <row r="730" spans="1:6" x14ac:dyDescent="0.25">
      <c r="A730" s="1">
        <v>44988</v>
      </c>
      <c r="B730" s="2">
        <v>175.2</v>
      </c>
      <c r="C730">
        <f t="shared" si="11"/>
        <v>-5.8000000000000114</v>
      </c>
      <c r="F730" s="2">
        <v>175.2</v>
      </c>
    </row>
    <row r="731" spans="1:6" x14ac:dyDescent="0.25">
      <c r="A731" s="1">
        <v>44991</v>
      </c>
      <c r="B731" s="2">
        <v>173.4</v>
      </c>
      <c r="C731">
        <f t="shared" si="11"/>
        <v>-1.7999999999999829</v>
      </c>
      <c r="F731" s="2">
        <v>173.4</v>
      </c>
    </row>
    <row r="732" spans="1:6" x14ac:dyDescent="0.25">
      <c r="A732" s="1">
        <v>44992</v>
      </c>
      <c r="B732" s="2">
        <v>177</v>
      </c>
      <c r="C732">
        <f t="shared" si="11"/>
        <v>3.5999999999999943</v>
      </c>
      <c r="F732" s="2">
        <v>177</v>
      </c>
    </row>
    <row r="733" spans="1:6" x14ac:dyDescent="0.25">
      <c r="A733" s="1">
        <v>44993</v>
      </c>
      <c r="B733" s="2">
        <v>173.4</v>
      </c>
      <c r="C733">
        <f t="shared" si="11"/>
        <v>-3.5999999999999943</v>
      </c>
      <c r="F733" s="2">
        <v>173.4</v>
      </c>
    </row>
    <row r="734" spans="1:6" x14ac:dyDescent="0.25">
      <c r="A734" s="1">
        <v>44994</v>
      </c>
      <c r="B734" s="2">
        <v>192.2</v>
      </c>
      <c r="C734">
        <f t="shared" si="11"/>
        <v>18.799999999999983</v>
      </c>
      <c r="F734" s="2">
        <v>192.2</v>
      </c>
    </row>
    <row r="735" spans="1:6" x14ac:dyDescent="0.25">
      <c r="A735" s="1">
        <v>44995</v>
      </c>
      <c r="B735" s="2">
        <v>212.4</v>
      </c>
      <c r="C735">
        <f t="shared" si="11"/>
        <v>20.200000000000017</v>
      </c>
      <c r="F735" s="2">
        <v>212.4</v>
      </c>
    </row>
    <row r="736" spans="1:6" x14ac:dyDescent="0.25">
      <c r="A736" s="1">
        <v>44998</v>
      </c>
      <c r="B736" s="2">
        <v>219</v>
      </c>
      <c r="C736">
        <f t="shared" si="11"/>
        <v>6.5999999999999943</v>
      </c>
      <c r="F736" s="2">
        <v>219</v>
      </c>
    </row>
    <row r="737" spans="1:6" x14ac:dyDescent="0.25">
      <c r="A737" s="1">
        <v>44999</v>
      </c>
      <c r="B737" s="2">
        <v>206.8</v>
      </c>
      <c r="C737">
        <f t="shared" si="11"/>
        <v>-12.199999999999989</v>
      </c>
      <c r="F737" s="2">
        <v>206.8</v>
      </c>
    </row>
    <row r="738" spans="1:6" x14ac:dyDescent="0.25">
      <c r="A738" s="1">
        <v>45000</v>
      </c>
      <c r="B738" s="2">
        <v>222.4</v>
      </c>
      <c r="C738">
        <f t="shared" si="11"/>
        <v>15.599999999999994</v>
      </c>
      <c r="F738" s="2">
        <v>222.4</v>
      </c>
    </row>
    <row r="739" spans="1:6" x14ac:dyDescent="0.25">
      <c r="A739" s="1">
        <v>45001</v>
      </c>
      <c r="B739" s="2">
        <v>203.2</v>
      </c>
      <c r="C739">
        <f t="shared" si="11"/>
        <v>-19.200000000000017</v>
      </c>
      <c r="F739" s="2">
        <v>203.2</v>
      </c>
    </row>
    <row r="740" spans="1:6" x14ac:dyDescent="0.25">
      <c r="A740" s="1">
        <v>45002</v>
      </c>
      <c r="B740" s="2">
        <v>224.6</v>
      </c>
      <c r="C740">
        <f t="shared" si="11"/>
        <v>21.400000000000006</v>
      </c>
      <c r="F740" s="2">
        <v>224.6</v>
      </c>
    </row>
    <row r="741" spans="1:6" x14ac:dyDescent="0.25">
      <c r="A741" s="1">
        <v>45005</v>
      </c>
      <c r="B741" s="2">
        <v>215.2</v>
      </c>
      <c r="C741">
        <f t="shared" si="11"/>
        <v>-9.4000000000000057</v>
      </c>
      <c r="F741" s="2">
        <v>215.2</v>
      </c>
    </row>
    <row r="742" spans="1:6" x14ac:dyDescent="0.25">
      <c r="A742" s="1">
        <v>45006</v>
      </c>
      <c r="B742" s="2">
        <v>195.4</v>
      </c>
      <c r="C742">
        <f t="shared" si="11"/>
        <v>-19.799999999999983</v>
      </c>
      <c r="F742" s="2">
        <v>195.4</v>
      </c>
    </row>
    <row r="743" spans="1:6" x14ac:dyDescent="0.25">
      <c r="A743" s="1">
        <v>45007</v>
      </c>
      <c r="B743" s="2">
        <v>202.8</v>
      </c>
      <c r="C743">
        <f t="shared" si="11"/>
        <v>7.4000000000000057</v>
      </c>
      <c r="F743" s="2">
        <v>202.8</v>
      </c>
    </row>
    <row r="744" spans="1:6" x14ac:dyDescent="0.25">
      <c r="A744" s="1">
        <v>45008</v>
      </c>
      <c r="B744" s="2">
        <v>209</v>
      </c>
      <c r="C744">
        <f t="shared" si="11"/>
        <v>6.1999999999999886</v>
      </c>
      <c r="F744" s="2">
        <v>209</v>
      </c>
    </row>
    <row r="745" spans="1:6" x14ac:dyDescent="0.25">
      <c r="A745" s="1">
        <v>45009</v>
      </c>
      <c r="B745" s="2">
        <v>200.2</v>
      </c>
      <c r="C745">
        <f t="shared" si="11"/>
        <v>-8.8000000000000114</v>
      </c>
      <c r="F745" s="2">
        <v>200.2</v>
      </c>
    </row>
    <row r="746" spans="1:6" x14ac:dyDescent="0.25">
      <c r="A746" s="1">
        <v>45012</v>
      </c>
      <c r="B746" s="2">
        <v>192.4</v>
      </c>
      <c r="C746">
        <f t="shared" si="11"/>
        <v>-7.7999999999999829</v>
      </c>
      <c r="F746" s="2">
        <v>192.4</v>
      </c>
    </row>
    <row r="747" spans="1:6" x14ac:dyDescent="0.25">
      <c r="A747" s="1">
        <v>45013</v>
      </c>
      <c r="B747" s="2">
        <v>188</v>
      </c>
      <c r="C747">
        <f t="shared" si="11"/>
        <v>-4.4000000000000057</v>
      </c>
      <c r="F747" s="2">
        <v>188</v>
      </c>
    </row>
    <row r="748" spans="1:6" x14ac:dyDescent="0.25">
      <c r="A748" s="1">
        <v>45014</v>
      </c>
      <c r="B748" s="2">
        <v>181.8</v>
      </c>
      <c r="C748">
        <f t="shared" si="11"/>
        <v>-6.1999999999999886</v>
      </c>
      <c r="F748" s="2">
        <v>181.8</v>
      </c>
    </row>
    <row r="749" spans="1:6" x14ac:dyDescent="0.25">
      <c r="A749" s="1">
        <v>45015</v>
      </c>
      <c r="B749" s="2">
        <v>181.6</v>
      </c>
      <c r="C749">
        <f t="shared" si="11"/>
        <v>-0.20000000000001705</v>
      </c>
      <c r="F749" s="2">
        <v>181.6</v>
      </c>
    </row>
    <row r="750" spans="1:6" x14ac:dyDescent="0.25">
      <c r="A750" s="1">
        <v>45016</v>
      </c>
      <c r="B750" s="2">
        <v>181</v>
      </c>
      <c r="C750">
        <f t="shared" si="11"/>
        <v>-0.59999999999999432</v>
      </c>
      <c r="F750" s="2">
        <v>181</v>
      </c>
    </row>
    <row r="751" spans="1:6" x14ac:dyDescent="0.25">
      <c r="A751" s="1">
        <v>45019</v>
      </c>
      <c r="B751" s="2">
        <v>176.2</v>
      </c>
      <c r="C751">
        <f t="shared" si="11"/>
        <v>-4.8000000000000114</v>
      </c>
      <c r="F751" s="2">
        <v>176.2</v>
      </c>
    </row>
    <row r="752" spans="1:6" x14ac:dyDescent="0.25">
      <c r="A752" s="1">
        <v>45020</v>
      </c>
      <c r="B752" s="2">
        <v>179.4</v>
      </c>
      <c r="C752">
        <f t="shared" si="11"/>
        <v>3.2000000000000171</v>
      </c>
      <c r="F752" s="2">
        <v>179.4</v>
      </c>
    </row>
    <row r="753" spans="1:6" x14ac:dyDescent="0.25">
      <c r="A753" s="1">
        <v>45021</v>
      </c>
      <c r="B753" s="2">
        <v>178.2</v>
      </c>
      <c r="C753">
        <f t="shared" si="11"/>
        <v>-1.2000000000000171</v>
      </c>
      <c r="F753" s="2">
        <v>178.2</v>
      </c>
    </row>
    <row r="754" spans="1:6" x14ac:dyDescent="0.25">
      <c r="A754" s="1">
        <v>45022</v>
      </c>
      <c r="B754" s="2">
        <v>175</v>
      </c>
      <c r="C754">
        <f t="shared" si="11"/>
        <v>-3.1999999999999886</v>
      </c>
      <c r="F754" s="2">
        <v>175</v>
      </c>
    </row>
    <row r="755" spans="1:6" x14ac:dyDescent="0.25">
      <c r="A755" s="1">
        <v>45026</v>
      </c>
      <c r="B755" s="2">
        <v>173.2</v>
      </c>
      <c r="C755">
        <f t="shared" si="11"/>
        <v>-1.8000000000000114</v>
      </c>
      <c r="F755" s="2">
        <v>173.2</v>
      </c>
    </row>
    <row r="756" spans="1:6" x14ac:dyDescent="0.25">
      <c r="A756" s="1">
        <v>45027</v>
      </c>
      <c r="B756" s="2">
        <v>171.8</v>
      </c>
      <c r="C756">
        <f t="shared" si="11"/>
        <v>-1.3999999999999773</v>
      </c>
      <c r="F756" s="2">
        <v>171.8</v>
      </c>
    </row>
    <row r="757" spans="1:6" x14ac:dyDescent="0.25">
      <c r="A757" s="1">
        <v>45028</v>
      </c>
      <c r="B757" s="2">
        <v>172</v>
      </c>
      <c r="C757">
        <f t="shared" si="11"/>
        <v>0.19999999999998863</v>
      </c>
      <c r="F757" s="2">
        <v>172</v>
      </c>
    </row>
    <row r="758" spans="1:6" x14ac:dyDescent="0.25">
      <c r="A758" s="1">
        <v>45029</v>
      </c>
      <c r="B758" s="2">
        <v>166.2</v>
      </c>
      <c r="C758">
        <f t="shared" si="11"/>
        <v>-5.8000000000000114</v>
      </c>
      <c r="F758" s="2">
        <v>166.2</v>
      </c>
    </row>
    <row r="759" spans="1:6" x14ac:dyDescent="0.25">
      <c r="A759" s="1">
        <v>45030</v>
      </c>
      <c r="B759" s="2">
        <v>163.6</v>
      </c>
      <c r="C759">
        <f t="shared" si="11"/>
        <v>-2.5999999999999943</v>
      </c>
      <c r="F759" s="2">
        <v>163.6</v>
      </c>
    </row>
    <row r="760" spans="1:6" x14ac:dyDescent="0.25">
      <c r="A760" s="1">
        <v>45033</v>
      </c>
      <c r="B760" s="2">
        <v>159</v>
      </c>
      <c r="C760">
        <f t="shared" si="11"/>
        <v>-4.5999999999999943</v>
      </c>
      <c r="F760" s="2">
        <v>159</v>
      </c>
    </row>
    <row r="761" spans="1:6" x14ac:dyDescent="0.25">
      <c r="A761" s="1">
        <v>45034</v>
      </c>
      <c r="B761" s="2">
        <v>157.6</v>
      </c>
      <c r="C761">
        <f t="shared" si="11"/>
        <v>-1.4000000000000057</v>
      </c>
      <c r="F761" s="2">
        <v>157.6</v>
      </c>
    </row>
    <row r="762" spans="1:6" x14ac:dyDescent="0.25">
      <c r="A762" s="1">
        <v>45035</v>
      </c>
      <c r="B762" s="2">
        <v>157.4</v>
      </c>
      <c r="C762">
        <f t="shared" si="11"/>
        <v>-0.19999999999998863</v>
      </c>
      <c r="F762" s="2">
        <v>157.4</v>
      </c>
    </row>
    <row r="763" spans="1:6" x14ac:dyDescent="0.25">
      <c r="A763" s="1">
        <v>45036</v>
      </c>
      <c r="B763" s="2">
        <v>160.80000000000001</v>
      </c>
      <c r="C763">
        <f t="shared" si="11"/>
        <v>3.4000000000000057</v>
      </c>
      <c r="F763" s="2">
        <v>160.80000000000001</v>
      </c>
    </row>
    <row r="764" spans="1:6" x14ac:dyDescent="0.25">
      <c r="A764" s="1">
        <v>45037</v>
      </c>
      <c r="B764" s="2">
        <v>157.80000000000001</v>
      </c>
      <c r="C764">
        <f t="shared" si="11"/>
        <v>-3</v>
      </c>
      <c r="F764" s="2">
        <v>157.80000000000001</v>
      </c>
    </row>
    <row r="765" spans="1:6" x14ac:dyDescent="0.25">
      <c r="A765" s="1">
        <v>45040</v>
      </c>
      <c r="B765" s="2">
        <v>157.4</v>
      </c>
      <c r="C765">
        <f t="shared" si="11"/>
        <v>-0.40000000000000568</v>
      </c>
      <c r="F765" s="2">
        <v>157.4</v>
      </c>
    </row>
    <row r="766" spans="1:6" x14ac:dyDescent="0.25">
      <c r="A766" s="1">
        <v>45041</v>
      </c>
      <c r="B766" s="2">
        <v>170</v>
      </c>
      <c r="C766">
        <f t="shared" si="11"/>
        <v>12.599999999999994</v>
      </c>
      <c r="F766" s="2">
        <v>170</v>
      </c>
    </row>
    <row r="767" spans="1:6" x14ac:dyDescent="0.25">
      <c r="A767" s="1">
        <v>45042</v>
      </c>
      <c r="B767" s="2">
        <v>165.6</v>
      </c>
      <c r="C767">
        <f t="shared" si="11"/>
        <v>-4.4000000000000057</v>
      </c>
      <c r="F767" s="2">
        <v>165.6</v>
      </c>
    </row>
    <row r="768" spans="1:6" x14ac:dyDescent="0.25">
      <c r="A768" s="1">
        <v>45043</v>
      </c>
      <c r="B768" s="2">
        <v>158.4</v>
      </c>
      <c r="C768">
        <f t="shared" si="11"/>
        <v>-7.1999999999999886</v>
      </c>
      <c r="F768" s="2">
        <v>158.4</v>
      </c>
    </row>
    <row r="769" spans="1:6" x14ac:dyDescent="0.25">
      <c r="A769" s="1">
        <v>45044</v>
      </c>
      <c r="B769" s="2">
        <v>151.6</v>
      </c>
      <c r="C769">
        <f t="shared" si="11"/>
        <v>-6.8000000000000114</v>
      </c>
      <c r="F769" s="2">
        <v>151.6</v>
      </c>
    </row>
    <row r="770" spans="1:6" x14ac:dyDescent="0.25">
      <c r="A770" s="1">
        <v>45047</v>
      </c>
      <c r="B770" s="2">
        <v>149.69999999999999</v>
      </c>
      <c r="C770">
        <f t="shared" si="11"/>
        <v>-1.9000000000000057</v>
      </c>
      <c r="F770" s="2">
        <v>149.69999999999999</v>
      </c>
    </row>
    <row r="771" spans="1:6" x14ac:dyDescent="0.25">
      <c r="A771" s="1">
        <v>45048</v>
      </c>
      <c r="B771" s="2">
        <v>156.6</v>
      </c>
      <c r="C771">
        <f t="shared" si="11"/>
        <v>6.9000000000000057</v>
      </c>
      <c r="F771" s="2">
        <v>156.6</v>
      </c>
    </row>
    <row r="772" spans="1:6" x14ac:dyDescent="0.25">
      <c r="A772" s="1">
        <v>45049</v>
      </c>
      <c r="B772" s="2">
        <v>161</v>
      </c>
      <c r="C772">
        <f t="shared" ref="C772:C835" si="12">(B772-B771)</f>
        <v>4.4000000000000057</v>
      </c>
      <c r="F772" s="2">
        <v>161</v>
      </c>
    </row>
    <row r="773" spans="1:6" x14ac:dyDescent="0.25">
      <c r="A773" s="1">
        <v>45050</v>
      </c>
      <c r="B773" s="2">
        <v>169</v>
      </c>
      <c r="C773">
        <f t="shared" si="12"/>
        <v>8</v>
      </c>
      <c r="F773" s="2">
        <v>169</v>
      </c>
    </row>
    <row r="774" spans="1:6" x14ac:dyDescent="0.25">
      <c r="A774" s="1">
        <v>45051</v>
      </c>
      <c r="B774" s="2">
        <v>156</v>
      </c>
      <c r="C774">
        <f t="shared" si="12"/>
        <v>-13</v>
      </c>
      <c r="F774" s="2">
        <v>156</v>
      </c>
    </row>
    <row r="775" spans="1:6" x14ac:dyDescent="0.25">
      <c r="A775" s="1">
        <v>45054</v>
      </c>
      <c r="B775" s="2">
        <v>153.4</v>
      </c>
      <c r="C775">
        <f t="shared" si="12"/>
        <v>-2.5999999999999943</v>
      </c>
      <c r="F775" s="2">
        <v>153.4</v>
      </c>
    </row>
    <row r="776" spans="1:6" x14ac:dyDescent="0.25">
      <c r="A776" s="1">
        <v>45055</v>
      </c>
      <c r="B776" s="2">
        <v>156.6</v>
      </c>
      <c r="C776">
        <f t="shared" si="12"/>
        <v>3.1999999999999886</v>
      </c>
      <c r="F776" s="2">
        <v>156.6</v>
      </c>
    </row>
    <row r="777" spans="1:6" x14ac:dyDescent="0.25">
      <c r="A777" s="1">
        <v>45056</v>
      </c>
      <c r="B777" s="2">
        <v>152</v>
      </c>
      <c r="C777">
        <f t="shared" si="12"/>
        <v>-4.5999999999999943</v>
      </c>
      <c r="F777" s="2">
        <v>152</v>
      </c>
    </row>
    <row r="778" spans="1:6" x14ac:dyDescent="0.25">
      <c r="A778" s="1">
        <v>45057</v>
      </c>
      <c r="B778" s="2">
        <v>150.6</v>
      </c>
      <c r="C778">
        <f t="shared" si="12"/>
        <v>-1.4000000000000057</v>
      </c>
      <c r="F778" s="2">
        <v>150.6</v>
      </c>
    </row>
    <row r="779" spans="1:6" x14ac:dyDescent="0.25">
      <c r="A779" s="1">
        <v>45058</v>
      </c>
      <c r="B779" s="2">
        <v>150.4</v>
      </c>
      <c r="C779">
        <f t="shared" si="12"/>
        <v>-0.19999999999998863</v>
      </c>
      <c r="F779" s="2">
        <v>150.4</v>
      </c>
    </row>
    <row r="780" spans="1:6" x14ac:dyDescent="0.25">
      <c r="A780" s="1">
        <v>45061</v>
      </c>
      <c r="B780" s="2">
        <v>147</v>
      </c>
      <c r="C780">
        <f t="shared" si="12"/>
        <v>-3.4000000000000057</v>
      </c>
      <c r="F780" s="2">
        <v>147</v>
      </c>
    </row>
    <row r="781" spans="1:6" x14ac:dyDescent="0.25">
      <c r="A781" s="1">
        <v>45062</v>
      </c>
      <c r="B781" s="2">
        <v>150.80000000000001</v>
      </c>
      <c r="C781">
        <f t="shared" si="12"/>
        <v>3.8000000000000114</v>
      </c>
      <c r="F781" s="2">
        <v>150.80000000000001</v>
      </c>
    </row>
    <row r="782" spans="1:6" x14ac:dyDescent="0.25">
      <c r="A782" s="1">
        <v>45063</v>
      </c>
      <c r="B782" s="2">
        <v>145.80000000000001</v>
      </c>
      <c r="C782">
        <f t="shared" si="12"/>
        <v>-5</v>
      </c>
      <c r="F782" s="2">
        <v>145.80000000000001</v>
      </c>
    </row>
    <row r="783" spans="1:6" x14ac:dyDescent="0.25">
      <c r="A783" s="1">
        <v>45064</v>
      </c>
      <c r="B783" s="2">
        <v>140</v>
      </c>
      <c r="C783">
        <f t="shared" si="12"/>
        <v>-5.8000000000000114</v>
      </c>
      <c r="F783" s="2">
        <v>140</v>
      </c>
    </row>
    <row r="784" spans="1:6" x14ac:dyDescent="0.25">
      <c r="A784" s="1">
        <v>45065</v>
      </c>
      <c r="B784" s="2">
        <v>143.80000000000001</v>
      </c>
      <c r="C784">
        <f t="shared" si="12"/>
        <v>3.8000000000000114</v>
      </c>
      <c r="F784" s="2">
        <v>143.80000000000001</v>
      </c>
    </row>
    <row r="785" spans="1:6" x14ac:dyDescent="0.25">
      <c r="A785" s="1">
        <v>45068</v>
      </c>
      <c r="B785" s="2">
        <v>144.19999999999999</v>
      </c>
      <c r="C785">
        <f t="shared" si="12"/>
        <v>0.39999999999997726</v>
      </c>
      <c r="F785" s="2">
        <v>144.19999999999999</v>
      </c>
    </row>
    <row r="786" spans="1:6" x14ac:dyDescent="0.25">
      <c r="A786" s="1">
        <v>45069</v>
      </c>
      <c r="B786" s="2">
        <v>146.4</v>
      </c>
      <c r="C786">
        <f t="shared" si="12"/>
        <v>2.2000000000000171</v>
      </c>
      <c r="F786" s="2">
        <v>146.4</v>
      </c>
    </row>
    <row r="787" spans="1:6" x14ac:dyDescent="0.25">
      <c r="A787" s="1">
        <v>45070</v>
      </c>
      <c r="B787" s="2">
        <v>152.6</v>
      </c>
      <c r="C787">
        <f t="shared" si="12"/>
        <v>6.1999999999999886</v>
      </c>
      <c r="F787" s="2">
        <v>152.6</v>
      </c>
    </row>
    <row r="788" spans="1:6" x14ac:dyDescent="0.25">
      <c r="A788" s="1">
        <v>45071</v>
      </c>
      <c r="B788" s="2">
        <v>148.80000000000001</v>
      </c>
      <c r="C788">
        <f t="shared" si="12"/>
        <v>-3.7999999999999829</v>
      </c>
      <c r="F788" s="2">
        <v>148.80000000000001</v>
      </c>
    </row>
    <row r="789" spans="1:6" x14ac:dyDescent="0.25">
      <c r="A789" s="1">
        <v>45072</v>
      </c>
      <c r="B789" s="2">
        <v>143</v>
      </c>
      <c r="C789">
        <f t="shared" si="12"/>
        <v>-5.8000000000000114</v>
      </c>
      <c r="F789" s="2">
        <v>143</v>
      </c>
    </row>
    <row r="790" spans="1:6" x14ac:dyDescent="0.25">
      <c r="A790" s="1">
        <v>45076</v>
      </c>
      <c r="B790" s="2">
        <v>139.19999999999999</v>
      </c>
      <c r="C790">
        <f t="shared" si="12"/>
        <v>-3.8000000000000114</v>
      </c>
      <c r="F790" s="2">
        <v>139.19999999999999</v>
      </c>
    </row>
    <row r="791" spans="1:6" x14ac:dyDescent="0.25">
      <c r="A791" s="1">
        <v>45077</v>
      </c>
      <c r="B791" s="2">
        <v>138</v>
      </c>
      <c r="C791">
        <f t="shared" si="12"/>
        <v>-1.1999999999999886</v>
      </c>
      <c r="F791" s="2">
        <v>138</v>
      </c>
    </row>
    <row r="792" spans="1:6" x14ac:dyDescent="0.25">
      <c r="A792" s="1">
        <v>45078</v>
      </c>
      <c r="B792" s="2">
        <v>130.4</v>
      </c>
      <c r="C792">
        <f t="shared" si="12"/>
        <v>-7.5999999999999943</v>
      </c>
      <c r="F792" s="2">
        <v>130.4</v>
      </c>
    </row>
    <row r="793" spans="1:6" x14ac:dyDescent="0.25">
      <c r="A793" s="1">
        <v>45079</v>
      </c>
      <c r="B793" s="2">
        <v>125.2</v>
      </c>
      <c r="C793">
        <f t="shared" si="12"/>
        <v>-5.2000000000000028</v>
      </c>
      <c r="F793" s="2">
        <v>125.2</v>
      </c>
    </row>
    <row r="794" spans="1:6" x14ac:dyDescent="0.25">
      <c r="A794" s="1">
        <v>45082</v>
      </c>
      <c r="B794" s="2">
        <v>122.6</v>
      </c>
      <c r="C794">
        <f t="shared" si="12"/>
        <v>-2.6000000000000085</v>
      </c>
      <c r="F794" s="2">
        <v>122.6</v>
      </c>
    </row>
    <row r="795" spans="1:6" x14ac:dyDescent="0.25">
      <c r="A795" s="1">
        <v>45083</v>
      </c>
      <c r="B795" s="2">
        <v>115.2</v>
      </c>
      <c r="C795">
        <f t="shared" si="12"/>
        <v>-7.3999999999999915</v>
      </c>
      <c r="F795" s="2">
        <v>115.2</v>
      </c>
    </row>
    <row r="796" spans="1:6" x14ac:dyDescent="0.25">
      <c r="A796" s="1">
        <v>45084</v>
      </c>
      <c r="B796" s="2">
        <v>116</v>
      </c>
      <c r="C796">
        <f t="shared" si="12"/>
        <v>0.79999999999999716</v>
      </c>
      <c r="F796" s="2">
        <v>116</v>
      </c>
    </row>
    <row r="797" spans="1:6" x14ac:dyDescent="0.25">
      <c r="A797" s="1">
        <v>45085</v>
      </c>
      <c r="B797" s="2">
        <v>112.8</v>
      </c>
      <c r="C797">
        <f t="shared" si="12"/>
        <v>-3.2000000000000028</v>
      </c>
      <c r="F797" s="2">
        <v>112.8</v>
      </c>
    </row>
    <row r="798" spans="1:6" x14ac:dyDescent="0.25">
      <c r="A798" s="1">
        <v>45086</v>
      </c>
      <c r="B798" s="2">
        <v>114</v>
      </c>
      <c r="C798">
        <f t="shared" si="12"/>
        <v>1.2000000000000028</v>
      </c>
      <c r="F798" s="2">
        <v>114</v>
      </c>
    </row>
    <row r="799" spans="1:6" x14ac:dyDescent="0.25">
      <c r="A799" s="1">
        <v>45089</v>
      </c>
      <c r="B799" s="2">
        <v>114.4</v>
      </c>
      <c r="C799">
        <f t="shared" si="12"/>
        <v>0.40000000000000568</v>
      </c>
      <c r="F799" s="2">
        <v>114.4</v>
      </c>
    </row>
    <row r="800" spans="1:6" x14ac:dyDescent="0.25">
      <c r="A800" s="1">
        <v>45090</v>
      </c>
      <c r="B800" s="2">
        <v>113.8</v>
      </c>
      <c r="C800">
        <f t="shared" si="12"/>
        <v>-0.60000000000000853</v>
      </c>
      <c r="F800" s="2">
        <v>113.8</v>
      </c>
    </row>
    <row r="801" spans="1:6" x14ac:dyDescent="0.25">
      <c r="A801" s="1">
        <v>45091</v>
      </c>
      <c r="B801" s="2">
        <v>110.6</v>
      </c>
      <c r="C801">
        <f t="shared" si="12"/>
        <v>-3.2000000000000028</v>
      </c>
      <c r="F801" s="2">
        <v>110.6</v>
      </c>
    </row>
    <row r="802" spans="1:6" x14ac:dyDescent="0.25">
      <c r="A802" s="1">
        <v>45092</v>
      </c>
      <c r="B802" s="2">
        <v>113.8</v>
      </c>
      <c r="C802">
        <f t="shared" si="12"/>
        <v>3.2000000000000028</v>
      </c>
      <c r="F802" s="2">
        <v>113.8</v>
      </c>
    </row>
    <row r="803" spans="1:6" x14ac:dyDescent="0.25">
      <c r="A803" s="1">
        <v>45093</v>
      </c>
      <c r="B803" s="2">
        <v>109.2</v>
      </c>
      <c r="C803">
        <f t="shared" si="12"/>
        <v>-4.5999999999999943</v>
      </c>
      <c r="F803" s="2">
        <v>109.2</v>
      </c>
    </row>
    <row r="804" spans="1:6" x14ac:dyDescent="0.25">
      <c r="A804" s="1">
        <v>45097</v>
      </c>
      <c r="B804" s="2">
        <v>109.6</v>
      </c>
      <c r="C804">
        <f t="shared" si="12"/>
        <v>0.39999999999999147</v>
      </c>
      <c r="F804" s="2">
        <v>109.6</v>
      </c>
    </row>
    <row r="805" spans="1:6" x14ac:dyDescent="0.25">
      <c r="A805" s="1">
        <v>45098</v>
      </c>
      <c r="B805" s="2">
        <v>107.2</v>
      </c>
      <c r="C805">
        <f t="shared" si="12"/>
        <v>-2.3999999999999915</v>
      </c>
      <c r="F805" s="2">
        <v>107.2</v>
      </c>
    </row>
    <row r="806" spans="1:6" x14ac:dyDescent="0.25">
      <c r="A806" s="1">
        <v>45099</v>
      </c>
      <c r="B806" s="2">
        <v>105</v>
      </c>
      <c r="C806">
        <f t="shared" si="12"/>
        <v>-2.2000000000000028</v>
      </c>
      <c r="F806" s="2">
        <v>105</v>
      </c>
    </row>
    <row r="807" spans="1:6" x14ac:dyDescent="0.25">
      <c r="A807" s="1">
        <v>45100</v>
      </c>
      <c r="B807" s="2">
        <v>106.24</v>
      </c>
      <c r="C807">
        <f t="shared" si="12"/>
        <v>1.2399999999999949</v>
      </c>
      <c r="F807" s="2">
        <v>106.24</v>
      </c>
    </row>
    <row r="808" spans="1:6" x14ac:dyDescent="0.25">
      <c r="A808" s="1">
        <v>45103</v>
      </c>
      <c r="B808" s="2">
        <v>105.84</v>
      </c>
      <c r="C808">
        <f t="shared" si="12"/>
        <v>-0.39999999999999147</v>
      </c>
      <c r="F808" s="2">
        <v>105.84</v>
      </c>
    </row>
    <row r="809" spans="1:6" x14ac:dyDescent="0.25">
      <c r="A809" s="1">
        <v>45104</v>
      </c>
      <c r="B809" s="2">
        <v>103.24</v>
      </c>
      <c r="C809">
        <f t="shared" si="12"/>
        <v>-2.6000000000000085</v>
      </c>
      <c r="F809" s="2">
        <v>103.24</v>
      </c>
    </row>
    <row r="810" spans="1:6" x14ac:dyDescent="0.25">
      <c r="A810" s="1">
        <v>45105</v>
      </c>
      <c r="B810" s="2">
        <v>99.4</v>
      </c>
      <c r="C810">
        <f t="shared" si="12"/>
        <v>-3.8399999999999892</v>
      </c>
      <c r="F810" s="2">
        <v>99.4</v>
      </c>
    </row>
    <row r="811" spans="1:6" x14ac:dyDescent="0.25">
      <c r="A811" s="1">
        <v>45106</v>
      </c>
      <c r="B811" s="2">
        <v>101.68</v>
      </c>
      <c r="C811">
        <f t="shared" si="12"/>
        <v>2.2800000000000011</v>
      </c>
      <c r="F811" s="2">
        <v>101.68</v>
      </c>
    </row>
    <row r="812" spans="1:6" x14ac:dyDescent="0.25">
      <c r="A812" s="1">
        <v>45107</v>
      </c>
      <c r="B812" s="2">
        <v>99.84</v>
      </c>
      <c r="C812">
        <f t="shared" si="12"/>
        <v>-1.8400000000000034</v>
      </c>
      <c r="F812" s="2">
        <v>99.84</v>
      </c>
    </row>
    <row r="813" spans="1:6" x14ac:dyDescent="0.25">
      <c r="A813" s="1">
        <v>45110</v>
      </c>
      <c r="B813" s="2">
        <v>99.04</v>
      </c>
      <c r="C813">
        <f t="shared" si="12"/>
        <v>-0.79999999999999716</v>
      </c>
      <c r="F813" s="2">
        <v>99.04</v>
      </c>
    </row>
    <row r="814" spans="1:6" x14ac:dyDescent="0.25">
      <c r="A814" s="1">
        <v>45112</v>
      </c>
      <c r="B814" s="2">
        <v>100.96</v>
      </c>
      <c r="C814">
        <f t="shared" si="12"/>
        <v>1.9199999999999875</v>
      </c>
      <c r="F814" s="2">
        <v>100.96</v>
      </c>
    </row>
    <row r="815" spans="1:6" x14ac:dyDescent="0.25">
      <c r="A815" s="1">
        <v>45113</v>
      </c>
      <c r="B815" s="2">
        <v>106.28</v>
      </c>
      <c r="C815">
        <f t="shared" si="12"/>
        <v>5.3200000000000074</v>
      </c>
      <c r="F815" s="2">
        <v>106.28</v>
      </c>
    </row>
    <row r="816" spans="1:6" x14ac:dyDescent="0.25">
      <c r="A816" s="1">
        <v>45114</v>
      </c>
      <c r="B816" s="2">
        <v>103.88</v>
      </c>
      <c r="C816">
        <f t="shared" si="12"/>
        <v>-2.4000000000000057</v>
      </c>
      <c r="F816" s="2">
        <v>103.88</v>
      </c>
    </row>
    <row r="817" spans="1:6" x14ac:dyDescent="0.25">
      <c r="A817" s="1">
        <v>45117</v>
      </c>
      <c r="B817" s="2">
        <v>103.04</v>
      </c>
      <c r="C817">
        <f t="shared" si="12"/>
        <v>-0.8399999999999892</v>
      </c>
      <c r="F817" s="2">
        <v>103.04</v>
      </c>
    </row>
    <row r="818" spans="1:6" x14ac:dyDescent="0.25">
      <c r="A818" s="1">
        <v>45118</v>
      </c>
      <c r="B818" s="2">
        <v>102.2</v>
      </c>
      <c r="C818">
        <f t="shared" si="12"/>
        <v>-0.84000000000000341</v>
      </c>
      <c r="F818" s="2">
        <v>102.2</v>
      </c>
    </row>
    <row r="819" spans="1:6" x14ac:dyDescent="0.25">
      <c r="A819" s="1">
        <v>45119</v>
      </c>
      <c r="B819" s="2">
        <v>96.48</v>
      </c>
      <c r="C819">
        <f t="shared" si="12"/>
        <v>-5.7199999999999989</v>
      </c>
      <c r="F819" s="2">
        <v>96.48</v>
      </c>
    </row>
    <row r="820" spans="1:6" x14ac:dyDescent="0.25">
      <c r="A820" s="1">
        <v>45120</v>
      </c>
      <c r="B820" s="2">
        <v>97.12</v>
      </c>
      <c r="C820">
        <f t="shared" si="12"/>
        <v>0.64000000000000057</v>
      </c>
      <c r="F820" s="2">
        <v>97.12</v>
      </c>
    </row>
    <row r="821" spans="1:6" x14ac:dyDescent="0.25">
      <c r="A821" s="1">
        <v>45121</v>
      </c>
      <c r="B821" s="2">
        <v>95.96</v>
      </c>
      <c r="C821">
        <f t="shared" si="12"/>
        <v>-1.1600000000000108</v>
      </c>
      <c r="F821" s="2">
        <v>95.96</v>
      </c>
    </row>
    <row r="822" spans="1:6" x14ac:dyDescent="0.25">
      <c r="A822" s="1">
        <v>45124</v>
      </c>
      <c r="B822" s="2">
        <v>95.76</v>
      </c>
      <c r="C822">
        <f t="shared" si="12"/>
        <v>-0.19999999999998863</v>
      </c>
      <c r="F822" s="2">
        <v>95.76</v>
      </c>
    </row>
    <row r="823" spans="1:6" x14ac:dyDescent="0.25">
      <c r="A823" s="1">
        <v>45125</v>
      </c>
      <c r="B823" s="2">
        <v>94.24</v>
      </c>
      <c r="C823">
        <f t="shared" si="12"/>
        <v>-1.5200000000000102</v>
      </c>
      <c r="F823" s="2">
        <v>94.24</v>
      </c>
    </row>
    <row r="824" spans="1:6" x14ac:dyDescent="0.25">
      <c r="A824" s="1">
        <v>45126</v>
      </c>
      <c r="B824" s="2">
        <v>96.32</v>
      </c>
      <c r="C824">
        <f t="shared" si="12"/>
        <v>2.0799999999999983</v>
      </c>
      <c r="F824" s="2">
        <v>96.32</v>
      </c>
    </row>
    <row r="825" spans="1:6" x14ac:dyDescent="0.25">
      <c r="A825" s="1">
        <v>45127</v>
      </c>
      <c r="B825" s="2">
        <v>96.16</v>
      </c>
      <c r="C825">
        <f t="shared" si="12"/>
        <v>-0.15999999999999659</v>
      </c>
      <c r="F825" s="2">
        <v>96.16</v>
      </c>
    </row>
    <row r="826" spans="1:6" x14ac:dyDescent="0.25">
      <c r="A826" s="1">
        <v>45128</v>
      </c>
      <c r="B826" s="2">
        <v>94.92</v>
      </c>
      <c r="C826">
        <f t="shared" si="12"/>
        <v>-1.2399999999999949</v>
      </c>
      <c r="F826" s="2">
        <v>94.92</v>
      </c>
    </row>
    <row r="827" spans="1:6" x14ac:dyDescent="0.25">
      <c r="A827" s="1">
        <v>45131</v>
      </c>
      <c r="B827" s="2">
        <v>93.36</v>
      </c>
      <c r="C827">
        <f t="shared" si="12"/>
        <v>-1.5600000000000023</v>
      </c>
      <c r="F827" s="2">
        <v>93.36</v>
      </c>
    </row>
    <row r="828" spans="1:6" x14ac:dyDescent="0.25">
      <c r="A828" s="1">
        <v>45132</v>
      </c>
      <c r="B828" s="2">
        <v>93.24</v>
      </c>
      <c r="C828">
        <f t="shared" si="12"/>
        <v>-0.12000000000000455</v>
      </c>
      <c r="F828" s="2">
        <v>93.24</v>
      </c>
    </row>
    <row r="829" spans="1:6" x14ac:dyDescent="0.25">
      <c r="A829" s="1">
        <v>45133</v>
      </c>
      <c r="B829" s="2">
        <v>90.84</v>
      </c>
      <c r="C829">
        <f t="shared" si="12"/>
        <v>-2.3999999999999915</v>
      </c>
      <c r="F829" s="2">
        <v>90.84</v>
      </c>
    </row>
    <row r="830" spans="1:6" x14ac:dyDescent="0.25">
      <c r="A830" s="1">
        <v>45134</v>
      </c>
      <c r="B830" s="2">
        <v>95.52</v>
      </c>
      <c r="C830">
        <f t="shared" si="12"/>
        <v>4.6799999999999926</v>
      </c>
      <c r="F830" s="2">
        <v>95.52</v>
      </c>
    </row>
    <row r="831" spans="1:6" x14ac:dyDescent="0.25">
      <c r="A831" s="1">
        <v>45135</v>
      </c>
      <c r="B831" s="2">
        <v>91.6</v>
      </c>
      <c r="C831">
        <f t="shared" si="12"/>
        <v>-3.9200000000000017</v>
      </c>
      <c r="F831" s="2">
        <v>91.6</v>
      </c>
    </row>
    <row r="832" spans="1:6" x14ac:dyDescent="0.25">
      <c r="A832" s="1">
        <v>45138</v>
      </c>
      <c r="B832" s="2">
        <v>90.68</v>
      </c>
      <c r="C832">
        <f t="shared" si="12"/>
        <v>-0.91999999999998749</v>
      </c>
      <c r="F832" s="2">
        <v>90.68</v>
      </c>
    </row>
    <row r="833" spans="1:6" x14ac:dyDescent="0.25">
      <c r="A833" s="1">
        <v>45139</v>
      </c>
      <c r="B833" s="2">
        <v>91.88</v>
      </c>
      <c r="C833">
        <f t="shared" si="12"/>
        <v>1.1999999999999886</v>
      </c>
      <c r="F833" s="2">
        <v>91.88</v>
      </c>
    </row>
    <row r="834" spans="1:6" x14ac:dyDescent="0.25">
      <c r="A834" s="1">
        <v>45140</v>
      </c>
      <c r="B834" s="2">
        <v>100.52</v>
      </c>
      <c r="C834">
        <f t="shared" si="12"/>
        <v>8.64</v>
      </c>
      <c r="F834" s="2">
        <v>100.52</v>
      </c>
    </row>
    <row r="835" spans="1:6" x14ac:dyDescent="0.25">
      <c r="A835" s="1">
        <v>45141</v>
      </c>
      <c r="B835" s="2">
        <v>99.96</v>
      </c>
      <c r="C835">
        <f t="shared" si="12"/>
        <v>-0.56000000000000227</v>
      </c>
      <c r="F835" s="2">
        <v>99.96</v>
      </c>
    </row>
    <row r="836" spans="1:6" x14ac:dyDescent="0.25">
      <c r="A836" s="1">
        <v>45142</v>
      </c>
      <c r="B836" s="2">
        <v>103.44</v>
      </c>
      <c r="C836">
        <f t="shared" ref="C836:C899" si="13">(B836-B835)</f>
        <v>3.480000000000004</v>
      </c>
      <c r="F836" s="2">
        <v>103.44</v>
      </c>
    </row>
    <row r="837" spans="1:6" x14ac:dyDescent="0.25">
      <c r="A837" s="1">
        <v>45145</v>
      </c>
      <c r="B837" s="2">
        <v>98</v>
      </c>
      <c r="C837">
        <f t="shared" si="13"/>
        <v>-5.4399999999999977</v>
      </c>
      <c r="F837" s="2">
        <v>98</v>
      </c>
    </row>
    <row r="838" spans="1:6" x14ac:dyDescent="0.25">
      <c r="A838" s="1">
        <v>45146</v>
      </c>
      <c r="B838" s="2">
        <v>100.16</v>
      </c>
      <c r="C838">
        <f t="shared" si="13"/>
        <v>2.1599999999999966</v>
      </c>
      <c r="F838" s="2">
        <v>100.16</v>
      </c>
    </row>
    <row r="839" spans="1:6" x14ac:dyDescent="0.25">
      <c r="A839" s="1">
        <v>45147</v>
      </c>
      <c r="B839" s="2">
        <v>99.12</v>
      </c>
      <c r="C839">
        <f t="shared" si="13"/>
        <v>-1.039999999999992</v>
      </c>
      <c r="F839" s="2">
        <v>99.12</v>
      </c>
    </row>
    <row r="840" spans="1:6" x14ac:dyDescent="0.25">
      <c r="A840" s="1">
        <v>45148</v>
      </c>
      <c r="B840" s="2">
        <v>99.48</v>
      </c>
      <c r="C840">
        <f t="shared" si="13"/>
        <v>0.35999999999999943</v>
      </c>
      <c r="F840" s="2">
        <v>99.48</v>
      </c>
    </row>
    <row r="841" spans="1:6" x14ac:dyDescent="0.25">
      <c r="A841" s="1">
        <v>45149</v>
      </c>
      <c r="B841" s="2">
        <v>95.56</v>
      </c>
      <c r="C841">
        <f t="shared" si="13"/>
        <v>-3.9200000000000017</v>
      </c>
      <c r="F841" s="2">
        <v>95.56</v>
      </c>
    </row>
    <row r="842" spans="1:6" x14ac:dyDescent="0.25">
      <c r="A842" s="1">
        <v>45152</v>
      </c>
      <c r="B842" s="2">
        <v>93.92</v>
      </c>
      <c r="C842">
        <f t="shared" si="13"/>
        <v>-1.6400000000000006</v>
      </c>
      <c r="F842" s="2">
        <v>93.92</v>
      </c>
    </row>
    <row r="843" spans="1:6" x14ac:dyDescent="0.25">
      <c r="A843" s="1">
        <v>45153</v>
      </c>
      <c r="B843" s="2">
        <v>99.32</v>
      </c>
      <c r="C843">
        <f t="shared" si="13"/>
        <v>5.3999999999999915</v>
      </c>
      <c r="F843" s="2">
        <v>99.32</v>
      </c>
    </row>
    <row r="844" spans="1:6" x14ac:dyDescent="0.25">
      <c r="A844" s="1">
        <v>45154</v>
      </c>
      <c r="B844" s="2">
        <v>100.92</v>
      </c>
      <c r="C844">
        <f t="shared" si="13"/>
        <v>1.6000000000000085</v>
      </c>
      <c r="F844" s="2">
        <v>100.92</v>
      </c>
    </row>
    <row r="845" spans="1:6" x14ac:dyDescent="0.25">
      <c r="A845" s="1">
        <v>45155</v>
      </c>
      <c r="B845" s="2">
        <v>105.8</v>
      </c>
      <c r="C845">
        <f t="shared" si="13"/>
        <v>4.8799999999999955</v>
      </c>
      <c r="F845" s="2">
        <v>105.8</v>
      </c>
    </row>
    <row r="846" spans="1:6" x14ac:dyDescent="0.25">
      <c r="A846" s="1">
        <v>45156</v>
      </c>
      <c r="B846" s="2">
        <v>103.12</v>
      </c>
      <c r="C846">
        <f t="shared" si="13"/>
        <v>-2.6799999999999926</v>
      </c>
      <c r="F846" s="2">
        <v>103.12</v>
      </c>
    </row>
    <row r="847" spans="1:6" x14ac:dyDescent="0.25">
      <c r="A847" s="1">
        <v>45159</v>
      </c>
      <c r="B847" s="2">
        <v>100.44</v>
      </c>
      <c r="C847">
        <f t="shared" si="13"/>
        <v>-2.6800000000000068</v>
      </c>
      <c r="F847" s="2">
        <v>100.44</v>
      </c>
    </row>
    <row r="848" spans="1:6" x14ac:dyDescent="0.25">
      <c r="A848" s="1">
        <v>45160</v>
      </c>
      <c r="B848" s="2">
        <v>100.84</v>
      </c>
      <c r="C848">
        <f t="shared" si="13"/>
        <v>0.40000000000000568</v>
      </c>
      <c r="F848" s="2">
        <v>100.84</v>
      </c>
    </row>
    <row r="849" spans="1:6" x14ac:dyDescent="0.25">
      <c r="A849" s="1">
        <v>45161</v>
      </c>
      <c r="B849" s="2">
        <v>97.48</v>
      </c>
      <c r="C849">
        <f t="shared" si="13"/>
        <v>-3.3599999999999994</v>
      </c>
      <c r="F849" s="2">
        <v>97.48</v>
      </c>
    </row>
    <row r="850" spans="1:6" x14ac:dyDescent="0.25">
      <c r="A850" s="1">
        <v>45162</v>
      </c>
      <c r="B850" s="2">
        <v>101.2</v>
      </c>
      <c r="C850">
        <f t="shared" si="13"/>
        <v>3.7199999999999989</v>
      </c>
      <c r="F850" s="2">
        <v>101.2</v>
      </c>
    </row>
    <row r="851" spans="1:6" x14ac:dyDescent="0.25">
      <c r="A851" s="1">
        <v>45163</v>
      </c>
      <c r="B851" s="2">
        <v>96.8</v>
      </c>
      <c r="C851">
        <f t="shared" si="13"/>
        <v>-4.4000000000000057</v>
      </c>
      <c r="F851" s="2">
        <v>96.8</v>
      </c>
    </row>
    <row r="852" spans="1:6" x14ac:dyDescent="0.25">
      <c r="A852" s="1">
        <v>45166</v>
      </c>
      <c r="B852" s="2">
        <v>93.12</v>
      </c>
      <c r="C852">
        <f t="shared" si="13"/>
        <v>-3.6799999999999926</v>
      </c>
      <c r="F852" s="2">
        <v>93.12</v>
      </c>
    </row>
    <row r="853" spans="1:6" x14ac:dyDescent="0.25">
      <c r="A853" s="1">
        <v>45167</v>
      </c>
      <c r="B853" s="2">
        <v>90.68</v>
      </c>
      <c r="C853">
        <f t="shared" si="13"/>
        <v>-2.4399999999999977</v>
      </c>
      <c r="F853" s="2">
        <v>90.68</v>
      </c>
    </row>
    <row r="854" spans="1:6" x14ac:dyDescent="0.25">
      <c r="A854" s="1">
        <v>45168</v>
      </c>
      <c r="B854" s="2">
        <v>87.6</v>
      </c>
      <c r="C854">
        <f t="shared" si="13"/>
        <v>-3.0800000000000125</v>
      </c>
      <c r="F854" s="2">
        <v>87.6</v>
      </c>
    </row>
    <row r="855" spans="1:6" x14ac:dyDescent="0.25">
      <c r="A855" s="1">
        <v>45169</v>
      </c>
      <c r="B855" s="2">
        <v>86.08</v>
      </c>
      <c r="C855">
        <f t="shared" si="13"/>
        <v>-1.519999999999996</v>
      </c>
      <c r="F855" s="2">
        <v>86.08</v>
      </c>
    </row>
    <row r="856" spans="1:6" x14ac:dyDescent="0.25">
      <c r="A856" s="1">
        <v>45170</v>
      </c>
      <c r="B856" s="2">
        <v>84.88</v>
      </c>
      <c r="C856">
        <f t="shared" si="13"/>
        <v>-1.2000000000000028</v>
      </c>
      <c r="F856" s="2">
        <v>84.88</v>
      </c>
    </row>
    <row r="857" spans="1:6" x14ac:dyDescent="0.25">
      <c r="A857" s="1">
        <v>45174</v>
      </c>
      <c r="B857" s="2">
        <v>85.76</v>
      </c>
      <c r="C857">
        <f t="shared" si="13"/>
        <v>0.88000000000000966</v>
      </c>
      <c r="F857" s="2">
        <v>85.76</v>
      </c>
    </row>
    <row r="858" spans="1:6" x14ac:dyDescent="0.25">
      <c r="A858" s="1">
        <v>45175</v>
      </c>
      <c r="B858" s="2">
        <v>87.12</v>
      </c>
      <c r="C858">
        <f t="shared" si="13"/>
        <v>1.3599999999999994</v>
      </c>
      <c r="F858" s="2">
        <v>87.12</v>
      </c>
    </row>
    <row r="859" spans="1:6" x14ac:dyDescent="0.25">
      <c r="A859" s="1">
        <v>45176</v>
      </c>
      <c r="B859" s="2">
        <v>86.96</v>
      </c>
      <c r="C859">
        <f t="shared" si="13"/>
        <v>-0.1600000000000108</v>
      </c>
      <c r="F859" s="2">
        <v>86.96</v>
      </c>
    </row>
    <row r="860" spans="1:6" x14ac:dyDescent="0.25">
      <c r="A860" s="1">
        <v>45177</v>
      </c>
      <c r="B860" s="2">
        <v>85.24</v>
      </c>
      <c r="C860">
        <f t="shared" si="13"/>
        <v>-1.7199999999999989</v>
      </c>
      <c r="F860" s="2">
        <v>85.24</v>
      </c>
    </row>
    <row r="861" spans="1:6" x14ac:dyDescent="0.25">
      <c r="A861" s="1">
        <v>45180</v>
      </c>
      <c r="B861" s="2">
        <v>83.04</v>
      </c>
      <c r="C861">
        <f t="shared" si="13"/>
        <v>-2.1999999999999886</v>
      </c>
      <c r="F861" s="2">
        <v>83.04</v>
      </c>
    </row>
    <row r="862" spans="1:6" x14ac:dyDescent="0.25">
      <c r="A862" s="1">
        <v>45181</v>
      </c>
      <c r="B862" s="2">
        <v>83.68</v>
      </c>
      <c r="C862">
        <f t="shared" si="13"/>
        <v>0.64000000000000057</v>
      </c>
      <c r="F862" s="2">
        <v>83.68</v>
      </c>
    </row>
    <row r="863" spans="1:6" x14ac:dyDescent="0.25">
      <c r="A863" s="1">
        <v>45182</v>
      </c>
      <c r="B863" s="2">
        <v>82.2</v>
      </c>
      <c r="C863">
        <f t="shared" si="13"/>
        <v>-1.480000000000004</v>
      </c>
      <c r="F863" s="2">
        <v>82.2</v>
      </c>
    </row>
    <row r="864" spans="1:6" x14ac:dyDescent="0.25">
      <c r="A864" s="1">
        <v>45183</v>
      </c>
      <c r="B864" s="2">
        <v>79.680000000000007</v>
      </c>
      <c r="C864">
        <f t="shared" si="13"/>
        <v>-2.519999999999996</v>
      </c>
      <c r="F864" s="2">
        <v>79.680000000000007</v>
      </c>
    </row>
    <row r="865" spans="1:6" x14ac:dyDescent="0.25">
      <c r="A865" s="1">
        <v>45184</v>
      </c>
      <c r="B865" s="2">
        <v>82.72</v>
      </c>
      <c r="C865">
        <f t="shared" si="13"/>
        <v>3.039999999999992</v>
      </c>
      <c r="F865" s="2">
        <v>82.72</v>
      </c>
    </row>
    <row r="866" spans="1:6" x14ac:dyDescent="0.25">
      <c r="A866" s="1">
        <v>45187</v>
      </c>
      <c r="B866" s="2">
        <v>82.16</v>
      </c>
      <c r="C866">
        <f t="shared" si="13"/>
        <v>-0.56000000000000227</v>
      </c>
      <c r="F866" s="2">
        <v>82.16</v>
      </c>
    </row>
    <row r="867" spans="1:6" x14ac:dyDescent="0.25">
      <c r="A867" s="1">
        <v>45188</v>
      </c>
      <c r="B867" s="2">
        <v>81.599999999999994</v>
      </c>
      <c r="C867">
        <f t="shared" si="13"/>
        <v>-0.56000000000000227</v>
      </c>
      <c r="F867" s="2">
        <v>81.599999999999994</v>
      </c>
    </row>
    <row r="868" spans="1:6" x14ac:dyDescent="0.25">
      <c r="A868" s="1">
        <v>45189</v>
      </c>
      <c r="B868" s="2">
        <v>84.64</v>
      </c>
      <c r="C868">
        <f t="shared" si="13"/>
        <v>3.0400000000000063</v>
      </c>
      <c r="F868" s="2">
        <v>84.64</v>
      </c>
    </row>
    <row r="869" spans="1:6" x14ac:dyDescent="0.25">
      <c r="A869" s="1">
        <v>45190</v>
      </c>
      <c r="B869" s="2">
        <v>91.4</v>
      </c>
      <c r="C869">
        <f t="shared" si="13"/>
        <v>6.7600000000000051</v>
      </c>
      <c r="F869" s="2">
        <v>91.4</v>
      </c>
    </row>
    <row r="870" spans="1:6" x14ac:dyDescent="0.25">
      <c r="A870" s="1">
        <v>45191</v>
      </c>
      <c r="B870" s="2">
        <v>91.6</v>
      </c>
      <c r="C870">
        <f t="shared" si="13"/>
        <v>0.19999999999998863</v>
      </c>
      <c r="F870" s="2">
        <v>91.6</v>
      </c>
    </row>
    <row r="871" spans="1:6" x14ac:dyDescent="0.25">
      <c r="A871" s="1">
        <v>45194</v>
      </c>
      <c r="B871" s="2">
        <v>91.4</v>
      </c>
      <c r="C871">
        <f t="shared" si="13"/>
        <v>-0.19999999999998863</v>
      </c>
      <c r="F871" s="2">
        <v>91.4</v>
      </c>
    </row>
    <row r="872" spans="1:6" x14ac:dyDescent="0.25">
      <c r="A872" s="1">
        <v>45195</v>
      </c>
      <c r="B872" s="2">
        <v>100.68</v>
      </c>
      <c r="C872">
        <f t="shared" si="13"/>
        <v>9.2800000000000011</v>
      </c>
      <c r="F872" s="2">
        <v>100.68</v>
      </c>
    </row>
    <row r="873" spans="1:6" x14ac:dyDescent="0.25">
      <c r="A873" s="1">
        <v>45196</v>
      </c>
      <c r="B873" s="2">
        <v>95.84</v>
      </c>
      <c r="C873">
        <f t="shared" si="13"/>
        <v>-4.8400000000000034</v>
      </c>
      <c r="F873" s="2">
        <v>95.84</v>
      </c>
    </row>
    <row r="874" spans="1:6" x14ac:dyDescent="0.25">
      <c r="A874" s="1">
        <v>45197</v>
      </c>
      <c r="B874" s="2">
        <v>91.6</v>
      </c>
      <c r="C874">
        <f t="shared" si="13"/>
        <v>-4.2400000000000091</v>
      </c>
      <c r="F874" s="2">
        <v>91.6</v>
      </c>
    </row>
    <row r="875" spans="1:6" x14ac:dyDescent="0.25">
      <c r="A875" s="1">
        <v>45198</v>
      </c>
      <c r="B875" s="2">
        <v>93.2</v>
      </c>
      <c r="C875">
        <f t="shared" si="13"/>
        <v>1.6000000000000085</v>
      </c>
      <c r="F875" s="2">
        <v>93.2</v>
      </c>
    </row>
    <row r="876" spans="1:6" x14ac:dyDescent="0.25">
      <c r="A876" s="1">
        <v>45201</v>
      </c>
      <c r="B876" s="2">
        <v>93.52</v>
      </c>
      <c r="C876">
        <f t="shared" si="13"/>
        <v>0.31999999999999318</v>
      </c>
      <c r="F876" s="2">
        <v>93.52</v>
      </c>
    </row>
    <row r="877" spans="1:6" x14ac:dyDescent="0.25">
      <c r="A877" s="1">
        <v>45202</v>
      </c>
      <c r="B877" s="2">
        <v>102.24</v>
      </c>
      <c r="C877">
        <f t="shared" si="13"/>
        <v>8.7199999999999989</v>
      </c>
      <c r="F877" s="2">
        <v>102.24</v>
      </c>
    </row>
    <row r="878" spans="1:6" x14ac:dyDescent="0.25">
      <c r="A878" s="1">
        <v>45203</v>
      </c>
      <c r="B878" s="2">
        <v>97.02</v>
      </c>
      <c r="C878">
        <f t="shared" si="13"/>
        <v>-5.2199999999999989</v>
      </c>
      <c r="F878" s="2">
        <v>97.02</v>
      </c>
    </row>
    <row r="879" spans="1:6" x14ac:dyDescent="0.25">
      <c r="A879" s="1">
        <v>45204</v>
      </c>
      <c r="B879" s="2">
        <v>95.88</v>
      </c>
      <c r="C879">
        <f t="shared" si="13"/>
        <v>-1.1400000000000006</v>
      </c>
      <c r="F879" s="2">
        <v>95.88</v>
      </c>
    </row>
    <row r="880" spans="1:6" x14ac:dyDescent="0.25">
      <c r="A880" s="1">
        <v>45205</v>
      </c>
      <c r="B880" s="2">
        <v>94.48</v>
      </c>
      <c r="C880">
        <f t="shared" si="13"/>
        <v>-1.3999999999999915</v>
      </c>
      <c r="F880" s="2">
        <v>94.48</v>
      </c>
    </row>
    <row r="881" spans="1:6" x14ac:dyDescent="0.25">
      <c r="A881" s="1">
        <v>45208</v>
      </c>
      <c r="B881" s="2">
        <v>93.24</v>
      </c>
      <c r="C881">
        <f t="shared" si="13"/>
        <v>-1.2400000000000091</v>
      </c>
      <c r="F881" s="2">
        <v>93.24</v>
      </c>
    </row>
    <row r="882" spans="1:6" x14ac:dyDescent="0.25">
      <c r="A882" s="1">
        <v>45209</v>
      </c>
      <c r="B882" s="2">
        <v>90.12</v>
      </c>
      <c r="C882">
        <f t="shared" si="13"/>
        <v>-3.1199999999999903</v>
      </c>
      <c r="F882" s="2">
        <v>90.12</v>
      </c>
    </row>
    <row r="883" spans="1:6" x14ac:dyDescent="0.25">
      <c r="A883" s="1">
        <v>45210</v>
      </c>
      <c r="B883" s="2">
        <v>88.52</v>
      </c>
      <c r="C883">
        <f t="shared" si="13"/>
        <v>-1.6000000000000085</v>
      </c>
      <c r="F883" s="2">
        <v>88.52</v>
      </c>
    </row>
    <row r="884" spans="1:6" x14ac:dyDescent="0.25">
      <c r="A884" s="1">
        <v>45211</v>
      </c>
      <c r="B884" s="2">
        <v>90.48</v>
      </c>
      <c r="C884">
        <f t="shared" si="13"/>
        <v>1.960000000000008</v>
      </c>
      <c r="F884" s="2">
        <v>90.48</v>
      </c>
    </row>
    <row r="885" spans="1:6" x14ac:dyDescent="0.25">
      <c r="A885" s="1">
        <v>45212</v>
      </c>
      <c r="B885" s="2">
        <v>101.48</v>
      </c>
      <c r="C885">
        <f t="shared" si="13"/>
        <v>11</v>
      </c>
      <c r="F885" s="2">
        <v>101.48</v>
      </c>
    </row>
    <row r="886" spans="1:6" x14ac:dyDescent="0.25">
      <c r="A886" s="1">
        <v>45215</v>
      </c>
      <c r="B886" s="2">
        <v>91.64</v>
      </c>
      <c r="C886">
        <f t="shared" si="13"/>
        <v>-9.8400000000000034</v>
      </c>
      <c r="F886" s="2">
        <v>91.64</v>
      </c>
    </row>
    <row r="887" spans="1:6" x14ac:dyDescent="0.25">
      <c r="A887" s="1">
        <v>45216</v>
      </c>
      <c r="B887" s="2">
        <v>94.16</v>
      </c>
      <c r="C887">
        <f t="shared" si="13"/>
        <v>2.519999999999996</v>
      </c>
      <c r="F887" s="2">
        <v>94.16</v>
      </c>
    </row>
    <row r="888" spans="1:6" x14ac:dyDescent="0.25">
      <c r="A888" s="1">
        <v>45217</v>
      </c>
      <c r="B888" s="2">
        <v>99.92</v>
      </c>
      <c r="C888">
        <f t="shared" si="13"/>
        <v>5.7600000000000051</v>
      </c>
      <c r="F888" s="2">
        <v>99.92</v>
      </c>
    </row>
    <row r="889" spans="1:6" x14ac:dyDescent="0.25">
      <c r="A889" s="1">
        <v>45218</v>
      </c>
      <c r="B889" s="2">
        <v>104.92</v>
      </c>
      <c r="C889">
        <f t="shared" si="13"/>
        <v>5</v>
      </c>
      <c r="F889" s="2">
        <v>104.92</v>
      </c>
    </row>
    <row r="890" spans="1:6" x14ac:dyDescent="0.25">
      <c r="A890" s="1">
        <v>45219</v>
      </c>
      <c r="B890" s="2">
        <v>105.76</v>
      </c>
      <c r="C890">
        <f t="shared" si="13"/>
        <v>0.84000000000000341</v>
      </c>
      <c r="F890" s="2">
        <v>105.76</v>
      </c>
    </row>
    <row r="891" spans="1:6" x14ac:dyDescent="0.25">
      <c r="A891" s="1">
        <v>45222</v>
      </c>
      <c r="B891" s="2">
        <v>102.04</v>
      </c>
      <c r="C891">
        <f t="shared" si="13"/>
        <v>-3.7199999999999989</v>
      </c>
      <c r="F891" s="2">
        <v>102.04</v>
      </c>
    </row>
    <row r="892" spans="1:6" x14ac:dyDescent="0.25">
      <c r="A892" s="1">
        <v>45223</v>
      </c>
      <c r="B892" s="2">
        <v>97.64</v>
      </c>
      <c r="C892">
        <f t="shared" si="13"/>
        <v>-4.4000000000000057</v>
      </c>
      <c r="F892" s="2">
        <v>97.64</v>
      </c>
    </row>
    <row r="893" spans="1:6" x14ac:dyDescent="0.25">
      <c r="A893" s="1">
        <v>45224</v>
      </c>
      <c r="B893" s="2">
        <v>103.8</v>
      </c>
      <c r="C893">
        <f t="shared" si="13"/>
        <v>6.1599999999999966</v>
      </c>
      <c r="F893" s="2">
        <v>103.8</v>
      </c>
    </row>
    <row r="894" spans="1:6" x14ac:dyDescent="0.25">
      <c r="A894" s="1">
        <v>45225</v>
      </c>
      <c r="B894" s="2">
        <v>104.76</v>
      </c>
      <c r="C894">
        <f t="shared" si="13"/>
        <v>0.96000000000000796</v>
      </c>
      <c r="F894" s="2">
        <v>104.76</v>
      </c>
    </row>
    <row r="895" spans="1:6" x14ac:dyDescent="0.25">
      <c r="A895" s="1">
        <v>45226</v>
      </c>
      <c r="B895" s="2">
        <v>108.16</v>
      </c>
      <c r="C895">
        <f t="shared" si="13"/>
        <v>3.3999999999999915</v>
      </c>
      <c r="F895" s="2">
        <v>108.16</v>
      </c>
    </row>
    <row r="896" spans="1:6" x14ac:dyDescent="0.25">
      <c r="A896" s="1">
        <v>45229</v>
      </c>
      <c r="B896" s="2">
        <v>100.28</v>
      </c>
      <c r="C896">
        <f t="shared" si="13"/>
        <v>-7.8799999999999955</v>
      </c>
      <c r="F896" s="2">
        <v>100.28</v>
      </c>
    </row>
    <row r="897" spans="1:6" x14ac:dyDescent="0.25">
      <c r="A897" s="1">
        <v>45230</v>
      </c>
      <c r="B897" s="2">
        <v>93.68</v>
      </c>
      <c r="C897">
        <f t="shared" si="13"/>
        <v>-6.5999999999999943</v>
      </c>
      <c r="F897" s="2">
        <v>93.68</v>
      </c>
    </row>
    <row r="898" spans="1:6" x14ac:dyDescent="0.25">
      <c r="A898" s="1">
        <v>45231</v>
      </c>
      <c r="B898" s="2">
        <v>89.6</v>
      </c>
      <c r="C898">
        <f t="shared" si="13"/>
        <v>-4.0800000000000125</v>
      </c>
      <c r="F898" s="2">
        <v>89.6</v>
      </c>
    </row>
    <row r="899" spans="1:6" x14ac:dyDescent="0.25">
      <c r="A899" s="1">
        <v>45232</v>
      </c>
      <c r="B899" s="2">
        <v>86.64</v>
      </c>
      <c r="C899">
        <f t="shared" si="13"/>
        <v>-2.9599999999999937</v>
      </c>
      <c r="F899" s="2">
        <v>86.64</v>
      </c>
    </row>
    <row r="900" spans="1:6" x14ac:dyDescent="0.25">
      <c r="A900" s="1">
        <v>45233</v>
      </c>
      <c r="B900" s="2">
        <v>84.6</v>
      </c>
      <c r="C900">
        <f t="shared" ref="C900:C963" si="14">(B900-B899)</f>
        <v>-2.0400000000000063</v>
      </c>
      <c r="F900" s="2">
        <v>84.6</v>
      </c>
    </row>
    <row r="901" spans="1:6" x14ac:dyDescent="0.25">
      <c r="A901" s="1">
        <v>45236</v>
      </c>
      <c r="B901" s="2">
        <v>81.8</v>
      </c>
      <c r="C901">
        <f t="shared" si="14"/>
        <v>-2.7999999999999972</v>
      </c>
      <c r="F901" s="2">
        <v>81.8</v>
      </c>
    </row>
    <row r="902" spans="1:6" x14ac:dyDescent="0.25">
      <c r="A902" s="1">
        <v>45237</v>
      </c>
      <c r="B902" s="2">
        <v>81.36</v>
      </c>
      <c r="C902">
        <f t="shared" si="14"/>
        <v>-0.43999999999999773</v>
      </c>
      <c r="F902" s="2">
        <v>81.36</v>
      </c>
    </row>
    <row r="903" spans="1:6" x14ac:dyDescent="0.25">
      <c r="A903" s="1">
        <v>45238</v>
      </c>
      <c r="B903" s="2">
        <v>79.92</v>
      </c>
      <c r="C903">
        <f t="shared" si="14"/>
        <v>-1.4399999999999977</v>
      </c>
      <c r="F903" s="2">
        <v>79.92</v>
      </c>
    </row>
    <row r="904" spans="1:6" x14ac:dyDescent="0.25">
      <c r="A904" s="1">
        <v>45239</v>
      </c>
      <c r="B904" s="2">
        <v>83.08</v>
      </c>
      <c r="C904">
        <f t="shared" si="14"/>
        <v>3.1599999999999966</v>
      </c>
      <c r="F904" s="2">
        <v>83.08</v>
      </c>
    </row>
    <row r="905" spans="1:6" x14ac:dyDescent="0.25">
      <c r="A905" s="1">
        <v>45240</v>
      </c>
      <c r="B905" s="2">
        <v>79.52</v>
      </c>
      <c r="C905">
        <f t="shared" si="14"/>
        <v>-3.5600000000000023</v>
      </c>
      <c r="F905" s="2">
        <v>79.52</v>
      </c>
    </row>
    <row r="906" spans="1:6" x14ac:dyDescent="0.25">
      <c r="A906" s="1">
        <v>45243</v>
      </c>
      <c r="B906" s="2">
        <v>78.92</v>
      </c>
      <c r="C906">
        <f t="shared" si="14"/>
        <v>-0.59999999999999432</v>
      </c>
      <c r="F906" s="2">
        <v>78.92</v>
      </c>
    </row>
    <row r="907" spans="1:6" x14ac:dyDescent="0.25">
      <c r="A907" s="1">
        <v>45244</v>
      </c>
      <c r="B907" s="2">
        <v>78.12</v>
      </c>
      <c r="C907">
        <f t="shared" si="14"/>
        <v>-0.79999999999999716</v>
      </c>
      <c r="F907" s="2">
        <v>78.12</v>
      </c>
    </row>
    <row r="908" spans="1:6" x14ac:dyDescent="0.25">
      <c r="A908" s="1">
        <v>45245</v>
      </c>
      <c r="B908" s="2">
        <v>76.400000000000006</v>
      </c>
      <c r="C908">
        <f t="shared" si="14"/>
        <v>-1.7199999999999989</v>
      </c>
      <c r="F908" s="2">
        <v>76.400000000000006</v>
      </c>
    </row>
    <row r="909" spans="1:6" x14ac:dyDescent="0.25">
      <c r="A909" s="1">
        <v>45246</v>
      </c>
      <c r="B909" s="2">
        <v>75.239999999999995</v>
      </c>
      <c r="C909">
        <f t="shared" si="14"/>
        <v>-1.1600000000000108</v>
      </c>
      <c r="F909" s="2">
        <v>75.239999999999995</v>
      </c>
    </row>
    <row r="910" spans="1:6" x14ac:dyDescent="0.25">
      <c r="A910" s="1">
        <v>45247</v>
      </c>
      <c r="B910" s="2">
        <v>74.12</v>
      </c>
      <c r="C910">
        <f t="shared" si="14"/>
        <v>-1.1199999999999903</v>
      </c>
      <c r="F910" s="2">
        <v>74.12</v>
      </c>
    </row>
    <row r="911" spans="1:6" x14ac:dyDescent="0.25">
      <c r="A911" s="1">
        <v>45250</v>
      </c>
      <c r="B911" s="2">
        <v>73.56</v>
      </c>
      <c r="C911">
        <f t="shared" si="14"/>
        <v>-0.56000000000000227</v>
      </c>
      <c r="F911" s="2">
        <v>73.56</v>
      </c>
    </row>
    <row r="912" spans="1:6" x14ac:dyDescent="0.25">
      <c r="A912" s="1">
        <v>45251</v>
      </c>
      <c r="B912" s="2">
        <v>72</v>
      </c>
      <c r="C912">
        <f t="shared" si="14"/>
        <v>-1.5600000000000023</v>
      </c>
      <c r="F912" s="2">
        <v>72</v>
      </c>
    </row>
    <row r="913" spans="1:6" x14ac:dyDescent="0.25">
      <c r="A913" s="1">
        <v>45252</v>
      </c>
      <c r="B913" s="2">
        <v>72.680000000000007</v>
      </c>
      <c r="C913">
        <f t="shared" si="14"/>
        <v>0.68000000000000682</v>
      </c>
      <c r="F913" s="2">
        <v>72.680000000000007</v>
      </c>
    </row>
    <row r="914" spans="1:6" x14ac:dyDescent="0.25">
      <c r="A914" s="1">
        <v>45254</v>
      </c>
      <c r="B914" s="2">
        <v>69.56</v>
      </c>
      <c r="C914">
        <f t="shared" si="14"/>
        <v>-3.1200000000000045</v>
      </c>
      <c r="F914" s="2">
        <v>69.56</v>
      </c>
    </row>
    <row r="915" spans="1:6" x14ac:dyDescent="0.25">
      <c r="A915" s="1">
        <v>45257</v>
      </c>
      <c r="B915" s="2">
        <v>69.959999999999994</v>
      </c>
      <c r="C915">
        <f t="shared" si="14"/>
        <v>0.39999999999999147</v>
      </c>
      <c r="F915" s="2">
        <v>69.959999999999994</v>
      </c>
    </row>
    <row r="916" spans="1:6" x14ac:dyDescent="0.25">
      <c r="A916" s="1">
        <v>45258</v>
      </c>
      <c r="B916" s="2">
        <v>69.12</v>
      </c>
      <c r="C916">
        <f t="shared" si="14"/>
        <v>-0.8399999999999892</v>
      </c>
      <c r="F916" s="2">
        <v>69.12</v>
      </c>
    </row>
    <row r="917" spans="1:6" x14ac:dyDescent="0.25">
      <c r="A917" s="1">
        <v>45259</v>
      </c>
      <c r="B917" s="2">
        <v>70.16</v>
      </c>
      <c r="C917">
        <f t="shared" si="14"/>
        <v>1.039999999999992</v>
      </c>
      <c r="F917" s="2">
        <v>70.16</v>
      </c>
    </row>
    <row r="918" spans="1:6" x14ac:dyDescent="0.25">
      <c r="A918" s="1">
        <v>45260</v>
      </c>
      <c r="B918" s="2">
        <v>69.040000000000006</v>
      </c>
      <c r="C918">
        <f t="shared" si="14"/>
        <v>-1.1199999999999903</v>
      </c>
      <c r="F918" s="2">
        <v>69.040000000000006</v>
      </c>
    </row>
    <row r="919" spans="1:6" x14ac:dyDescent="0.25">
      <c r="A919" s="1">
        <v>45261</v>
      </c>
      <c r="B919" s="2">
        <v>68.599999999999994</v>
      </c>
      <c r="C919">
        <f t="shared" si="14"/>
        <v>-0.44000000000001194</v>
      </c>
      <c r="F919" s="2">
        <v>68.599999999999994</v>
      </c>
    </row>
    <row r="920" spans="1:6" x14ac:dyDescent="0.25">
      <c r="A920" s="1">
        <v>45264</v>
      </c>
      <c r="B920" s="2">
        <v>69</v>
      </c>
      <c r="C920">
        <f t="shared" si="14"/>
        <v>0.40000000000000568</v>
      </c>
      <c r="F920" s="2">
        <v>69</v>
      </c>
    </row>
    <row r="921" spans="1:6" x14ac:dyDescent="0.25">
      <c r="A921" s="1">
        <v>45265</v>
      </c>
      <c r="B921" s="2">
        <v>68.36</v>
      </c>
      <c r="C921">
        <f t="shared" si="14"/>
        <v>-0.64000000000000057</v>
      </c>
      <c r="F921" s="2">
        <v>68.36</v>
      </c>
    </row>
    <row r="922" spans="1:6" x14ac:dyDescent="0.25">
      <c r="A922" s="1">
        <v>45266</v>
      </c>
      <c r="B922" s="2">
        <v>68.8</v>
      </c>
      <c r="C922">
        <f t="shared" si="14"/>
        <v>0.43999999999999773</v>
      </c>
      <c r="F922" s="2">
        <v>68.8</v>
      </c>
    </row>
    <row r="923" spans="1:6" x14ac:dyDescent="0.25">
      <c r="A923" s="1">
        <v>45267</v>
      </c>
      <c r="B923" s="2">
        <v>68.8</v>
      </c>
      <c r="C923">
        <f t="shared" si="14"/>
        <v>0</v>
      </c>
      <c r="F923" s="2">
        <v>68.8</v>
      </c>
    </row>
    <row r="924" spans="1:6" x14ac:dyDescent="0.25">
      <c r="A924" s="1">
        <v>45268</v>
      </c>
      <c r="B924" s="2">
        <v>66.8</v>
      </c>
      <c r="C924">
        <f t="shared" si="14"/>
        <v>-2</v>
      </c>
      <c r="F924" s="2">
        <v>66.8</v>
      </c>
    </row>
    <row r="925" spans="1:6" x14ac:dyDescent="0.25">
      <c r="A925" s="1">
        <v>45271</v>
      </c>
      <c r="B925" s="2">
        <v>65.36</v>
      </c>
      <c r="C925">
        <f t="shared" si="14"/>
        <v>-1.4399999999999977</v>
      </c>
      <c r="F925" s="2">
        <v>65.36</v>
      </c>
    </row>
    <row r="926" spans="1:6" x14ac:dyDescent="0.25">
      <c r="A926" s="1">
        <v>45272</v>
      </c>
      <c r="B926" s="2">
        <v>63.52</v>
      </c>
      <c r="C926">
        <f t="shared" si="14"/>
        <v>-1.8399999999999963</v>
      </c>
      <c r="F926" s="2">
        <v>63.52</v>
      </c>
    </row>
    <row r="927" spans="1:6" x14ac:dyDescent="0.25">
      <c r="A927" s="1">
        <v>45273</v>
      </c>
      <c r="B927" s="2">
        <v>62.68</v>
      </c>
      <c r="C927">
        <f t="shared" si="14"/>
        <v>-0.84000000000000341</v>
      </c>
      <c r="F927" s="2">
        <v>62.68</v>
      </c>
    </row>
    <row r="928" spans="1:6" x14ac:dyDescent="0.25">
      <c r="A928" s="1">
        <v>45274</v>
      </c>
      <c r="B928" s="2">
        <v>62.44</v>
      </c>
      <c r="C928">
        <f t="shared" si="14"/>
        <v>-0.24000000000000199</v>
      </c>
      <c r="F928" s="2">
        <v>62.44</v>
      </c>
    </row>
    <row r="929" spans="1:6" x14ac:dyDescent="0.25">
      <c r="A929" s="1">
        <v>45275</v>
      </c>
      <c r="B929" s="2">
        <v>64.400000000000006</v>
      </c>
      <c r="C929">
        <f t="shared" si="14"/>
        <v>1.960000000000008</v>
      </c>
      <c r="F929" s="2">
        <v>64.400000000000006</v>
      </c>
    </row>
    <row r="930" spans="1:6" x14ac:dyDescent="0.25">
      <c r="A930" s="1">
        <v>45278</v>
      </c>
      <c r="B930" s="2">
        <v>64.56</v>
      </c>
      <c r="C930">
        <f t="shared" si="14"/>
        <v>0.15999999999999659</v>
      </c>
      <c r="F930" s="2">
        <v>64.56</v>
      </c>
    </row>
    <row r="931" spans="1:6" x14ac:dyDescent="0.25">
      <c r="A931" s="1">
        <v>45279</v>
      </c>
      <c r="B931" s="2">
        <v>65.56</v>
      </c>
      <c r="C931">
        <f t="shared" si="14"/>
        <v>1</v>
      </c>
      <c r="F931" s="2">
        <v>65.56</v>
      </c>
    </row>
    <row r="932" spans="1:6" x14ac:dyDescent="0.25">
      <c r="A932" s="1">
        <v>45280</v>
      </c>
      <c r="B932" s="2">
        <v>69.599999999999994</v>
      </c>
      <c r="C932">
        <f t="shared" si="14"/>
        <v>4.039999999999992</v>
      </c>
      <c r="F932" s="2">
        <v>69.599999999999994</v>
      </c>
    </row>
    <row r="933" spans="1:6" x14ac:dyDescent="0.25">
      <c r="A933" s="1">
        <v>45281</v>
      </c>
      <c r="B933" s="2">
        <v>67.88</v>
      </c>
      <c r="C933">
        <f t="shared" si="14"/>
        <v>-1.7199999999999989</v>
      </c>
      <c r="F933" s="2">
        <v>67.88</v>
      </c>
    </row>
    <row r="934" spans="1:6" x14ac:dyDescent="0.25">
      <c r="A934" s="1">
        <v>45282</v>
      </c>
      <c r="B934" s="2">
        <v>66.319999999999993</v>
      </c>
      <c r="C934">
        <f t="shared" si="14"/>
        <v>-1.5600000000000023</v>
      </c>
      <c r="F934" s="2">
        <v>66.319999999999993</v>
      </c>
    </row>
    <row r="935" spans="1:6" x14ac:dyDescent="0.25">
      <c r="A935" s="1">
        <v>45286</v>
      </c>
      <c r="B935" s="2">
        <v>64.5</v>
      </c>
      <c r="C935">
        <f t="shared" si="14"/>
        <v>-1.8199999999999932</v>
      </c>
      <c r="F935" s="2">
        <v>64.5</v>
      </c>
    </row>
    <row r="936" spans="1:6" x14ac:dyDescent="0.25">
      <c r="A936" s="1">
        <v>45287</v>
      </c>
      <c r="B936" s="2">
        <v>61.9</v>
      </c>
      <c r="C936">
        <f t="shared" si="14"/>
        <v>-2.6000000000000014</v>
      </c>
      <c r="F936" s="2">
        <v>61.9</v>
      </c>
    </row>
    <row r="937" spans="1:6" x14ac:dyDescent="0.25">
      <c r="A937" s="1">
        <v>45288</v>
      </c>
      <c r="B937" s="2">
        <v>61.8</v>
      </c>
      <c r="C937">
        <f t="shared" si="14"/>
        <v>-0.10000000000000142</v>
      </c>
      <c r="F937" s="2">
        <v>61.8</v>
      </c>
    </row>
    <row r="938" spans="1:6" x14ac:dyDescent="0.25">
      <c r="A938" s="1">
        <v>45289</v>
      </c>
      <c r="B938" s="2">
        <v>62.04</v>
      </c>
      <c r="C938">
        <f t="shared" si="14"/>
        <v>0.24000000000000199</v>
      </c>
      <c r="F938" s="2">
        <v>62.04</v>
      </c>
    </row>
    <row r="939" spans="1:6" x14ac:dyDescent="0.25">
      <c r="A939" s="1">
        <v>45293</v>
      </c>
      <c r="B939" s="2">
        <v>62.04</v>
      </c>
      <c r="C939">
        <f t="shared" si="14"/>
        <v>0</v>
      </c>
      <c r="F939" s="2">
        <v>62.04</v>
      </c>
    </row>
    <row r="940" spans="1:6" x14ac:dyDescent="0.25">
      <c r="A940" s="1">
        <v>45294</v>
      </c>
      <c r="B940" s="2">
        <v>64.2</v>
      </c>
      <c r="C940">
        <f t="shared" si="14"/>
        <v>2.1600000000000037</v>
      </c>
      <c r="F940" s="2">
        <v>64.2</v>
      </c>
    </row>
    <row r="941" spans="1:6" x14ac:dyDescent="0.25">
      <c r="A941" s="1">
        <v>45295</v>
      </c>
      <c r="B941" s="2">
        <v>64.12</v>
      </c>
      <c r="C941">
        <f t="shared" si="14"/>
        <v>-7.9999999999998295E-2</v>
      </c>
      <c r="F941" s="2">
        <v>64.12</v>
      </c>
    </row>
    <row r="942" spans="1:6" x14ac:dyDescent="0.25">
      <c r="A942" s="1">
        <v>45296</v>
      </c>
      <c r="B942" s="2">
        <v>62</v>
      </c>
      <c r="C942">
        <f t="shared" si="14"/>
        <v>-2.1200000000000045</v>
      </c>
      <c r="F942" s="2">
        <v>62</v>
      </c>
    </row>
    <row r="943" spans="1:6" x14ac:dyDescent="0.25">
      <c r="A943" s="1">
        <v>45299</v>
      </c>
      <c r="B943" s="2">
        <v>60.48</v>
      </c>
      <c r="C943">
        <f t="shared" si="14"/>
        <v>-1.5200000000000031</v>
      </c>
      <c r="F943" s="2">
        <v>60.48</v>
      </c>
    </row>
    <row r="944" spans="1:6" x14ac:dyDescent="0.25">
      <c r="A944" s="1">
        <v>45300</v>
      </c>
      <c r="B944" s="2">
        <v>59.16</v>
      </c>
      <c r="C944">
        <f t="shared" si="14"/>
        <v>-1.3200000000000003</v>
      </c>
      <c r="F944" s="2">
        <v>59.16</v>
      </c>
    </row>
    <row r="945" spans="1:6" x14ac:dyDescent="0.25">
      <c r="A945" s="1">
        <v>45301</v>
      </c>
      <c r="B945" s="2">
        <v>58.56</v>
      </c>
      <c r="C945">
        <f t="shared" si="14"/>
        <v>-0.59999999999999432</v>
      </c>
      <c r="F945" s="2">
        <v>58.56</v>
      </c>
    </row>
    <row r="946" spans="1:6" x14ac:dyDescent="0.25">
      <c r="A946" s="1">
        <v>45302</v>
      </c>
      <c r="B946" s="2">
        <v>58.32</v>
      </c>
      <c r="C946">
        <f t="shared" si="14"/>
        <v>-0.24000000000000199</v>
      </c>
      <c r="F946" s="2">
        <v>58.32</v>
      </c>
    </row>
    <row r="947" spans="1:6" x14ac:dyDescent="0.25">
      <c r="A947" s="1">
        <v>45303</v>
      </c>
      <c r="B947" s="2">
        <v>59.24</v>
      </c>
      <c r="C947">
        <f t="shared" si="14"/>
        <v>0.92000000000000171</v>
      </c>
      <c r="F947" s="2">
        <v>59.24</v>
      </c>
    </row>
    <row r="948" spans="1:6" x14ac:dyDescent="0.25">
      <c r="A948" s="1">
        <v>45307</v>
      </c>
      <c r="B948" s="2">
        <v>61.2</v>
      </c>
      <c r="C948">
        <f t="shared" si="14"/>
        <v>1.9600000000000009</v>
      </c>
      <c r="F948" s="2">
        <v>61.2</v>
      </c>
    </row>
    <row r="949" spans="1:6" x14ac:dyDescent="0.25">
      <c r="A949" s="1">
        <v>45308</v>
      </c>
      <c r="B949" s="2">
        <v>63.52</v>
      </c>
      <c r="C949">
        <f t="shared" si="14"/>
        <v>2.3200000000000003</v>
      </c>
      <c r="F949" s="2">
        <v>63.52</v>
      </c>
    </row>
    <row r="950" spans="1:6" x14ac:dyDescent="0.25">
      <c r="A950" s="1">
        <v>45309</v>
      </c>
      <c r="B950" s="2">
        <v>61.2</v>
      </c>
      <c r="C950">
        <f t="shared" si="14"/>
        <v>-2.3200000000000003</v>
      </c>
      <c r="F950" s="2">
        <v>61.2</v>
      </c>
    </row>
    <row r="951" spans="1:6" x14ac:dyDescent="0.25">
      <c r="A951" s="1">
        <v>45310</v>
      </c>
      <c r="B951" s="2">
        <v>59.76</v>
      </c>
      <c r="C951">
        <f t="shared" si="14"/>
        <v>-1.4400000000000048</v>
      </c>
      <c r="F951" s="2">
        <v>59.76</v>
      </c>
    </row>
    <row r="952" spans="1:6" x14ac:dyDescent="0.25">
      <c r="A952" s="1">
        <v>45313</v>
      </c>
      <c r="B952" s="2">
        <v>57.68</v>
      </c>
      <c r="C952">
        <f t="shared" si="14"/>
        <v>-2.0799999999999983</v>
      </c>
      <c r="F952" s="2">
        <v>57.68</v>
      </c>
    </row>
    <row r="953" spans="1:6" x14ac:dyDescent="0.25">
      <c r="A953" s="1">
        <v>45314</v>
      </c>
      <c r="B953" s="2">
        <v>56.2</v>
      </c>
      <c r="C953">
        <f t="shared" si="14"/>
        <v>-1.4799999999999969</v>
      </c>
      <c r="F953" s="2">
        <v>56.2</v>
      </c>
    </row>
    <row r="954" spans="1:6" x14ac:dyDescent="0.25">
      <c r="A954" s="1">
        <v>45315</v>
      </c>
      <c r="B954" s="2">
        <v>57.68</v>
      </c>
      <c r="C954">
        <f t="shared" si="14"/>
        <v>1.4799999999999969</v>
      </c>
      <c r="F954" s="2">
        <v>57.68</v>
      </c>
    </row>
    <row r="955" spans="1:6" x14ac:dyDescent="0.25">
      <c r="A955" s="1">
        <v>45316</v>
      </c>
      <c r="B955" s="2">
        <v>58.36</v>
      </c>
      <c r="C955">
        <f t="shared" si="14"/>
        <v>0.67999999999999972</v>
      </c>
      <c r="F955" s="2">
        <v>58.36</v>
      </c>
    </row>
    <row r="956" spans="1:6" x14ac:dyDescent="0.25">
      <c r="A956" s="1">
        <v>45317</v>
      </c>
      <c r="B956" s="2">
        <v>57.72</v>
      </c>
      <c r="C956">
        <f t="shared" si="14"/>
        <v>-0.64000000000000057</v>
      </c>
      <c r="F956" s="2">
        <v>57.72</v>
      </c>
    </row>
    <row r="957" spans="1:6" x14ac:dyDescent="0.25">
      <c r="A957" s="1">
        <v>45320</v>
      </c>
      <c r="B957" s="2">
        <v>58.44</v>
      </c>
      <c r="C957">
        <f t="shared" si="14"/>
        <v>0.71999999999999886</v>
      </c>
      <c r="F957" s="2">
        <v>58.44</v>
      </c>
    </row>
    <row r="958" spans="1:6" x14ac:dyDescent="0.25">
      <c r="A958" s="1">
        <v>45321</v>
      </c>
      <c r="B958" s="2">
        <v>57.36</v>
      </c>
      <c r="C958">
        <f t="shared" si="14"/>
        <v>-1.0799999999999983</v>
      </c>
      <c r="F958" s="2">
        <v>57.36</v>
      </c>
    </row>
    <row r="959" spans="1:6" x14ac:dyDescent="0.25">
      <c r="A959" s="1">
        <v>45322</v>
      </c>
      <c r="B959" s="2">
        <v>60.32</v>
      </c>
      <c r="C959">
        <f t="shared" si="14"/>
        <v>2.9600000000000009</v>
      </c>
      <c r="F959" s="2">
        <v>60.32</v>
      </c>
    </row>
    <row r="960" spans="1:6" x14ac:dyDescent="0.25">
      <c r="A960" s="1">
        <v>45323</v>
      </c>
      <c r="B960" s="2">
        <v>59.76</v>
      </c>
      <c r="C960">
        <f t="shared" si="14"/>
        <v>-0.56000000000000227</v>
      </c>
      <c r="F960" s="2">
        <v>59.76</v>
      </c>
    </row>
    <row r="961" spans="1:6" x14ac:dyDescent="0.25">
      <c r="A961" s="1">
        <v>45324</v>
      </c>
      <c r="B961" s="2">
        <v>59.6</v>
      </c>
      <c r="C961">
        <f t="shared" si="14"/>
        <v>-0.15999999999999659</v>
      </c>
      <c r="F961" s="2">
        <v>59.6</v>
      </c>
    </row>
    <row r="962" spans="1:6" x14ac:dyDescent="0.25">
      <c r="A962" s="1">
        <v>45327</v>
      </c>
      <c r="B962" s="2">
        <v>57.48</v>
      </c>
      <c r="C962">
        <f t="shared" si="14"/>
        <v>-2.1200000000000045</v>
      </c>
      <c r="F962" s="2">
        <v>57.48</v>
      </c>
    </row>
    <row r="963" spans="1:6" x14ac:dyDescent="0.25">
      <c r="A963" s="1">
        <v>45328</v>
      </c>
      <c r="B963" s="2">
        <v>56.04</v>
      </c>
      <c r="C963">
        <f t="shared" si="14"/>
        <v>-1.4399999999999977</v>
      </c>
      <c r="F963" s="2">
        <v>56.04</v>
      </c>
    </row>
    <row r="964" spans="1:6" x14ac:dyDescent="0.25">
      <c r="A964" s="1">
        <v>45329</v>
      </c>
      <c r="B964" s="2">
        <v>55.76</v>
      </c>
      <c r="C964">
        <f t="shared" ref="C964:C1027" si="15">(B964-B963)</f>
        <v>-0.28000000000000114</v>
      </c>
      <c r="F964" s="2">
        <v>55.76</v>
      </c>
    </row>
    <row r="965" spans="1:6" x14ac:dyDescent="0.25">
      <c r="A965" s="1">
        <v>45330</v>
      </c>
      <c r="B965" s="2">
        <v>55.48</v>
      </c>
      <c r="C965">
        <f t="shared" si="15"/>
        <v>-0.28000000000000114</v>
      </c>
      <c r="F965" s="2">
        <v>55.48</v>
      </c>
    </row>
    <row r="966" spans="1:6" x14ac:dyDescent="0.25">
      <c r="A966" s="1">
        <v>45331</v>
      </c>
      <c r="B966" s="2">
        <v>56</v>
      </c>
      <c r="C966">
        <f t="shared" si="15"/>
        <v>0.52000000000000313</v>
      </c>
      <c r="F966" s="2">
        <v>56</v>
      </c>
    </row>
    <row r="967" spans="1:6" x14ac:dyDescent="0.25">
      <c r="A967" s="1">
        <v>45334</v>
      </c>
      <c r="B967" s="2">
        <v>57</v>
      </c>
      <c r="C967">
        <f t="shared" si="15"/>
        <v>1</v>
      </c>
      <c r="F967" s="2">
        <v>57</v>
      </c>
    </row>
    <row r="968" spans="1:6" x14ac:dyDescent="0.25">
      <c r="A968" s="1">
        <v>45335</v>
      </c>
      <c r="B968" s="2">
        <v>61.2</v>
      </c>
      <c r="C968">
        <f t="shared" si="15"/>
        <v>4.2000000000000028</v>
      </c>
      <c r="F968" s="2">
        <v>61.2</v>
      </c>
    </row>
    <row r="969" spans="1:6" x14ac:dyDescent="0.25">
      <c r="A969" s="1">
        <v>45336</v>
      </c>
      <c r="B969" s="2">
        <v>57.88</v>
      </c>
      <c r="C969">
        <f t="shared" si="15"/>
        <v>-3.3200000000000003</v>
      </c>
      <c r="F969" s="2">
        <v>57.88</v>
      </c>
    </row>
    <row r="970" spans="1:6" x14ac:dyDescent="0.25">
      <c r="A970" s="1">
        <v>45337</v>
      </c>
      <c r="B970" s="2">
        <v>57.4</v>
      </c>
      <c r="C970">
        <f t="shared" si="15"/>
        <v>-0.48000000000000398</v>
      </c>
      <c r="F970" s="2">
        <v>57.4</v>
      </c>
    </row>
    <row r="971" spans="1:6" x14ac:dyDescent="0.25">
      <c r="A971" s="1">
        <v>45338</v>
      </c>
      <c r="B971" s="2">
        <v>57.32</v>
      </c>
      <c r="C971">
        <f t="shared" si="15"/>
        <v>-7.9999999999998295E-2</v>
      </c>
      <c r="F971" s="2">
        <v>57.32</v>
      </c>
    </row>
    <row r="972" spans="1:6" x14ac:dyDescent="0.25">
      <c r="A972" s="1">
        <v>45342</v>
      </c>
      <c r="B972" s="2">
        <v>59.04</v>
      </c>
      <c r="C972">
        <f t="shared" si="15"/>
        <v>1.7199999999999989</v>
      </c>
      <c r="F972" s="2">
        <v>59.04</v>
      </c>
    </row>
    <row r="973" spans="1:6" x14ac:dyDescent="0.25">
      <c r="A973" s="1">
        <v>45343</v>
      </c>
      <c r="B973" s="2">
        <v>58.8</v>
      </c>
      <c r="C973">
        <f t="shared" si="15"/>
        <v>-0.24000000000000199</v>
      </c>
      <c r="F973" s="2">
        <v>58.8</v>
      </c>
    </row>
    <row r="974" spans="1:6" x14ac:dyDescent="0.25">
      <c r="A974" s="1">
        <v>45344</v>
      </c>
      <c r="B974" s="2">
        <v>57.6</v>
      </c>
      <c r="C974">
        <f t="shared" si="15"/>
        <v>-1.1999999999999957</v>
      </c>
      <c r="F974" s="2">
        <v>57.6</v>
      </c>
    </row>
    <row r="975" spans="1:6" x14ac:dyDescent="0.25">
      <c r="A975" s="1">
        <v>45345</v>
      </c>
      <c r="B975" s="2">
        <v>55.36</v>
      </c>
      <c r="C975">
        <f t="shared" si="15"/>
        <v>-2.240000000000002</v>
      </c>
      <c r="F975" s="2">
        <v>55.36</v>
      </c>
    </row>
    <row r="976" spans="1:6" x14ac:dyDescent="0.25">
      <c r="A976" s="1">
        <v>45348</v>
      </c>
      <c r="B976" s="2">
        <v>54.8</v>
      </c>
      <c r="C976">
        <f t="shared" si="15"/>
        <v>-0.56000000000000227</v>
      </c>
      <c r="F976" s="2">
        <v>54.8</v>
      </c>
    </row>
    <row r="977" spans="1:6" x14ac:dyDescent="0.25">
      <c r="A977" s="1">
        <v>45349</v>
      </c>
      <c r="B977" s="2">
        <v>53.88</v>
      </c>
      <c r="C977">
        <f t="shared" si="15"/>
        <v>-0.9199999999999946</v>
      </c>
      <c r="F977" s="2">
        <v>53.88</v>
      </c>
    </row>
    <row r="978" spans="1:6" x14ac:dyDescent="0.25">
      <c r="A978" s="1">
        <v>45350</v>
      </c>
      <c r="B978" s="2">
        <v>54.72</v>
      </c>
      <c r="C978">
        <f t="shared" si="15"/>
        <v>0.83999999999999631</v>
      </c>
      <c r="F978" s="2">
        <v>54.72</v>
      </c>
    </row>
    <row r="979" spans="1:6" x14ac:dyDescent="0.25">
      <c r="A979" s="1">
        <v>45351</v>
      </c>
      <c r="B979" s="2">
        <v>53.96</v>
      </c>
      <c r="C979">
        <f t="shared" si="15"/>
        <v>-0.75999999999999801</v>
      </c>
      <c r="F979" s="2">
        <v>53.96</v>
      </c>
    </row>
    <row r="980" spans="1:6" x14ac:dyDescent="0.25">
      <c r="A980" s="1">
        <v>45352</v>
      </c>
      <c r="B980" s="2">
        <v>54.08</v>
      </c>
      <c r="C980">
        <f t="shared" si="15"/>
        <v>0.11999999999999744</v>
      </c>
      <c r="F980" s="2">
        <v>54.08</v>
      </c>
    </row>
    <row r="981" spans="1:6" x14ac:dyDescent="0.25">
      <c r="A981" s="1">
        <v>45355</v>
      </c>
      <c r="B981" s="2">
        <v>54.04</v>
      </c>
      <c r="C981">
        <f t="shared" si="15"/>
        <v>-3.9999999999999147E-2</v>
      </c>
      <c r="F981" s="2">
        <v>54.04</v>
      </c>
    </row>
    <row r="982" spans="1:6" x14ac:dyDescent="0.25">
      <c r="A982" s="1">
        <v>45356</v>
      </c>
      <c r="B982" s="2">
        <v>56.2</v>
      </c>
      <c r="C982">
        <f t="shared" si="15"/>
        <v>2.1600000000000037</v>
      </c>
      <c r="F982" s="2">
        <v>56.2</v>
      </c>
    </row>
    <row r="983" spans="1:6" x14ac:dyDescent="0.25">
      <c r="A983" s="1">
        <v>45357</v>
      </c>
      <c r="B983" s="2">
        <v>56.48</v>
      </c>
      <c r="C983">
        <f t="shared" si="15"/>
        <v>0.27999999999999403</v>
      </c>
      <c r="F983" s="2">
        <v>56.48</v>
      </c>
    </row>
    <row r="984" spans="1:6" x14ac:dyDescent="0.25">
      <c r="A984" s="1">
        <v>45358</v>
      </c>
      <c r="B984" s="2">
        <v>56.08</v>
      </c>
      <c r="C984">
        <f t="shared" si="15"/>
        <v>-0.39999999999999858</v>
      </c>
      <c r="F984" s="2">
        <v>56.08</v>
      </c>
    </row>
    <row r="985" spans="1:6" x14ac:dyDescent="0.25">
      <c r="A985" s="1">
        <v>45359</v>
      </c>
      <c r="B985" s="2">
        <v>57.6</v>
      </c>
      <c r="C985">
        <f t="shared" si="15"/>
        <v>1.5200000000000031</v>
      </c>
      <c r="F985" s="2">
        <v>57.6</v>
      </c>
    </row>
    <row r="986" spans="1:6" x14ac:dyDescent="0.25">
      <c r="A986" s="1">
        <v>45362</v>
      </c>
      <c r="B986" s="2">
        <v>57.04</v>
      </c>
      <c r="C986">
        <f t="shared" si="15"/>
        <v>-0.56000000000000227</v>
      </c>
      <c r="F986" s="2">
        <v>57.04</v>
      </c>
    </row>
    <row r="987" spans="1:6" x14ac:dyDescent="0.25">
      <c r="A987" s="1">
        <v>45363</v>
      </c>
      <c r="B987" s="2">
        <v>54.2</v>
      </c>
      <c r="C987">
        <f t="shared" si="15"/>
        <v>-2.8399999999999963</v>
      </c>
      <c r="F987" s="2">
        <v>54.2</v>
      </c>
    </row>
    <row r="988" spans="1:6" x14ac:dyDescent="0.25">
      <c r="A988" s="1">
        <v>45364</v>
      </c>
      <c r="B988" s="2">
        <v>53.84</v>
      </c>
      <c r="C988">
        <f t="shared" si="15"/>
        <v>-0.35999999999999943</v>
      </c>
      <c r="F988" s="2">
        <v>53.84</v>
      </c>
    </row>
    <row r="989" spans="1:6" x14ac:dyDescent="0.25">
      <c r="A989" s="1">
        <v>45365</v>
      </c>
      <c r="B989" s="2">
        <v>55.32</v>
      </c>
      <c r="C989">
        <f t="shared" si="15"/>
        <v>1.4799999999999969</v>
      </c>
      <c r="F989" s="2">
        <v>55.32</v>
      </c>
    </row>
    <row r="990" spans="1:6" x14ac:dyDescent="0.25">
      <c r="A990" s="1">
        <v>45366</v>
      </c>
      <c r="B990" s="2">
        <v>56.32</v>
      </c>
      <c r="C990">
        <f t="shared" si="15"/>
        <v>1</v>
      </c>
      <c r="F990" s="2">
        <v>56.32</v>
      </c>
    </row>
    <row r="991" spans="1:6" x14ac:dyDescent="0.25">
      <c r="A991" s="1">
        <v>45369</v>
      </c>
      <c r="B991" s="2">
        <v>55.12</v>
      </c>
      <c r="C991">
        <f t="shared" si="15"/>
        <v>-1.2000000000000028</v>
      </c>
      <c r="F991" s="2">
        <v>55.12</v>
      </c>
    </row>
    <row r="992" spans="1:6" x14ac:dyDescent="0.25">
      <c r="A992" s="1">
        <v>45370</v>
      </c>
      <c r="B992" s="2">
        <v>53.68</v>
      </c>
      <c r="C992">
        <f t="shared" si="15"/>
        <v>-1.4399999999999977</v>
      </c>
      <c r="F992" s="2">
        <v>53.68</v>
      </c>
    </row>
    <row r="993" spans="1:6" x14ac:dyDescent="0.25">
      <c r="A993" s="1">
        <v>45371</v>
      </c>
      <c r="B993" s="2">
        <v>52.28</v>
      </c>
      <c r="C993">
        <f t="shared" si="15"/>
        <v>-1.3999999999999986</v>
      </c>
      <c r="F993" s="2">
        <v>52.28</v>
      </c>
    </row>
    <row r="994" spans="1:6" x14ac:dyDescent="0.25">
      <c r="A994" s="1">
        <v>45372</v>
      </c>
      <c r="B994" s="2">
        <v>52</v>
      </c>
      <c r="C994">
        <f t="shared" si="15"/>
        <v>-0.28000000000000114</v>
      </c>
      <c r="F994" s="2">
        <v>52</v>
      </c>
    </row>
    <row r="995" spans="1:6" x14ac:dyDescent="0.25">
      <c r="A995" s="1">
        <v>45373</v>
      </c>
      <c r="B995" s="2">
        <v>52.28</v>
      </c>
      <c r="C995">
        <f t="shared" si="15"/>
        <v>0.28000000000000114</v>
      </c>
      <c r="F995" s="2">
        <v>52.28</v>
      </c>
    </row>
    <row r="996" spans="1:6" x14ac:dyDescent="0.25">
      <c r="A996" s="1">
        <v>45376</v>
      </c>
      <c r="B996" s="2">
        <v>51.92</v>
      </c>
      <c r="C996">
        <f t="shared" si="15"/>
        <v>-0.35999999999999943</v>
      </c>
      <c r="F996" s="2">
        <v>51.92</v>
      </c>
    </row>
    <row r="997" spans="1:6" x14ac:dyDescent="0.25">
      <c r="A997" s="1">
        <v>45377</v>
      </c>
      <c r="B997" s="2">
        <v>51.72</v>
      </c>
      <c r="C997">
        <f t="shared" si="15"/>
        <v>-0.20000000000000284</v>
      </c>
      <c r="F997" s="2">
        <v>51.72</v>
      </c>
    </row>
    <row r="998" spans="1:6" x14ac:dyDescent="0.25">
      <c r="A998" s="1">
        <v>45378</v>
      </c>
      <c r="B998" s="2">
        <v>50.72</v>
      </c>
      <c r="C998">
        <f t="shared" si="15"/>
        <v>-1</v>
      </c>
      <c r="F998" s="2">
        <v>50.72</v>
      </c>
    </row>
    <row r="999" spans="1:6" x14ac:dyDescent="0.25">
      <c r="A999" s="1">
        <v>45379</v>
      </c>
      <c r="B999" s="2">
        <v>51.84</v>
      </c>
      <c r="C999">
        <f t="shared" si="15"/>
        <v>1.1200000000000045</v>
      </c>
      <c r="F999" s="2">
        <v>51.84</v>
      </c>
    </row>
    <row r="1000" spans="1:6" x14ac:dyDescent="0.25">
      <c r="A1000" s="1">
        <v>45383</v>
      </c>
      <c r="B1000" s="2">
        <v>52.12</v>
      </c>
      <c r="C1000">
        <f t="shared" si="15"/>
        <v>0.27999999999999403</v>
      </c>
      <c r="F1000" s="2">
        <v>52.12</v>
      </c>
    </row>
    <row r="1001" spans="1:6" x14ac:dyDescent="0.25">
      <c r="A1001" s="1">
        <v>45384</v>
      </c>
      <c r="B1001" s="2">
        <v>53.52</v>
      </c>
      <c r="C1001">
        <f t="shared" si="15"/>
        <v>1.4000000000000057</v>
      </c>
      <c r="F1001" s="2">
        <v>53.52</v>
      </c>
    </row>
    <row r="1002" spans="1:6" x14ac:dyDescent="0.25">
      <c r="A1002" s="1">
        <v>45385</v>
      </c>
      <c r="B1002" s="2">
        <v>53.28</v>
      </c>
      <c r="C1002">
        <f t="shared" si="15"/>
        <v>-0.24000000000000199</v>
      </c>
      <c r="F1002" s="2">
        <v>53.28</v>
      </c>
    </row>
    <row r="1003" spans="1:6" x14ac:dyDescent="0.25">
      <c r="A1003" s="1">
        <v>45386</v>
      </c>
      <c r="B1003" s="2">
        <v>55.68</v>
      </c>
      <c r="C1003">
        <f t="shared" si="15"/>
        <v>2.3999999999999986</v>
      </c>
      <c r="F1003" s="2">
        <v>55.68</v>
      </c>
    </row>
    <row r="1004" spans="1:6" x14ac:dyDescent="0.25">
      <c r="A1004" s="1">
        <v>45387</v>
      </c>
      <c r="B1004" s="2">
        <v>56.76</v>
      </c>
      <c r="C1004">
        <f t="shared" si="15"/>
        <v>1.0799999999999983</v>
      </c>
      <c r="F1004" s="2">
        <v>56.76</v>
      </c>
    </row>
    <row r="1005" spans="1:6" x14ac:dyDescent="0.25">
      <c r="A1005" s="1">
        <v>45390</v>
      </c>
      <c r="B1005" s="2">
        <v>54.48</v>
      </c>
      <c r="C1005">
        <f t="shared" si="15"/>
        <v>-2.2800000000000011</v>
      </c>
      <c r="F1005" s="2">
        <v>54.48</v>
      </c>
    </row>
    <row r="1006" spans="1:6" x14ac:dyDescent="0.25">
      <c r="A1006" s="1">
        <v>45391</v>
      </c>
      <c r="B1006" s="2">
        <v>54.24</v>
      </c>
      <c r="C1006">
        <f t="shared" si="15"/>
        <v>-0.23999999999999488</v>
      </c>
      <c r="F1006" s="2">
        <v>54.24</v>
      </c>
    </row>
    <row r="1007" spans="1:6" x14ac:dyDescent="0.25">
      <c r="A1007" s="1">
        <v>45392</v>
      </c>
      <c r="B1007" s="2">
        <v>55.08</v>
      </c>
      <c r="C1007">
        <f t="shared" si="15"/>
        <v>0.83999999999999631</v>
      </c>
      <c r="F1007" s="2">
        <v>55.08</v>
      </c>
    </row>
    <row r="1008" spans="1:6" x14ac:dyDescent="0.25">
      <c r="A1008" s="1">
        <v>45393</v>
      </c>
      <c r="B1008" s="2">
        <v>54.04</v>
      </c>
      <c r="C1008">
        <f t="shared" si="15"/>
        <v>-1.0399999999999991</v>
      </c>
      <c r="F1008" s="2">
        <v>54.04</v>
      </c>
    </row>
    <row r="1009" spans="1:6" x14ac:dyDescent="0.25">
      <c r="A1009" s="1">
        <v>45394</v>
      </c>
      <c r="B1009" s="2">
        <v>58.8</v>
      </c>
      <c r="C1009">
        <f t="shared" si="15"/>
        <v>4.759999999999998</v>
      </c>
      <c r="F1009" s="2">
        <v>58.8</v>
      </c>
    </row>
    <row r="1010" spans="1:6" x14ac:dyDescent="0.25">
      <c r="A1010" s="1">
        <v>45397</v>
      </c>
      <c r="B1010" s="2">
        <v>62.12</v>
      </c>
      <c r="C1010">
        <f t="shared" si="15"/>
        <v>3.3200000000000003</v>
      </c>
      <c r="F1010" s="2">
        <v>62.12</v>
      </c>
    </row>
    <row r="1011" spans="1:6" x14ac:dyDescent="0.25">
      <c r="A1011" s="1">
        <v>45398</v>
      </c>
      <c r="B1011" s="2">
        <v>60.04</v>
      </c>
      <c r="C1011">
        <f t="shared" si="15"/>
        <v>-2.0799999999999983</v>
      </c>
      <c r="F1011" s="2">
        <v>60.04</v>
      </c>
    </row>
    <row r="1012" spans="1:6" x14ac:dyDescent="0.25">
      <c r="A1012" s="1">
        <v>45399</v>
      </c>
      <c r="B1012" s="2">
        <v>59.48</v>
      </c>
      <c r="C1012">
        <f t="shared" si="15"/>
        <v>-0.56000000000000227</v>
      </c>
      <c r="F1012" s="2">
        <v>59.48</v>
      </c>
    </row>
    <row r="1013" spans="1:6" x14ac:dyDescent="0.25">
      <c r="A1013" s="1">
        <v>45400</v>
      </c>
      <c r="B1013" s="2">
        <v>60</v>
      </c>
      <c r="C1013">
        <f t="shared" si="15"/>
        <v>0.52000000000000313</v>
      </c>
      <c r="F1013" s="2">
        <v>60</v>
      </c>
    </row>
    <row r="1014" spans="1:6" x14ac:dyDescent="0.25">
      <c r="A1014" s="1">
        <v>45401</v>
      </c>
      <c r="B1014" s="2">
        <v>61.44</v>
      </c>
      <c r="C1014">
        <f t="shared" si="15"/>
        <v>1.4399999999999977</v>
      </c>
      <c r="F1014" s="2">
        <v>61.44</v>
      </c>
    </row>
    <row r="1015" spans="1:6" x14ac:dyDescent="0.25">
      <c r="A1015" s="1">
        <v>45404</v>
      </c>
      <c r="B1015" s="2">
        <v>56.8</v>
      </c>
      <c r="C1015">
        <f t="shared" si="15"/>
        <v>-4.6400000000000006</v>
      </c>
      <c r="F1015" s="2">
        <v>56.8</v>
      </c>
    </row>
    <row r="1016" spans="1:6" x14ac:dyDescent="0.25">
      <c r="A1016" s="1">
        <v>45405</v>
      </c>
      <c r="B1016" s="2">
        <v>54.48</v>
      </c>
      <c r="C1016">
        <f t="shared" si="15"/>
        <v>-2.3200000000000003</v>
      </c>
      <c r="F1016" s="2">
        <v>54.48</v>
      </c>
    </row>
    <row r="1017" spans="1:6" x14ac:dyDescent="0.25">
      <c r="A1017" s="1">
        <v>45406</v>
      </c>
      <c r="B1017" s="2">
        <v>54</v>
      </c>
      <c r="C1017">
        <f t="shared" si="15"/>
        <v>-0.47999999999999687</v>
      </c>
      <c r="F1017" s="2">
        <v>54</v>
      </c>
    </row>
    <row r="1018" spans="1:6" x14ac:dyDescent="0.25">
      <c r="A1018" s="1">
        <v>45407</v>
      </c>
      <c r="B1018" s="2">
        <v>55.2</v>
      </c>
      <c r="C1018">
        <f t="shared" si="15"/>
        <v>1.2000000000000028</v>
      </c>
      <c r="F1018" s="2">
        <v>55.2</v>
      </c>
    </row>
    <row r="1019" spans="1:6" x14ac:dyDescent="0.25">
      <c r="A1019" s="1">
        <v>45408</v>
      </c>
      <c r="B1019" s="2">
        <v>53.4</v>
      </c>
      <c r="C1019">
        <f t="shared" si="15"/>
        <v>-1.8000000000000043</v>
      </c>
      <c r="F1019" s="2">
        <v>53.4</v>
      </c>
    </row>
    <row r="1020" spans="1:6" x14ac:dyDescent="0.25">
      <c r="A1020" s="1">
        <v>45411</v>
      </c>
      <c r="B1020" s="2">
        <v>52.68</v>
      </c>
      <c r="C1020">
        <f t="shared" si="15"/>
        <v>-0.71999999999999886</v>
      </c>
      <c r="F1020" s="2">
        <v>52.68</v>
      </c>
    </row>
    <row r="1021" spans="1:6" x14ac:dyDescent="0.25">
      <c r="A1021" s="1">
        <v>45412</v>
      </c>
      <c r="B1021" s="2">
        <v>54.16</v>
      </c>
      <c r="C1021">
        <f t="shared" si="15"/>
        <v>1.4799999999999969</v>
      </c>
      <c r="F1021" s="2">
        <v>54.16</v>
      </c>
    </row>
    <row r="1022" spans="1:6" x14ac:dyDescent="0.25">
      <c r="A1022" s="1">
        <v>45413</v>
      </c>
      <c r="B1022" s="2">
        <v>54.28</v>
      </c>
      <c r="C1022">
        <f t="shared" si="15"/>
        <v>0.12000000000000455</v>
      </c>
      <c r="F1022" s="2">
        <v>54.28</v>
      </c>
    </row>
    <row r="1023" spans="1:6" x14ac:dyDescent="0.25">
      <c r="A1023" s="1">
        <v>45414</v>
      </c>
      <c r="B1023" s="2">
        <v>52.56</v>
      </c>
      <c r="C1023">
        <f t="shared" si="15"/>
        <v>-1.7199999999999989</v>
      </c>
      <c r="F1023" s="2">
        <v>52.56</v>
      </c>
    </row>
    <row r="1024" spans="1:6" x14ac:dyDescent="0.25">
      <c r="A1024" s="1">
        <v>45415</v>
      </c>
      <c r="B1024" s="2">
        <v>50.76</v>
      </c>
      <c r="C1024">
        <f t="shared" si="15"/>
        <v>-1.8000000000000043</v>
      </c>
      <c r="F1024" s="2">
        <v>50.76</v>
      </c>
    </row>
    <row r="1025" spans="1:6" x14ac:dyDescent="0.25">
      <c r="A1025" s="1">
        <v>45418</v>
      </c>
      <c r="B1025" s="2">
        <v>49.48</v>
      </c>
      <c r="C1025">
        <f t="shared" si="15"/>
        <v>-1.2800000000000011</v>
      </c>
      <c r="F1025" s="2">
        <v>49.48</v>
      </c>
    </row>
    <row r="1026" spans="1:6" x14ac:dyDescent="0.25">
      <c r="A1026" s="1">
        <v>45419</v>
      </c>
      <c r="B1026" s="2">
        <v>49.28</v>
      </c>
      <c r="C1026">
        <f t="shared" si="15"/>
        <v>-0.19999999999999574</v>
      </c>
      <c r="F1026" s="2">
        <v>49.28</v>
      </c>
    </row>
    <row r="1027" spans="1:6" x14ac:dyDescent="0.25">
      <c r="A1027" s="1">
        <v>45420</v>
      </c>
      <c r="B1027" s="2">
        <v>48.84</v>
      </c>
      <c r="C1027">
        <f t="shared" si="15"/>
        <v>-0.43999999999999773</v>
      </c>
      <c r="F1027" s="2">
        <v>48.84</v>
      </c>
    </row>
    <row r="1028" spans="1:6" x14ac:dyDescent="0.25">
      <c r="A1028" s="1">
        <v>45421</v>
      </c>
      <c r="B1028" s="2">
        <v>48.56</v>
      </c>
      <c r="C1028">
        <f t="shared" ref="C1028:C1091" si="16">(B1028-B1027)</f>
        <v>-0.28000000000000114</v>
      </c>
      <c r="F1028" s="2">
        <v>48.56</v>
      </c>
    </row>
    <row r="1029" spans="1:6" x14ac:dyDescent="0.25">
      <c r="A1029" s="1">
        <v>45422</v>
      </c>
      <c r="B1029" s="2">
        <v>47.96</v>
      </c>
      <c r="C1029">
        <f t="shared" si="16"/>
        <v>-0.60000000000000142</v>
      </c>
      <c r="F1029" s="2">
        <v>47.96</v>
      </c>
    </row>
    <row r="1030" spans="1:6" x14ac:dyDescent="0.25">
      <c r="A1030" s="1">
        <v>45425</v>
      </c>
      <c r="B1030" s="2">
        <v>48.6</v>
      </c>
      <c r="C1030">
        <f t="shared" si="16"/>
        <v>0.64000000000000057</v>
      </c>
      <c r="F1030" s="2">
        <v>48.6</v>
      </c>
    </row>
    <row r="1031" spans="1:6" x14ac:dyDescent="0.25">
      <c r="A1031" s="1">
        <v>45426</v>
      </c>
      <c r="B1031" s="2">
        <v>47.68</v>
      </c>
      <c r="C1031">
        <f t="shared" si="16"/>
        <v>-0.92000000000000171</v>
      </c>
      <c r="F1031" s="2">
        <v>47.68</v>
      </c>
    </row>
    <row r="1032" spans="1:6" x14ac:dyDescent="0.25">
      <c r="A1032" s="1">
        <v>45427</v>
      </c>
      <c r="B1032" s="2">
        <v>45.72</v>
      </c>
      <c r="C1032">
        <f t="shared" si="16"/>
        <v>-1.9600000000000009</v>
      </c>
      <c r="F1032" s="2">
        <v>45.72</v>
      </c>
    </row>
    <row r="1033" spans="1:6" x14ac:dyDescent="0.25">
      <c r="A1033" s="1">
        <v>45428</v>
      </c>
      <c r="B1033" s="2">
        <v>45.72</v>
      </c>
      <c r="C1033">
        <f t="shared" si="16"/>
        <v>0</v>
      </c>
      <c r="F1033" s="2">
        <v>45.72</v>
      </c>
    </row>
    <row r="1034" spans="1:6" x14ac:dyDescent="0.25">
      <c r="A1034" s="1">
        <v>45429</v>
      </c>
      <c r="B1034" s="2">
        <v>45.32</v>
      </c>
      <c r="C1034">
        <f t="shared" si="16"/>
        <v>-0.39999999999999858</v>
      </c>
      <c r="F1034" s="2">
        <v>45.32</v>
      </c>
    </row>
    <row r="1035" spans="1:6" x14ac:dyDescent="0.25">
      <c r="A1035" s="1">
        <v>45432</v>
      </c>
      <c r="B1035" s="2">
        <v>45.44</v>
      </c>
      <c r="C1035">
        <f t="shared" si="16"/>
        <v>0.11999999999999744</v>
      </c>
      <c r="F1035" s="2">
        <v>45.44</v>
      </c>
    </row>
    <row r="1036" spans="1:6" x14ac:dyDescent="0.25">
      <c r="A1036" s="1">
        <v>45433</v>
      </c>
      <c r="B1036" s="2">
        <v>44.4</v>
      </c>
      <c r="C1036">
        <f t="shared" si="16"/>
        <v>-1.0399999999999991</v>
      </c>
      <c r="F1036" s="2">
        <v>44.4</v>
      </c>
    </row>
    <row r="1037" spans="1:6" x14ac:dyDescent="0.25">
      <c r="A1037" s="1">
        <v>45434</v>
      </c>
      <c r="B1037" s="2">
        <v>45.52</v>
      </c>
      <c r="C1037">
        <f t="shared" si="16"/>
        <v>1.1200000000000045</v>
      </c>
      <c r="F1037" s="2">
        <v>45.52</v>
      </c>
    </row>
    <row r="1038" spans="1:6" x14ac:dyDescent="0.25">
      <c r="A1038" s="1">
        <v>45435</v>
      </c>
      <c r="B1038" s="2">
        <v>46.12</v>
      </c>
      <c r="C1038">
        <f t="shared" si="16"/>
        <v>0.59999999999999432</v>
      </c>
      <c r="F1038" s="2">
        <v>46.12</v>
      </c>
    </row>
    <row r="1039" spans="1:6" x14ac:dyDescent="0.25">
      <c r="A1039" s="1">
        <v>45436</v>
      </c>
      <c r="B1039" s="2">
        <v>44.56</v>
      </c>
      <c r="C1039">
        <f t="shared" si="16"/>
        <v>-1.5599999999999952</v>
      </c>
      <c r="F1039" s="2">
        <v>44.56</v>
      </c>
    </row>
    <row r="1040" spans="1:6" x14ac:dyDescent="0.25">
      <c r="A1040" s="1">
        <v>45440</v>
      </c>
      <c r="B1040" s="2">
        <v>45.68</v>
      </c>
      <c r="C1040">
        <f t="shared" si="16"/>
        <v>1.1199999999999974</v>
      </c>
      <c r="F1040" s="2">
        <v>45.68</v>
      </c>
    </row>
    <row r="1041" spans="1:6" x14ac:dyDescent="0.25">
      <c r="A1041" s="1">
        <v>45441</v>
      </c>
      <c r="B1041" s="2">
        <v>47.36</v>
      </c>
      <c r="C1041">
        <f t="shared" si="16"/>
        <v>1.6799999999999997</v>
      </c>
      <c r="F1041" s="2">
        <v>47.36</v>
      </c>
    </row>
    <row r="1042" spans="1:6" x14ac:dyDescent="0.25">
      <c r="A1042" s="1">
        <v>45442</v>
      </c>
      <c r="B1042" s="2">
        <v>47.28</v>
      </c>
      <c r="C1042">
        <f t="shared" si="16"/>
        <v>-7.9999999999998295E-2</v>
      </c>
      <c r="F1042" s="2">
        <v>47.28</v>
      </c>
    </row>
    <row r="1043" spans="1:6" x14ac:dyDescent="0.25">
      <c r="A1043" s="1">
        <v>45443</v>
      </c>
      <c r="B1043" s="2">
        <v>45.76</v>
      </c>
      <c r="C1043">
        <f t="shared" si="16"/>
        <v>-1.5200000000000031</v>
      </c>
      <c r="F1043" s="2">
        <v>45.76</v>
      </c>
    </row>
    <row r="1044" spans="1:6" x14ac:dyDescent="0.25">
      <c r="A1044" s="1">
        <v>45446</v>
      </c>
      <c r="B1044" s="2">
        <v>45.52</v>
      </c>
      <c r="C1044">
        <f t="shared" si="16"/>
        <v>-0.23999999999999488</v>
      </c>
      <c r="F1044" s="2">
        <v>45.52</v>
      </c>
    </row>
    <row r="1045" spans="1:6" x14ac:dyDescent="0.25">
      <c r="A1045" s="1">
        <v>45447</v>
      </c>
      <c r="B1045" s="2">
        <v>45.76</v>
      </c>
      <c r="C1045">
        <f t="shared" si="16"/>
        <v>0.23999999999999488</v>
      </c>
      <c r="F1045" s="2">
        <v>45.76</v>
      </c>
    </row>
    <row r="1046" spans="1:6" x14ac:dyDescent="0.25">
      <c r="A1046" s="1">
        <v>45448</v>
      </c>
      <c r="B1046" s="2">
        <v>44.84</v>
      </c>
      <c r="C1046">
        <f t="shared" si="16"/>
        <v>-0.9199999999999946</v>
      </c>
      <c r="F1046" s="2">
        <v>44.84</v>
      </c>
    </row>
    <row r="1047" spans="1:6" x14ac:dyDescent="0.25">
      <c r="A1047" s="1">
        <v>45449</v>
      </c>
      <c r="B1047" s="2">
        <v>44.52</v>
      </c>
      <c r="C1047">
        <f t="shared" si="16"/>
        <v>-0.32000000000000028</v>
      </c>
      <c r="F1047" s="2">
        <v>44.52</v>
      </c>
    </row>
    <row r="1048" spans="1:6" x14ac:dyDescent="0.25">
      <c r="A1048" s="1">
        <v>45450</v>
      </c>
      <c r="B1048" s="2">
        <v>44.08</v>
      </c>
      <c r="C1048">
        <f t="shared" si="16"/>
        <v>-0.44000000000000483</v>
      </c>
      <c r="F1048" s="2">
        <v>44.08</v>
      </c>
    </row>
    <row r="1049" spans="1:6" x14ac:dyDescent="0.25">
      <c r="A1049" s="1">
        <v>45453</v>
      </c>
      <c r="B1049" s="2">
        <v>44.2</v>
      </c>
      <c r="C1049">
        <f t="shared" si="16"/>
        <v>0.12000000000000455</v>
      </c>
      <c r="F1049" s="2">
        <v>44.2</v>
      </c>
    </row>
    <row r="1050" spans="1:6" x14ac:dyDescent="0.25">
      <c r="A1050" s="1">
        <v>45454</v>
      </c>
      <c r="B1050" s="2">
        <v>44.16</v>
      </c>
      <c r="C1050">
        <f t="shared" si="16"/>
        <v>-4.0000000000006253E-2</v>
      </c>
      <c r="F1050" s="2">
        <v>44.16</v>
      </c>
    </row>
    <row r="1051" spans="1:6" x14ac:dyDescent="0.25">
      <c r="A1051" s="1">
        <v>45455</v>
      </c>
      <c r="B1051" s="2">
        <v>43.2</v>
      </c>
      <c r="C1051">
        <f t="shared" si="16"/>
        <v>-0.95999999999999375</v>
      </c>
      <c r="F1051" s="2">
        <v>43.2</v>
      </c>
    </row>
    <row r="1052" spans="1:6" x14ac:dyDescent="0.25">
      <c r="A1052" s="1">
        <v>45456</v>
      </c>
      <c r="B1052" s="2">
        <v>43.2</v>
      </c>
      <c r="C1052">
        <f t="shared" si="16"/>
        <v>0</v>
      </c>
      <c r="F1052" s="2">
        <v>43.2</v>
      </c>
    </row>
    <row r="1053" spans="1:6" x14ac:dyDescent="0.25">
      <c r="A1053" s="1">
        <v>45457</v>
      </c>
      <c r="B1053" s="2">
        <v>44.64</v>
      </c>
      <c r="C1053">
        <f t="shared" si="16"/>
        <v>1.4399999999999977</v>
      </c>
      <c r="F1053" s="2">
        <v>44.64</v>
      </c>
    </row>
    <row r="1054" spans="1:6" x14ac:dyDescent="0.25">
      <c r="A1054" s="1">
        <v>45460</v>
      </c>
      <c r="B1054" s="2">
        <v>44.32</v>
      </c>
      <c r="C1054">
        <f t="shared" si="16"/>
        <v>-0.32000000000000028</v>
      </c>
      <c r="F1054" s="2">
        <v>44.32</v>
      </c>
    </row>
    <row r="1055" spans="1:6" x14ac:dyDescent="0.25">
      <c r="A1055" s="1">
        <v>45461</v>
      </c>
      <c r="B1055" s="2">
        <v>44</v>
      </c>
      <c r="C1055">
        <f t="shared" si="16"/>
        <v>-0.32000000000000028</v>
      </c>
      <c r="F1055" s="2">
        <v>44</v>
      </c>
    </row>
    <row r="1056" spans="1:6" x14ac:dyDescent="0.25">
      <c r="A1056" s="1">
        <v>45463</v>
      </c>
      <c r="B1056" s="2">
        <v>45.56</v>
      </c>
      <c r="C1056">
        <f t="shared" si="16"/>
        <v>1.5600000000000023</v>
      </c>
      <c r="F1056" s="2">
        <v>45.56</v>
      </c>
    </row>
    <row r="1057" spans="1:6" x14ac:dyDescent="0.25">
      <c r="A1057" s="1">
        <v>45464</v>
      </c>
      <c r="B1057" s="2">
        <v>44.76</v>
      </c>
      <c r="C1057">
        <f t="shared" si="16"/>
        <v>-0.80000000000000426</v>
      </c>
      <c r="F1057" s="2">
        <v>44.76</v>
      </c>
    </row>
    <row r="1058" spans="1:6" x14ac:dyDescent="0.25">
      <c r="A1058" s="1">
        <v>45467</v>
      </c>
      <c r="B1058" s="2">
        <v>44.52</v>
      </c>
      <c r="C1058">
        <f t="shared" si="16"/>
        <v>-0.23999999999999488</v>
      </c>
      <c r="F1058" s="2">
        <v>44.52</v>
      </c>
    </row>
    <row r="1059" spans="1:6" x14ac:dyDescent="0.25">
      <c r="A1059" s="1">
        <v>45468</v>
      </c>
      <c r="B1059" s="2">
        <v>43.52</v>
      </c>
      <c r="C1059">
        <f t="shared" si="16"/>
        <v>-1</v>
      </c>
      <c r="F1059" s="2">
        <v>43.52</v>
      </c>
    </row>
    <row r="1060" spans="1:6" x14ac:dyDescent="0.25">
      <c r="A1060" s="1">
        <v>45469</v>
      </c>
      <c r="B1060" s="2">
        <v>43.08</v>
      </c>
      <c r="C1060">
        <f t="shared" si="16"/>
        <v>-0.44000000000000483</v>
      </c>
      <c r="F1060" s="2">
        <v>43.08</v>
      </c>
    </row>
    <row r="1061" spans="1:6" x14ac:dyDescent="0.25">
      <c r="A1061" s="1">
        <v>45470</v>
      </c>
      <c r="B1061" s="2">
        <v>42.72</v>
      </c>
      <c r="C1061">
        <f t="shared" si="16"/>
        <v>-0.35999999999999943</v>
      </c>
      <c r="F1061" s="2">
        <v>42.72</v>
      </c>
    </row>
    <row r="1062" spans="1:6" x14ac:dyDescent="0.25">
      <c r="A1062" s="1">
        <v>45471</v>
      </c>
      <c r="B1062" s="2">
        <v>43.4</v>
      </c>
      <c r="C1062">
        <f t="shared" si="16"/>
        <v>0.67999999999999972</v>
      </c>
      <c r="F1062" s="2">
        <v>43.4</v>
      </c>
    </row>
    <row r="1063" spans="1:6" x14ac:dyDescent="0.25">
      <c r="A1063" s="1">
        <v>45474</v>
      </c>
      <c r="B1063" s="2">
        <v>41.66</v>
      </c>
      <c r="C1063">
        <f t="shared" si="16"/>
        <v>-1.740000000000002</v>
      </c>
      <c r="F1063" s="2">
        <v>41.66</v>
      </c>
    </row>
    <row r="1064" spans="1:6" x14ac:dyDescent="0.25">
      <c r="A1064" s="1">
        <v>45475</v>
      </c>
      <c r="B1064" s="2">
        <v>41.16</v>
      </c>
      <c r="C1064">
        <f t="shared" si="16"/>
        <v>-0.5</v>
      </c>
      <c r="F1064" s="2">
        <v>41.16</v>
      </c>
    </row>
    <row r="1065" spans="1:6" x14ac:dyDescent="0.25">
      <c r="A1065" s="1">
        <v>45476</v>
      </c>
      <c r="B1065" s="2">
        <v>41.36</v>
      </c>
      <c r="C1065">
        <f t="shared" si="16"/>
        <v>0.20000000000000284</v>
      </c>
      <c r="F1065" s="2">
        <v>41.36</v>
      </c>
    </row>
    <row r="1066" spans="1:6" x14ac:dyDescent="0.25">
      <c r="A1066" s="1">
        <v>45478</v>
      </c>
      <c r="B1066" s="2">
        <v>41.48</v>
      </c>
      <c r="C1066">
        <f t="shared" si="16"/>
        <v>0.11999999999999744</v>
      </c>
      <c r="F1066" s="2">
        <v>41.48</v>
      </c>
    </row>
    <row r="1067" spans="1:6" x14ac:dyDescent="0.25">
      <c r="A1067" s="1">
        <v>45481</v>
      </c>
      <c r="B1067" s="2">
        <v>40.799999999999997</v>
      </c>
      <c r="C1067">
        <f t="shared" si="16"/>
        <v>-0.67999999999999972</v>
      </c>
      <c r="F1067" s="2">
        <v>40.799999999999997</v>
      </c>
    </row>
    <row r="1068" spans="1:6" x14ac:dyDescent="0.25">
      <c r="A1068" s="1">
        <v>45482</v>
      </c>
      <c r="B1068" s="2">
        <v>40.799999999999997</v>
      </c>
      <c r="C1068">
        <f t="shared" si="16"/>
        <v>0</v>
      </c>
      <c r="F1068" s="2">
        <v>40.799999999999997</v>
      </c>
    </row>
    <row r="1069" spans="1:6" x14ac:dyDescent="0.25">
      <c r="A1069" s="1">
        <v>45483</v>
      </c>
      <c r="B1069" s="2">
        <v>40.72</v>
      </c>
      <c r="C1069">
        <f t="shared" si="16"/>
        <v>-7.9999999999998295E-2</v>
      </c>
      <c r="F1069" s="2">
        <v>40.72</v>
      </c>
    </row>
    <row r="1070" spans="1:6" x14ac:dyDescent="0.25">
      <c r="A1070" s="1">
        <v>45484</v>
      </c>
      <c r="B1070" s="2">
        <v>40.840000000000003</v>
      </c>
      <c r="C1070">
        <f t="shared" si="16"/>
        <v>0.12000000000000455</v>
      </c>
      <c r="F1070" s="2">
        <v>40.840000000000003</v>
      </c>
    </row>
    <row r="1071" spans="1:6" x14ac:dyDescent="0.25">
      <c r="A1071" s="1">
        <v>45485</v>
      </c>
      <c r="B1071" s="2">
        <v>40.159999999999997</v>
      </c>
      <c r="C1071">
        <f t="shared" si="16"/>
        <v>-0.68000000000000682</v>
      </c>
      <c r="F1071" s="2">
        <v>40.159999999999997</v>
      </c>
    </row>
    <row r="1072" spans="1:6" x14ac:dyDescent="0.25">
      <c r="A1072" s="1">
        <v>45488</v>
      </c>
      <c r="B1072" s="2">
        <v>40.96</v>
      </c>
      <c r="C1072">
        <f t="shared" si="16"/>
        <v>0.80000000000000426</v>
      </c>
      <c r="F1072" s="2">
        <v>40.96</v>
      </c>
    </row>
    <row r="1073" spans="1:6" x14ac:dyDescent="0.25">
      <c r="A1073" s="1">
        <v>45489</v>
      </c>
      <c r="B1073" s="2">
        <v>41.12</v>
      </c>
      <c r="C1073">
        <f t="shared" si="16"/>
        <v>0.15999999999999659</v>
      </c>
      <c r="F1073" s="2">
        <v>41.12</v>
      </c>
    </row>
    <row r="1074" spans="1:6" x14ac:dyDescent="0.25">
      <c r="A1074" s="1">
        <v>45490</v>
      </c>
      <c r="B1074" s="2">
        <v>42.52</v>
      </c>
      <c r="C1074">
        <f t="shared" si="16"/>
        <v>1.4000000000000057</v>
      </c>
      <c r="F1074" s="2">
        <v>42.52</v>
      </c>
    </row>
    <row r="1075" spans="1:6" x14ac:dyDescent="0.25">
      <c r="A1075" s="1">
        <v>45491</v>
      </c>
      <c r="B1075" s="2">
        <v>43.8</v>
      </c>
      <c r="C1075">
        <f t="shared" si="16"/>
        <v>1.279999999999994</v>
      </c>
      <c r="F1075" s="2">
        <v>43.8</v>
      </c>
    </row>
    <row r="1076" spans="1:6" x14ac:dyDescent="0.25">
      <c r="A1076" s="1">
        <v>45492</v>
      </c>
      <c r="B1076" s="2">
        <v>45.72</v>
      </c>
      <c r="C1076">
        <f t="shared" si="16"/>
        <v>1.9200000000000017</v>
      </c>
      <c r="F1076" s="2">
        <v>45.72</v>
      </c>
    </row>
    <row r="1077" spans="1:6" x14ac:dyDescent="0.25">
      <c r="A1077" s="1">
        <v>45495</v>
      </c>
      <c r="B1077" s="2">
        <v>43.24</v>
      </c>
      <c r="C1077">
        <f t="shared" si="16"/>
        <v>-2.4799999999999969</v>
      </c>
      <c r="F1077" s="2">
        <v>43.24</v>
      </c>
    </row>
    <row r="1078" spans="1:6" x14ac:dyDescent="0.25">
      <c r="A1078" s="1">
        <v>45496</v>
      </c>
      <c r="B1078" s="2">
        <v>42.84</v>
      </c>
      <c r="C1078">
        <f t="shared" si="16"/>
        <v>-0.39999999999999858</v>
      </c>
      <c r="F1078" s="2">
        <v>42.84</v>
      </c>
    </row>
    <row r="1079" spans="1:6" x14ac:dyDescent="0.25">
      <c r="A1079" s="1">
        <v>45497</v>
      </c>
      <c r="B1079" s="2">
        <v>48.8</v>
      </c>
      <c r="C1079">
        <f t="shared" si="16"/>
        <v>5.9599999999999937</v>
      </c>
      <c r="F1079" s="2">
        <v>48.8</v>
      </c>
    </row>
    <row r="1080" spans="1:6" x14ac:dyDescent="0.25">
      <c r="A1080" s="1">
        <v>45498</v>
      </c>
      <c r="B1080" s="2">
        <v>49.2</v>
      </c>
      <c r="C1080">
        <f t="shared" si="16"/>
        <v>0.40000000000000568</v>
      </c>
      <c r="F1080" s="2">
        <v>49.2</v>
      </c>
    </row>
    <row r="1081" spans="1:6" x14ac:dyDescent="0.25">
      <c r="A1081" s="1">
        <v>45499</v>
      </c>
      <c r="B1081" s="2">
        <v>46.4</v>
      </c>
      <c r="C1081">
        <f t="shared" si="16"/>
        <v>-2.8000000000000043</v>
      </c>
      <c r="F1081" s="2">
        <v>46.4</v>
      </c>
    </row>
    <row r="1082" spans="1:6" x14ac:dyDescent="0.25">
      <c r="A1082" s="1">
        <v>45502</v>
      </c>
      <c r="B1082" s="2">
        <v>45.68</v>
      </c>
      <c r="C1082">
        <f t="shared" si="16"/>
        <v>-0.71999999999999886</v>
      </c>
      <c r="F1082" s="2">
        <v>45.68</v>
      </c>
    </row>
    <row r="1083" spans="1:6" x14ac:dyDescent="0.25">
      <c r="A1083" s="1">
        <v>45503</v>
      </c>
      <c r="B1083" s="2">
        <v>47.08</v>
      </c>
      <c r="C1083">
        <f t="shared" si="16"/>
        <v>1.3999999999999986</v>
      </c>
      <c r="F1083" s="2">
        <v>47.08</v>
      </c>
    </row>
    <row r="1084" spans="1:6" x14ac:dyDescent="0.25">
      <c r="A1084" s="1">
        <v>45504</v>
      </c>
      <c r="B1084" s="2">
        <v>45.8</v>
      </c>
      <c r="C1084">
        <f t="shared" si="16"/>
        <v>-1.2800000000000011</v>
      </c>
      <c r="F1084" s="2">
        <v>45.8</v>
      </c>
    </row>
    <row r="1085" spans="1:6" x14ac:dyDescent="0.25">
      <c r="A1085" s="1">
        <v>45505</v>
      </c>
      <c r="B1085" s="2">
        <v>49.92</v>
      </c>
      <c r="C1085">
        <f t="shared" si="16"/>
        <v>4.1200000000000045</v>
      </c>
      <c r="F1085" s="2">
        <v>49.92</v>
      </c>
    </row>
    <row r="1086" spans="1:6" x14ac:dyDescent="0.25">
      <c r="A1086" s="1">
        <v>45506</v>
      </c>
      <c r="B1086" s="2">
        <v>61.88</v>
      </c>
      <c r="C1086">
        <f t="shared" si="16"/>
        <v>11.96</v>
      </c>
      <c r="F1086" s="2">
        <v>61.88</v>
      </c>
    </row>
    <row r="1087" spans="1:6" x14ac:dyDescent="0.25">
      <c r="A1087" s="1">
        <v>45509</v>
      </c>
      <c r="B1087" s="2">
        <v>88.52</v>
      </c>
      <c r="C1087">
        <f t="shared" si="16"/>
        <v>26.639999999999993</v>
      </c>
      <c r="F1087" s="2">
        <v>88.52</v>
      </c>
    </row>
    <row r="1088" spans="1:6" x14ac:dyDescent="0.25">
      <c r="A1088" s="1">
        <v>45510</v>
      </c>
      <c r="B1088" s="2">
        <v>70.36</v>
      </c>
      <c r="C1088">
        <f t="shared" si="16"/>
        <v>-18.159999999999997</v>
      </c>
      <c r="F1088" s="2">
        <v>70.36</v>
      </c>
    </row>
    <row r="1089" spans="1:6" x14ac:dyDescent="0.25">
      <c r="A1089" s="1">
        <v>45511</v>
      </c>
      <c r="B1089" s="2">
        <v>68.239999999999995</v>
      </c>
      <c r="C1089">
        <f t="shared" si="16"/>
        <v>-2.1200000000000045</v>
      </c>
      <c r="F1089" s="2">
        <v>68.239999999999995</v>
      </c>
    </row>
    <row r="1090" spans="1:6" x14ac:dyDescent="0.25">
      <c r="A1090" s="1">
        <v>45512</v>
      </c>
      <c r="B1090" s="2">
        <v>62.76</v>
      </c>
      <c r="C1090">
        <f t="shared" si="16"/>
        <v>-5.4799999999999969</v>
      </c>
      <c r="F1090" s="2">
        <v>62.76</v>
      </c>
    </row>
    <row r="1091" spans="1:6" x14ac:dyDescent="0.25">
      <c r="A1091" s="1">
        <v>45513</v>
      </c>
      <c r="B1091" s="2">
        <v>54.4</v>
      </c>
      <c r="C1091">
        <f t="shared" si="16"/>
        <v>-8.36</v>
      </c>
      <c r="F1091" s="2">
        <v>54.4</v>
      </c>
    </row>
    <row r="1092" spans="1:6" x14ac:dyDescent="0.25">
      <c r="A1092" s="1">
        <v>45516</v>
      </c>
      <c r="B1092" s="2">
        <v>54.2</v>
      </c>
      <c r="C1092">
        <f t="shared" ref="C1092:C1155" si="17">(B1092-B1091)</f>
        <v>-0.19999999999999574</v>
      </c>
      <c r="F1092" s="2">
        <v>54.2</v>
      </c>
    </row>
    <row r="1093" spans="1:6" x14ac:dyDescent="0.25">
      <c r="A1093" s="1">
        <v>45517</v>
      </c>
      <c r="B1093" s="2">
        <v>49.96</v>
      </c>
      <c r="C1093">
        <f t="shared" si="17"/>
        <v>-4.240000000000002</v>
      </c>
      <c r="F1093" s="2">
        <v>49.96</v>
      </c>
    </row>
    <row r="1094" spans="1:6" x14ac:dyDescent="0.25">
      <c r="A1094" s="1">
        <v>45518</v>
      </c>
      <c r="B1094" s="2">
        <v>46.6</v>
      </c>
      <c r="C1094">
        <f t="shared" si="17"/>
        <v>-3.3599999999999994</v>
      </c>
      <c r="F1094" s="2">
        <v>46.6</v>
      </c>
    </row>
    <row r="1095" spans="1:6" x14ac:dyDescent="0.25">
      <c r="A1095" s="1">
        <v>45519</v>
      </c>
      <c r="B1095" s="2">
        <v>44.88</v>
      </c>
      <c r="C1095">
        <f t="shared" si="17"/>
        <v>-1.7199999999999989</v>
      </c>
      <c r="F1095" s="2">
        <v>44.88</v>
      </c>
    </row>
    <row r="1096" spans="1:6" x14ac:dyDescent="0.25">
      <c r="A1096" s="1">
        <v>45520</v>
      </c>
      <c r="B1096" s="2">
        <v>44.84</v>
      </c>
      <c r="C1096">
        <f t="shared" si="17"/>
        <v>-3.9999999999999147E-2</v>
      </c>
      <c r="F1096" s="2">
        <v>44.84</v>
      </c>
    </row>
    <row r="1097" spans="1:6" x14ac:dyDescent="0.25">
      <c r="A1097" s="1">
        <v>45523</v>
      </c>
      <c r="B1097" s="2">
        <v>43.84</v>
      </c>
      <c r="C1097">
        <f t="shared" si="17"/>
        <v>-1</v>
      </c>
      <c r="F1097" s="2">
        <v>43.84</v>
      </c>
    </row>
    <row r="1098" spans="1:6" x14ac:dyDescent="0.25">
      <c r="A1098" s="1">
        <v>45524</v>
      </c>
      <c r="B1098" s="2">
        <v>45.76</v>
      </c>
      <c r="C1098">
        <f t="shared" si="17"/>
        <v>1.9199999999999946</v>
      </c>
      <c r="F1098" s="2">
        <v>45.76</v>
      </c>
    </row>
    <row r="1099" spans="1:6" x14ac:dyDescent="0.25">
      <c r="A1099" s="1">
        <v>45525</v>
      </c>
      <c r="B1099" s="2">
        <v>46.24</v>
      </c>
      <c r="C1099">
        <f t="shared" si="17"/>
        <v>0.48000000000000398</v>
      </c>
      <c r="F1099" s="2">
        <v>46.24</v>
      </c>
    </row>
    <row r="1100" spans="1:6" x14ac:dyDescent="0.25">
      <c r="A1100" s="1">
        <v>45526</v>
      </c>
      <c r="B1100" s="2">
        <v>48.32</v>
      </c>
      <c r="C1100">
        <f t="shared" si="17"/>
        <v>2.0799999999999983</v>
      </c>
      <c r="F1100" s="2">
        <v>48.32</v>
      </c>
    </row>
    <row r="1101" spans="1:6" x14ac:dyDescent="0.25">
      <c r="A1101" s="1">
        <v>45527</v>
      </c>
      <c r="B1101" s="2">
        <v>45.4</v>
      </c>
      <c r="C1101">
        <f t="shared" si="17"/>
        <v>-2.9200000000000017</v>
      </c>
      <c r="F1101" s="2">
        <v>45.4</v>
      </c>
    </row>
    <row r="1102" spans="1:6" x14ac:dyDescent="0.25">
      <c r="A1102" s="1">
        <v>45530</v>
      </c>
      <c r="B1102" s="2">
        <v>45.48</v>
      </c>
      <c r="C1102">
        <f t="shared" si="17"/>
        <v>7.9999999999998295E-2</v>
      </c>
      <c r="F1102" s="2">
        <v>45.48</v>
      </c>
    </row>
    <row r="1103" spans="1:6" x14ac:dyDescent="0.25">
      <c r="A1103" s="1">
        <v>45531</v>
      </c>
      <c r="B1103" s="2">
        <v>44.44</v>
      </c>
      <c r="C1103">
        <f t="shared" si="17"/>
        <v>-1.0399999999999991</v>
      </c>
      <c r="F1103" s="2">
        <v>44.44</v>
      </c>
    </row>
    <row r="1104" spans="1:6" x14ac:dyDescent="0.25">
      <c r="A1104" s="1">
        <v>45532</v>
      </c>
      <c r="B1104" s="2">
        <v>47</v>
      </c>
      <c r="C1104">
        <f t="shared" si="17"/>
        <v>2.5600000000000023</v>
      </c>
      <c r="F1104" s="2">
        <v>47</v>
      </c>
    </row>
    <row r="1105" spans="1:6" x14ac:dyDescent="0.25">
      <c r="A1105" s="1">
        <v>45533</v>
      </c>
      <c r="B1105" s="2">
        <v>45.32</v>
      </c>
      <c r="C1105">
        <f t="shared" si="17"/>
        <v>-1.6799999999999997</v>
      </c>
      <c r="F1105" s="2">
        <v>45.32</v>
      </c>
    </row>
    <row r="1106" spans="1:6" x14ac:dyDescent="0.25">
      <c r="A1106" s="1">
        <v>45534</v>
      </c>
      <c r="B1106" s="2">
        <v>44</v>
      </c>
      <c r="C1106">
        <f t="shared" si="17"/>
        <v>-1.3200000000000003</v>
      </c>
      <c r="F1106" s="2">
        <v>44</v>
      </c>
    </row>
    <row r="1107" spans="1:6" x14ac:dyDescent="0.25">
      <c r="A1107" s="1">
        <v>45538</v>
      </c>
      <c r="B1107" s="2">
        <v>52.92</v>
      </c>
      <c r="C1107">
        <f t="shared" si="17"/>
        <v>8.9200000000000017</v>
      </c>
      <c r="F1107" s="2">
        <v>52.92</v>
      </c>
    </row>
    <row r="1108" spans="1:6" x14ac:dyDescent="0.25">
      <c r="A1108" s="1">
        <v>45539</v>
      </c>
      <c r="B1108" s="2">
        <v>54.04</v>
      </c>
      <c r="C1108">
        <f t="shared" si="17"/>
        <v>1.1199999999999974</v>
      </c>
      <c r="F1108" s="2">
        <v>54.04</v>
      </c>
    </row>
    <row r="1109" spans="1:6" x14ac:dyDescent="0.25">
      <c r="A1109" s="1">
        <v>45540</v>
      </c>
      <c r="B1109" s="2">
        <v>51.72</v>
      </c>
      <c r="C1109">
        <f t="shared" si="17"/>
        <v>-2.3200000000000003</v>
      </c>
      <c r="F1109" s="2">
        <v>51.72</v>
      </c>
    </row>
    <row r="1110" spans="1:6" x14ac:dyDescent="0.25">
      <c r="A1110" s="1">
        <v>45541</v>
      </c>
      <c r="B1110" s="2">
        <v>55.4</v>
      </c>
      <c r="C1110">
        <f t="shared" si="17"/>
        <v>3.6799999999999997</v>
      </c>
      <c r="F1110" s="2">
        <v>55.4</v>
      </c>
    </row>
    <row r="1111" spans="1:6" x14ac:dyDescent="0.25">
      <c r="A1111" s="1">
        <v>45544</v>
      </c>
      <c r="B1111" s="2">
        <v>51.96</v>
      </c>
      <c r="C1111">
        <f t="shared" si="17"/>
        <v>-3.4399999999999977</v>
      </c>
      <c r="F1111" s="2">
        <v>51.96</v>
      </c>
    </row>
    <row r="1112" spans="1:6" x14ac:dyDescent="0.25">
      <c r="A1112" s="1">
        <v>45545</v>
      </c>
      <c r="B1112" s="2">
        <v>50.96</v>
      </c>
      <c r="C1112">
        <f t="shared" si="17"/>
        <v>-1</v>
      </c>
      <c r="F1112" s="2">
        <v>50.96</v>
      </c>
    </row>
    <row r="1113" spans="1:6" x14ac:dyDescent="0.25">
      <c r="A1113" s="1">
        <v>45546</v>
      </c>
      <c r="B1113" s="2">
        <v>48.76</v>
      </c>
      <c r="C1113">
        <f t="shared" si="17"/>
        <v>-2.2000000000000028</v>
      </c>
      <c r="F1113" s="2">
        <v>48.76</v>
      </c>
    </row>
    <row r="1114" spans="1:6" x14ac:dyDescent="0.25">
      <c r="A1114" s="1">
        <v>45547</v>
      </c>
      <c r="B1114" s="2">
        <v>48.44</v>
      </c>
      <c r="C1114">
        <f t="shared" si="17"/>
        <v>-0.32000000000000028</v>
      </c>
      <c r="F1114" s="2">
        <v>48.44</v>
      </c>
    </row>
    <row r="1115" spans="1:6" x14ac:dyDescent="0.25">
      <c r="A1115" s="1">
        <v>45548</v>
      </c>
      <c r="B1115" s="2">
        <v>48.24</v>
      </c>
      <c r="C1115">
        <f t="shared" si="17"/>
        <v>-0.19999999999999574</v>
      </c>
      <c r="F1115" s="2">
        <v>48.24</v>
      </c>
    </row>
    <row r="1116" spans="1:6" x14ac:dyDescent="0.25">
      <c r="A1116" s="1">
        <v>45551</v>
      </c>
      <c r="B1116" s="2">
        <v>48.56</v>
      </c>
      <c r="C1116">
        <f t="shared" si="17"/>
        <v>0.32000000000000028</v>
      </c>
      <c r="F1116" s="2">
        <v>48.56</v>
      </c>
    </row>
    <row r="1117" spans="1:6" x14ac:dyDescent="0.25">
      <c r="A1117" s="1">
        <v>45552</v>
      </c>
      <c r="B1117" s="2">
        <v>49.8</v>
      </c>
      <c r="C1117">
        <f t="shared" si="17"/>
        <v>1.2399999999999949</v>
      </c>
      <c r="F1117" s="2">
        <v>49.8</v>
      </c>
    </row>
    <row r="1118" spans="1:6" x14ac:dyDescent="0.25">
      <c r="A1118" s="1">
        <v>45553</v>
      </c>
      <c r="B1118" s="2">
        <v>49.2</v>
      </c>
      <c r="C1118">
        <f t="shared" si="17"/>
        <v>-0.59999999999999432</v>
      </c>
      <c r="F1118" s="2">
        <v>49.2</v>
      </c>
    </row>
    <row r="1119" spans="1:6" x14ac:dyDescent="0.25">
      <c r="A1119" s="1">
        <v>45554</v>
      </c>
      <c r="B1119" s="2">
        <v>47.36</v>
      </c>
      <c r="C1119">
        <f t="shared" si="17"/>
        <v>-1.8400000000000034</v>
      </c>
      <c r="F1119" s="2">
        <v>47.36</v>
      </c>
    </row>
    <row r="1120" spans="1:6" x14ac:dyDescent="0.25">
      <c r="A1120" s="1">
        <v>45555</v>
      </c>
      <c r="B1120" s="2">
        <v>47.04</v>
      </c>
      <c r="C1120">
        <f t="shared" si="17"/>
        <v>-0.32000000000000028</v>
      </c>
      <c r="F1120" s="2">
        <v>47.04</v>
      </c>
    </row>
    <row r="1121" spans="1:6" x14ac:dyDescent="0.25">
      <c r="A1121" s="1">
        <v>45558</v>
      </c>
      <c r="B1121" s="2">
        <v>47.2</v>
      </c>
      <c r="C1121">
        <f t="shared" si="17"/>
        <v>0.16000000000000369</v>
      </c>
      <c r="F1121" s="2">
        <v>47.2</v>
      </c>
    </row>
    <row r="1122" spans="1:6" x14ac:dyDescent="0.25">
      <c r="A1122" s="1">
        <v>45559</v>
      </c>
      <c r="B1122" s="2">
        <v>47.24</v>
      </c>
      <c r="C1122">
        <f t="shared" si="17"/>
        <v>3.9999999999999147E-2</v>
      </c>
      <c r="F1122" s="2">
        <v>47.24</v>
      </c>
    </row>
    <row r="1123" spans="1:6" x14ac:dyDescent="0.25">
      <c r="A1123" s="1">
        <v>45560</v>
      </c>
      <c r="B1123" s="2">
        <v>47.76</v>
      </c>
      <c r="C1123">
        <f t="shared" si="17"/>
        <v>0.51999999999999602</v>
      </c>
      <c r="F1123" s="2">
        <v>47.76</v>
      </c>
    </row>
    <row r="1124" spans="1:6" x14ac:dyDescent="0.25">
      <c r="A1124" s="1">
        <v>45561</v>
      </c>
      <c r="B1124" s="2">
        <v>47.8</v>
      </c>
      <c r="C1124">
        <f t="shared" si="17"/>
        <v>3.9999999999999147E-2</v>
      </c>
      <c r="F1124" s="2">
        <v>47.8</v>
      </c>
    </row>
    <row r="1125" spans="1:6" x14ac:dyDescent="0.25">
      <c r="A1125" s="1">
        <v>45562</v>
      </c>
      <c r="B1125" s="2">
        <v>50.04</v>
      </c>
      <c r="C1125">
        <f t="shared" si="17"/>
        <v>2.240000000000002</v>
      </c>
      <c r="F1125" s="2">
        <v>50.04</v>
      </c>
    </row>
    <row r="1126" spans="1:6" x14ac:dyDescent="0.25">
      <c r="A1126" s="1">
        <v>45565</v>
      </c>
      <c r="B1126" s="2">
        <v>49</v>
      </c>
      <c r="C1126">
        <f t="shared" si="17"/>
        <v>-1.0399999999999991</v>
      </c>
      <c r="F1126" s="2">
        <v>49</v>
      </c>
    </row>
    <row r="1127" spans="1:6" x14ac:dyDescent="0.25">
      <c r="A1127" s="1">
        <v>45566</v>
      </c>
      <c r="B1127" s="2">
        <v>52.84</v>
      </c>
      <c r="C1127">
        <f t="shared" si="17"/>
        <v>3.8400000000000034</v>
      </c>
      <c r="F1127" s="2">
        <v>52.84</v>
      </c>
    </row>
    <row r="1128" spans="1:6" x14ac:dyDescent="0.25">
      <c r="A1128" s="1">
        <v>45567</v>
      </c>
      <c r="B1128" s="2">
        <v>52</v>
      </c>
      <c r="C1128">
        <f t="shared" si="17"/>
        <v>-0.84000000000000341</v>
      </c>
      <c r="F1128" s="2">
        <v>52</v>
      </c>
    </row>
    <row r="1129" spans="1:6" x14ac:dyDescent="0.25">
      <c r="A1129" s="1">
        <v>45568</v>
      </c>
      <c r="B1129" s="2">
        <v>54.28</v>
      </c>
      <c r="C1129">
        <f t="shared" si="17"/>
        <v>2.2800000000000011</v>
      </c>
      <c r="F1129" s="2">
        <v>54.28</v>
      </c>
    </row>
    <row r="1130" spans="1:6" x14ac:dyDescent="0.25">
      <c r="A1130" s="1">
        <v>45569</v>
      </c>
      <c r="B1130" s="2">
        <v>52.36</v>
      </c>
      <c r="C1130">
        <f t="shared" si="17"/>
        <v>-1.9200000000000017</v>
      </c>
      <c r="F1130" s="2">
        <v>52.36</v>
      </c>
    </row>
    <row r="1131" spans="1:6" x14ac:dyDescent="0.25">
      <c r="A1131" s="1">
        <v>45572</v>
      </c>
      <c r="B1131" s="2">
        <v>56.92</v>
      </c>
      <c r="C1131">
        <f t="shared" si="17"/>
        <v>4.5600000000000023</v>
      </c>
      <c r="F1131" s="2">
        <v>56.92</v>
      </c>
    </row>
    <row r="1132" spans="1:6" x14ac:dyDescent="0.25">
      <c r="A1132" s="1">
        <v>45573</v>
      </c>
      <c r="B1132" s="2">
        <v>54.64</v>
      </c>
      <c r="C1132">
        <f t="shared" si="17"/>
        <v>-2.2800000000000011</v>
      </c>
      <c r="F1132" s="2">
        <v>54.64</v>
      </c>
    </row>
    <row r="1133" spans="1:6" x14ac:dyDescent="0.25">
      <c r="A1133" s="1">
        <v>45574</v>
      </c>
      <c r="B1133" s="2">
        <v>53.28</v>
      </c>
      <c r="C1133">
        <f t="shared" si="17"/>
        <v>-1.3599999999999994</v>
      </c>
      <c r="F1133" s="2">
        <v>53.28</v>
      </c>
    </row>
    <row r="1134" spans="1:6" x14ac:dyDescent="0.25">
      <c r="A1134" s="1">
        <v>45575</v>
      </c>
      <c r="B1134" s="2">
        <v>54</v>
      </c>
      <c r="C1134">
        <f t="shared" si="17"/>
        <v>0.71999999999999886</v>
      </c>
      <c r="F1134" s="2">
        <v>54</v>
      </c>
    </row>
    <row r="1135" spans="1:6" x14ac:dyDescent="0.25">
      <c r="A1135" s="1">
        <v>45576</v>
      </c>
      <c r="B1135" s="2">
        <v>53.44</v>
      </c>
      <c r="C1135">
        <f t="shared" si="17"/>
        <v>-0.56000000000000227</v>
      </c>
      <c r="F1135" s="2">
        <v>53.44</v>
      </c>
    </row>
    <row r="1136" spans="1:6" x14ac:dyDescent="0.25">
      <c r="A1136" s="1">
        <v>45579</v>
      </c>
      <c r="B1136" s="2">
        <v>51.56</v>
      </c>
      <c r="C1136">
        <f t="shared" si="17"/>
        <v>-1.8799999999999955</v>
      </c>
      <c r="F1136" s="2">
        <v>51.56</v>
      </c>
    </row>
    <row r="1137" spans="1:6" x14ac:dyDescent="0.25">
      <c r="A1137" s="1">
        <v>45580</v>
      </c>
      <c r="B1137" s="2">
        <v>53.16</v>
      </c>
      <c r="C1137">
        <f t="shared" si="17"/>
        <v>1.5999999999999943</v>
      </c>
      <c r="F1137" s="2">
        <v>53.16</v>
      </c>
    </row>
    <row r="1138" spans="1:6" x14ac:dyDescent="0.25">
      <c r="A1138" s="1">
        <v>45581</v>
      </c>
      <c r="B1138" s="2">
        <v>52.68</v>
      </c>
      <c r="C1138">
        <f t="shared" si="17"/>
        <v>-0.47999999999999687</v>
      </c>
      <c r="F1138" s="2">
        <v>52.68</v>
      </c>
    </row>
    <row r="1139" spans="1:6" x14ac:dyDescent="0.25">
      <c r="A1139" s="1">
        <v>45582</v>
      </c>
      <c r="B1139" s="2">
        <v>51.8</v>
      </c>
      <c r="C1139">
        <f t="shared" si="17"/>
        <v>-0.88000000000000256</v>
      </c>
      <c r="F1139" s="2">
        <v>51.8</v>
      </c>
    </row>
    <row r="1140" spans="1:6" x14ac:dyDescent="0.25">
      <c r="A1140" s="1">
        <v>45583</v>
      </c>
      <c r="B1140" s="2">
        <v>50.6</v>
      </c>
      <c r="C1140">
        <f t="shared" si="17"/>
        <v>-1.1999999999999957</v>
      </c>
      <c r="F1140" s="2">
        <v>50.6</v>
      </c>
    </row>
    <row r="1141" spans="1:6" x14ac:dyDescent="0.25">
      <c r="A1141" s="1">
        <v>45586</v>
      </c>
      <c r="B1141" s="2">
        <v>50.64</v>
      </c>
      <c r="C1141">
        <f t="shared" si="17"/>
        <v>3.9999999999999147E-2</v>
      </c>
      <c r="F1141" s="2">
        <v>50.64</v>
      </c>
    </row>
    <row r="1142" spans="1:6" x14ac:dyDescent="0.25">
      <c r="A1142" s="1">
        <v>45587</v>
      </c>
      <c r="B1142" s="2">
        <v>50.52</v>
      </c>
      <c r="C1142">
        <f t="shared" si="17"/>
        <v>-0.11999999999999744</v>
      </c>
      <c r="F1142" s="2">
        <v>50.52</v>
      </c>
    </row>
    <row r="1143" spans="1:6" x14ac:dyDescent="0.25">
      <c r="A1143" s="1">
        <v>45588</v>
      </c>
      <c r="B1143" s="2">
        <v>53</v>
      </c>
      <c r="C1143">
        <f t="shared" si="17"/>
        <v>2.4799999999999969</v>
      </c>
      <c r="F1143" s="2">
        <v>53</v>
      </c>
    </row>
    <row r="1144" spans="1:6" x14ac:dyDescent="0.25">
      <c r="A1144" s="1">
        <v>45589</v>
      </c>
      <c r="B1144" s="2">
        <v>52.12</v>
      </c>
      <c r="C1144">
        <f t="shared" si="17"/>
        <v>-0.88000000000000256</v>
      </c>
      <c r="F1144" s="2">
        <v>52.12</v>
      </c>
    </row>
    <row r="1145" spans="1:6" x14ac:dyDescent="0.25">
      <c r="A1145" s="1">
        <v>45590</v>
      </c>
      <c r="B1145" s="2">
        <v>54.52</v>
      </c>
      <c r="C1145">
        <f t="shared" si="17"/>
        <v>2.4000000000000057</v>
      </c>
      <c r="F1145" s="2">
        <v>54.52</v>
      </c>
    </row>
    <row r="1146" spans="1:6" x14ac:dyDescent="0.25">
      <c r="A1146" s="1">
        <v>45593</v>
      </c>
      <c r="B1146" s="2">
        <v>52.04</v>
      </c>
      <c r="C1146">
        <f t="shared" si="17"/>
        <v>-2.480000000000004</v>
      </c>
      <c r="F1146" s="2">
        <v>52.04</v>
      </c>
    </row>
    <row r="1147" spans="1:6" x14ac:dyDescent="0.25">
      <c r="A1147" s="1">
        <v>45594</v>
      </c>
      <c r="B1147" s="2">
        <v>51.76</v>
      </c>
      <c r="C1147">
        <f t="shared" si="17"/>
        <v>-0.28000000000000114</v>
      </c>
      <c r="F1147" s="2">
        <v>51.76</v>
      </c>
    </row>
    <row r="1148" spans="1:6" x14ac:dyDescent="0.25">
      <c r="A1148" s="1">
        <v>45595</v>
      </c>
      <c r="B1148" s="2">
        <v>52.96</v>
      </c>
      <c r="C1148">
        <f t="shared" si="17"/>
        <v>1.2000000000000028</v>
      </c>
      <c r="F1148" s="2">
        <v>52.96</v>
      </c>
    </row>
    <row r="1149" spans="1:6" x14ac:dyDescent="0.25">
      <c r="A1149" s="1">
        <v>45596</v>
      </c>
      <c r="B1149" s="2">
        <v>57.2</v>
      </c>
      <c r="C1149">
        <f t="shared" si="17"/>
        <v>4.240000000000002</v>
      </c>
      <c r="F1149" s="2">
        <v>57.2</v>
      </c>
    </row>
    <row r="1150" spans="1:6" x14ac:dyDescent="0.25">
      <c r="A1150" s="1">
        <v>45597</v>
      </c>
      <c r="B1150" s="2">
        <v>56.2</v>
      </c>
      <c r="C1150">
        <f t="shared" si="17"/>
        <v>-1</v>
      </c>
      <c r="F1150" s="2">
        <v>56.2</v>
      </c>
    </row>
    <row r="1151" spans="1:6" x14ac:dyDescent="0.25">
      <c r="A1151" s="1">
        <v>45600</v>
      </c>
      <c r="B1151" s="2">
        <v>53.72</v>
      </c>
      <c r="C1151">
        <f t="shared" si="17"/>
        <v>-2.480000000000004</v>
      </c>
      <c r="F1151" s="2">
        <v>53.72</v>
      </c>
    </row>
    <row r="1152" spans="1:6" x14ac:dyDescent="0.25">
      <c r="A1152" s="1">
        <v>45601</v>
      </c>
      <c r="B1152" s="2">
        <v>50.88</v>
      </c>
      <c r="C1152">
        <f t="shared" si="17"/>
        <v>-2.8399999999999963</v>
      </c>
      <c r="F1152" s="2">
        <v>50.88</v>
      </c>
    </row>
    <row r="1153" spans="1:6" x14ac:dyDescent="0.25">
      <c r="A1153" s="1">
        <v>45602</v>
      </c>
      <c r="B1153" s="2">
        <v>45.76</v>
      </c>
      <c r="C1153">
        <f t="shared" si="17"/>
        <v>-5.1200000000000045</v>
      </c>
      <c r="F1153" s="2">
        <v>45.76</v>
      </c>
    </row>
    <row r="1154" spans="1:6" x14ac:dyDescent="0.25">
      <c r="A1154" s="1">
        <v>45603</v>
      </c>
      <c r="B1154" s="2">
        <v>44.36</v>
      </c>
      <c r="C1154">
        <f t="shared" si="17"/>
        <v>-1.3999999999999986</v>
      </c>
      <c r="F1154" s="2">
        <v>44.36</v>
      </c>
    </row>
    <row r="1155" spans="1:6" x14ac:dyDescent="0.25">
      <c r="A1155" s="1">
        <v>45604</v>
      </c>
      <c r="B1155" s="2">
        <v>44.17</v>
      </c>
      <c r="C1155">
        <f t="shared" si="17"/>
        <v>-0.18999999999999773</v>
      </c>
      <c r="F1155" s="2">
        <v>44.17</v>
      </c>
    </row>
    <row r="1156" spans="1:6" x14ac:dyDescent="0.25">
      <c r="A1156" s="1">
        <v>45607</v>
      </c>
      <c r="B1156" s="2">
        <v>44.07</v>
      </c>
      <c r="C1156">
        <f t="shared" ref="C1156:C1219" si="18">(B1156-B1155)</f>
        <v>-0.10000000000000142</v>
      </c>
      <c r="F1156" s="2">
        <v>44.07</v>
      </c>
    </row>
    <row r="1157" spans="1:6" x14ac:dyDescent="0.25">
      <c r="A1157" s="1">
        <v>45608</v>
      </c>
      <c r="B1157" s="2">
        <v>43.98</v>
      </c>
      <c r="C1157">
        <f t="shared" si="18"/>
        <v>-9.0000000000003411E-2</v>
      </c>
      <c r="F1157" s="2">
        <v>43.98</v>
      </c>
    </row>
    <row r="1158" spans="1:6" x14ac:dyDescent="0.25">
      <c r="A1158" s="1">
        <v>45609</v>
      </c>
      <c r="B1158" s="2">
        <v>42.92</v>
      </c>
      <c r="C1158">
        <f t="shared" si="18"/>
        <v>-1.0599999999999952</v>
      </c>
      <c r="F1158" s="2">
        <v>42.92</v>
      </c>
    </row>
    <row r="1159" spans="1:6" x14ac:dyDescent="0.25">
      <c r="A1159" s="1">
        <v>45610</v>
      </c>
      <c r="B1159" s="2">
        <v>42.88</v>
      </c>
      <c r="C1159">
        <f t="shared" si="18"/>
        <v>-3.9999999999999147E-2</v>
      </c>
      <c r="F1159" s="2">
        <v>42.88</v>
      </c>
    </row>
    <row r="1160" spans="1:6" x14ac:dyDescent="0.25">
      <c r="A1160" s="1">
        <v>45611</v>
      </c>
      <c r="B1160" s="2">
        <v>45.87</v>
      </c>
      <c r="C1160">
        <f t="shared" si="18"/>
        <v>2.9899999999999949</v>
      </c>
      <c r="F1160" s="2">
        <v>45.87</v>
      </c>
    </row>
    <row r="1161" spans="1:6" x14ac:dyDescent="0.25">
      <c r="A1161" s="1">
        <v>45614</v>
      </c>
      <c r="B1161" s="2">
        <v>44.2</v>
      </c>
      <c r="C1161">
        <f t="shared" si="18"/>
        <v>-1.6699999999999946</v>
      </c>
      <c r="F1161" s="2">
        <v>44.2</v>
      </c>
    </row>
    <row r="1162" spans="1:6" x14ac:dyDescent="0.25">
      <c r="A1162" s="1">
        <v>45615</v>
      </c>
      <c r="B1162" s="2">
        <v>45.8</v>
      </c>
      <c r="C1162">
        <f t="shared" si="18"/>
        <v>1.5999999999999943</v>
      </c>
      <c r="F1162" s="2">
        <v>45.8</v>
      </c>
    </row>
    <row r="1163" spans="1:6" x14ac:dyDescent="0.25">
      <c r="A1163" s="1">
        <v>45616</v>
      </c>
      <c r="B1163" s="2">
        <v>47.32</v>
      </c>
      <c r="C1163">
        <f t="shared" si="18"/>
        <v>1.5200000000000031</v>
      </c>
      <c r="F1163" s="2">
        <v>47.32</v>
      </c>
    </row>
    <row r="1164" spans="1:6" x14ac:dyDescent="0.25">
      <c r="A1164" s="1">
        <v>45617</v>
      </c>
      <c r="B1164" s="2">
        <v>46.97</v>
      </c>
      <c r="C1164">
        <f t="shared" si="18"/>
        <v>-0.35000000000000142</v>
      </c>
      <c r="F1164" s="2">
        <v>46.97</v>
      </c>
    </row>
    <row r="1165" spans="1:6" x14ac:dyDescent="0.25">
      <c r="A1165" s="1">
        <v>45618</v>
      </c>
      <c r="B1165" s="2">
        <v>45.04</v>
      </c>
      <c r="C1165">
        <f t="shared" si="18"/>
        <v>-1.9299999999999997</v>
      </c>
      <c r="F1165" s="2">
        <v>45.04</v>
      </c>
    </row>
    <row r="1166" spans="1:6" x14ac:dyDescent="0.25">
      <c r="A1166" s="1">
        <v>45621</v>
      </c>
      <c r="B1166" s="2">
        <v>43.46</v>
      </c>
      <c r="C1166">
        <f t="shared" si="18"/>
        <v>-1.5799999999999983</v>
      </c>
      <c r="F1166" s="2">
        <v>43.46</v>
      </c>
    </row>
    <row r="1167" spans="1:6" x14ac:dyDescent="0.25">
      <c r="A1167" s="1">
        <v>45622</v>
      </c>
      <c r="B1167" s="2">
        <v>43.01</v>
      </c>
      <c r="C1167">
        <f t="shared" si="18"/>
        <v>-0.45000000000000284</v>
      </c>
      <c r="F1167" s="2">
        <v>43.01</v>
      </c>
    </row>
    <row r="1168" spans="1:6" x14ac:dyDescent="0.25">
      <c r="A1168" s="1">
        <v>45623</v>
      </c>
      <c r="B1168" s="2">
        <v>42.82</v>
      </c>
      <c r="C1168">
        <f t="shared" si="18"/>
        <v>-0.18999999999999773</v>
      </c>
      <c r="F1168" s="2">
        <v>42.82</v>
      </c>
    </row>
    <row r="1169" spans="1:6" x14ac:dyDescent="0.25">
      <c r="A1169" s="1">
        <v>45625</v>
      </c>
      <c r="B1169" s="2">
        <v>41.99</v>
      </c>
      <c r="C1169">
        <f t="shared" si="18"/>
        <v>-0.82999999999999829</v>
      </c>
      <c r="F1169" s="2">
        <v>41.99</v>
      </c>
    </row>
    <row r="1170" spans="1:6" x14ac:dyDescent="0.25">
      <c r="A1170" s="1">
        <v>45628</v>
      </c>
      <c r="B1170" s="2">
        <v>41.95</v>
      </c>
      <c r="C1170">
        <f t="shared" si="18"/>
        <v>-3.9999999999999147E-2</v>
      </c>
      <c r="F1170" s="2">
        <v>41.95</v>
      </c>
    </row>
    <row r="1171" spans="1:6" x14ac:dyDescent="0.25">
      <c r="A1171" s="1">
        <v>45629</v>
      </c>
      <c r="B1171" s="2">
        <v>41.46</v>
      </c>
      <c r="C1171">
        <f t="shared" si="18"/>
        <v>-0.49000000000000199</v>
      </c>
      <c r="F1171" s="2">
        <v>41.46</v>
      </c>
    </row>
    <row r="1172" spans="1:6" x14ac:dyDescent="0.25">
      <c r="A1172" s="1">
        <v>45630</v>
      </c>
      <c r="B1172" s="2">
        <v>41.71</v>
      </c>
      <c r="C1172">
        <f t="shared" si="18"/>
        <v>0.25</v>
      </c>
      <c r="F1172" s="2">
        <v>41.71</v>
      </c>
    </row>
    <row r="1173" spans="1:6" x14ac:dyDescent="0.25">
      <c r="A1173" s="1">
        <v>45631</v>
      </c>
      <c r="B1173" s="2">
        <v>41.79</v>
      </c>
      <c r="C1173">
        <f t="shared" si="18"/>
        <v>7.9999999999998295E-2</v>
      </c>
      <c r="F1173" s="2">
        <v>41.79</v>
      </c>
    </row>
    <row r="1174" spans="1:6" x14ac:dyDescent="0.25">
      <c r="A1174" s="1">
        <v>45632</v>
      </c>
      <c r="B1174" s="2">
        <v>41.09</v>
      </c>
      <c r="C1174">
        <f t="shared" si="18"/>
        <v>-0.69999999999999574</v>
      </c>
      <c r="F1174" s="2">
        <v>41.09</v>
      </c>
    </row>
    <row r="1175" spans="1:6" x14ac:dyDescent="0.25">
      <c r="A1175" s="1">
        <v>45635</v>
      </c>
      <c r="B1175" s="2">
        <v>41.98</v>
      </c>
      <c r="C1175">
        <f t="shared" si="18"/>
        <v>0.88999999999999346</v>
      </c>
      <c r="F1175" s="2">
        <v>41.98</v>
      </c>
    </row>
    <row r="1176" spans="1:6" x14ac:dyDescent="0.25">
      <c r="A1176" s="1">
        <v>45636</v>
      </c>
      <c r="B1176" s="2">
        <v>41.92</v>
      </c>
      <c r="C1176">
        <f t="shared" si="18"/>
        <v>-5.9999999999995168E-2</v>
      </c>
      <c r="F1176" s="2">
        <v>41.92</v>
      </c>
    </row>
    <row r="1177" spans="1:6" x14ac:dyDescent="0.25">
      <c r="A1177" s="1">
        <v>45637</v>
      </c>
      <c r="B1177" s="2">
        <v>41.44</v>
      </c>
      <c r="C1177">
        <f t="shared" si="18"/>
        <v>-0.48000000000000398</v>
      </c>
      <c r="F1177" s="2">
        <v>41.44</v>
      </c>
    </row>
    <row r="1178" spans="1:6" x14ac:dyDescent="0.25">
      <c r="A1178" s="1">
        <v>45638</v>
      </c>
      <c r="B1178" s="2">
        <v>41.92</v>
      </c>
      <c r="C1178">
        <f t="shared" si="18"/>
        <v>0.48000000000000398</v>
      </c>
      <c r="F1178" s="2">
        <v>41.92</v>
      </c>
    </row>
    <row r="1179" spans="1:6" x14ac:dyDescent="0.25">
      <c r="A1179" s="1">
        <v>45639</v>
      </c>
      <c r="B1179" s="2">
        <v>41.76</v>
      </c>
      <c r="C1179">
        <f t="shared" si="18"/>
        <v>-0.16000000000000369</v>
      </c>
      <c r="F1179" s="2">
        <v>41.76</v>
      </c>
    </row>
    <row r="1180" spans="1:6" x14ac:dyDescent="0.25">
      <c r="A1180" s="1">
        <v>45642</v>
      </c>
      <c r="B1180" s="2">
        <v>42.61</v>
      </c>
      <c r="C1180">
        <f t="shared" si="18"/>
        <v>0.85000000000000142</v>
      </c>
      <c r="F1180" s="2">
        <v>42.61</v>
      </c>
    </row>
    <row r="1181" spans="1:6" x14ac:dyDescent="0.25">
      <c r="A1181" s="1">
        <v>45643</v>
      </c>
      <c r="B1181" s="2">
        <v>43.58</v>
      </c>
      <c r="C1181">
        <f t="shared" si="18"/>
        <v>0.96999999999999886</v>
      </c>
      <c r="F1181" s="2">
        <v>43.58</v>
      </c>
    </row>
    <row r="1182" spans="1:6" x14ac:dyDescent="0.25">
      <c r="A1182" s="1">
        <v>45644</v>
      </c>
      <c r="B1182" s="2">
        <v>50.96</v>
      </c>
      <c r="C1182">
        <f t="shared" si="18"/>
        <v>7.3800000000000026</v>
      </c>
      <c r="F1182" s="2">
        <v>50.96</v>
      </c>
    </row>
    <row r="1183" spans="1:6" x14ac:dyDescent="0.25">
      <c r="A1183" s="1">
        <v>45645</v>
      </c>
      <c r="B1183" s="2">
        <v>55.31</v>
      </c>
      <c r="C1183">
        <f t="shared" si="18"/>
        <v>4.3500000000000014</v>
      </c>
      <c r="F1183" s="2">
        <v>55.31</v>
      </c>
    </row>
    <row r="1184" spans="1:6" x14ac:dyDescent="0.25">
      <c r="A1184" s="1">
        <v>45646</v>
      </c>
      <c r="B1184" s="2">
        <v>47.03</v>
      </c>
      <c r="C1184">
        <f t="shared" si="18"/>
        <v>-8.2800000000000011</v>
      </c>
      <c r="F1184" s="2">
        <v>47.03</v>
      </c>
    </row>
    <row r="1185" spans="1:6" x14ac:dyDescent="0.25">
      <c r="A1185" s="1">
        <v>45649</v>
      </c>
      <c r="B1185" s="2">
        <v>44.06</v>
      </c>
      <c r="C1185">
        <f t="shared" si="18"/>
        <v>-2.9699999999999989</v>
      </c>
      <c r="F1185" s="2">
        <v>44.06</v>
      </c>
    </row>
    <row r="1186" spans="1:6" x14ac:dyDescent="0.25">
      <c r="A1186" s="1">
        <v>45650</v>
      </c>
      <c r="B1186" s="2">
        <v>41.56</v>
      </c>
      <c r="C1186">
        <f t="shared" si="18"/>
        <v>-2.5</v>
      </c>
      <c r="F1186" s="2">
        <v>41.56</v>
      </c>
    </row>
    <row r="1187" spans="1:6" x14ac:dyDescent="0.25">
      <c r="A1187" s="1">
        <v>45652</v>
      </c>
      <c r="B1187" s="2">
        <v>41.81</v>
      </c>
      <c r="C1187">
        <f t="shared" si="18"/>
        <v>0.25</v>
      </c>
      <c r="F1187" s="2">
        <v>41.81</v>
      </c>
    </row>
    <row r="1188" spans="1:6" x14ac:dyDescent="0.25">
      <c r="A1188" s="1">
        <v>45653</v>
      </c>
      <c r="B1188" s="2">
        <v>43.81</v>
      </c>
      <c r="C1188">
        <f t="shared" si="18"/>
        <v>2</v>
      </c>
      <c r="F1188" s="2">
        <v>43.81</v>
      </c>
    </row>
    <row r="1189" spans="1:6" x14ac:dyDescent="0.25">
      <c r="A1189" s="1">
        <v>45656</v>
      </c>
      <c r="B1189" s="2">
        <v>44.73</v>
      </c>
      <c r="C1189">
        <f t="shared" si="18"/>
        <v>0.9199999999999946</v>
      </c>
      <c r="F1189" s="2">
        <v>44.73</v>
      </c>
    </row>
    <row r="1190" spans="1:6" x14ac:dyDescent="0.25">
      <c r="A1190" s="1">
        <v>45657</v>
      </c>
      <c r="B1190" s="2">
        <v>45.02</v>
      </c>
      <c r="C1190">
        <f t="shared" si="18"/>
        <v>0.29000000000000625</v>
      </c>
      <c r="F1190" s="2">
        <v>45.02</v>
      </c>
    </row>
    <row r="1191" spans="1:6" x14ac:dyDescent="0.25">
      <c r="A1191" s="1">
        <v>45659</v>
      </c>
      <c r="B1191" s="2">
        <v>45.96</v>
      </c>
      <c r="C1191">
        <f t="shared" si="18"/>
        <v>0.93999999999999773</v>
      </c>
      <c r="F1191" s="2">
        <v>45.96</v>
      </c>
    </row>
    <row r="1192" spans="1:6" x14ac:dyDescent="0.25">
      <c r="A1192" s="1">
        <v>45660</v>
      </c>
      <c r="B1192" s="2">
        <v>43.49</v>
      </c>
      <c r="C1192">
        <f t="shared" si="18"/>
        <v>-2.4699999999999989</v>
      </c>
      <c r="F1192" s="2">
        <v>43.49</v>
      </c>
    </row>
    <row r="1193" spans="1:6" x14ac:dyDescent="0.25">
      <c r="A1193" s="1">
        <v>45663</v>
      </c>
      <c r="B1193" s="2">
        <v>43.16</v>
      </c>
      <c r="C1193">
        <f t="shared" si="18"/>
        <v>-0.3300000000000054</v>
      </c>
      <c r="F1193" s="2">
        <v>43.16</v>
      </c>
    </row>
    <row r="1194" spans="1:6" x14ac:dyDescent="0.25">
      <c r="A1194" s="1">
        <v>45664</v>
      </c>
      <c r="B1194" s="2">
        <v>45.82</v>
      </c>
      <c r="C1194">
        <f t="shared" si="18"/>
        <v>2.6600000000000037</v>
      </c>
      <c r="F1194" s="2">
        <v>45.82</v>
      </c>
    </row>
    <row r="1195" spans="1:6" x14ac:dyDescent="0.25">
      <c r="A1195" s="1">
        <v>45665</v>
      </c>
      <c r="B1195" s="2">
        <v>45.52</v>
      </c>
      <c r="C1195">
        <f t="shared" si="18"/>
        <v>-0.29999999999999716</v>
      </c>
      <c r="F1195" s="2">
        <v>45.52</v>
      </c>
    </row>
    <row r="1196" spans="1:6" x14ac:dyDescent="0.25">
      <c r="A1196" s="1">
        <v>45667</v>
      </c>
      <c r="B1196" s="2">
        <v>48.65</v>
      </c>
      <c r="C1196">
        <f t="shared" si="18"/>
        <v>3.1299999999999955</v>
      </c>
      <c r="F1196" s="2">
        <v>48.65</v>
      </c>
    </row>
    <row r="1197" spans="1:6" x14ac:dyDescent="0.25">
      <c r="A1197" s="1">
        <v>45670</v>
      </c>
      <c r="B1197" s="2">
        <v>47.67</v>
      </c>
      <c r="C1197">
        <f t="shared" si="18"/>
        <v>-0.97999999999999687</v>
      </c>
      <c r="F1197" s="2">
        <v>47.67</v>
      </c>
    </row>
    <row r="1198" spans="1:6" x14ac:dyDescent="0.25">
      <c r="A1198" s="1">
        <v>45671</v>
      </c>
      <c r="B1198" s="2">
        <v>46.73</v>
      </c>
      <c r="C1198">
        <f t="shared" si="18"/>
        <v>-0.94000000000000483</v>
      </c>
      <c r="F1198" s="2">
        <v>46.73</v>
      </c>
    </row>
    <row r="1199" spans="1:6" x14ac:dyDescent="0.25">
      <c r="A1199" s="1">
        <v>45672</v>
      </c>
      <c r="B1199" s="2">
        <v>42.82</v>
      </c>
      <c r="C1199">
        <f t="shared" si="18"/>
        <v>-3.9099999999999966</v>
      </c>
      <c r="F1199" s="2">
        <v>42.82</v>
      </c>
    </row>
    <row r="1200" spans="1:6" x14ac:dyDescent="0.25">
      <c r="A1200" s="1">
        <v>45673</v>
      </c>
      <c r="B1200" s="2">
        <v>42.9</v>
      </c>
      <c r="C1200">
        <f t="shared" si="18"/>
        <v>7.9999999999998295E-2</v>
      </c>
      <c r="F1200" s="2">
        <v>42.9</v>
      </c>
    </row>
    <row r="1201" spans="1:6" x14ac:dyDescent="0.25">
      <c r="A1201" s="1">
        <v>45674</v>
      </c>
      <c r="B1201" s="2">
        <v>43.14</v>
      </c>
      <c r="C1201">
        <f t="shared" si="18"/>
        <v>0.24000000000000199</v>
      </c>
      <c r="F1201" s="2">
        <v>43.14</v>
      </c>
    </row>
    <row r="1202" spans="1:6" x14ac:dyDescent="0.25">
      <c r="A1202" s="1">
        <v>45678</v>
      </c>
      <c r="B1202" s="2">
        <v>41.38</v>
      </c>
      <c r="C1202">
        <f t="shared" si="18"/>
        <v>-1.759999999999998</v>
      </c>
      <c r="F1202" s="2">
        <v>41.38</v>
      </c>
    </row>
    <row r="1203" spans="1:6" x14ac:dyDescent="0.25">
      <c r="A1203" s="1">
        <v>45679</v>
      </c>
      <c r="B1203" s="2">
        <v>41.96</v>
      </c>
      <c r="C1203">
        <f t="shared" si="18"/>
        <v>0.57999999999999829</v>
      </c>
      <c r="F1203" s="2">
        <v>41.96</v>
      </c>
    </row>
    <row r="1204" spans="1:6" x14ac:dyDescent="0.25">
      <c r="A1204" s="1">
        <v>45680</v>
      </c>
      <c r="B1204" s="2">
        <v>41.18</v>
      </c>
      <c r="C1204">
        <f t="shared" si="18"/>
        <v>-0.78000000000000114</v>
      </c>
      <c r="F1204" s="2">
        <v>41.18</v>
      </c>
    </row>
    <row r="1205" spans="1:6" x14ac:dyDescent="0.25">
      <c r="A1205" s="1">
        <v>45681</v>
      </c>
      <c r="B1205" s="2">
        <v>41.06</v>
      </c>
      <c r="C1205">
        <f t="shared" si="18"/>
        <v>-0.11999999999999744</v>
      </c>
      <c r="F1205" s="2">
        <v>41.06</v>
      </c>
    </row>
    <row r="1206" spans="1:6" x14ac:dyDescent="0.25">
      <c r="A1206" s="1">
        <v>45684</v>
      </c>
      <c r="B1206" s="2">
        <v>43.69</v>
      </c>
      <c r="C1206">
        <f t="shared" si="18"/>
        <v>2.6299999999999955</v>
      </c>
      <c r="F1206" s="2">
        <v>43.69</v>
      </c>
    </row>
    <row r="1207" spans="1:6" x14ac:dyDescent="0.25">
      <c r="A1207" s="1">
        <v>45685</v>
      </c>
      <c r="B1207" s="2">
        <v>42.31</v>
      </c>
      <c r="C1207">
        <f t="shared" si="18"/>
        <v>-1.3799999999999955</v>
      </c>
      <c r="F1207" s="2">
        <v>42.31</v>
      </c>
    </row>
    <row r="1208" spans="1:6" x14ac:dyDescent="0.25">
      <c r="A1208" s="1">
        <v>45686</v>
      </c>
      <c r="B1208" s="2">
        <v>42.03</v>
      </c>
      <c r="C1208">
        <f t="shared" si="18"/>
        <v>-0.28000000000000114</v>
      </c>
      <c r="F1208" s="2">
        <v>42.03</v>
      </c>
    </row>
    <row r="1209" spans="1:6" x14ac:dyDescent="0.25">
      <c r="A1209" s="1">
        <v>45687</v>
      </c>
      <c r="B1209" s="2">
        <v>41.87</v>
      </c>
      <c r="C1209">
        <f t="shared" si="18"/>
        <v>-0.16000000000000369</v>
      </c>
      <c r="F1209" s="2">
        <v>41.87</v>
      </c>
    </row>
    <row r="1210" spans="1:6" x14ac:dyDescent="0.25">
      <c r="A1210" s="1">
        <v>45688</v>
      </c>
      <c r="B1210" s="2">
        <v>43.37</v>
      </c>
      <c r="C1210">
        <f t="shared" si="18"/>
        <v>1.5</v>
      </c>
      <c r="F1210" s="2">
        <v>43.37</v>
      </c>
    </row>
    <row r="1211" spans="1:6" x14ac:dyDescent="0.25">
      <c r="A1211" s="1">
        <v>45691</v>
      </c>
      <c r="B1211" s="2">
        <v>44.21</v>
      </c>
      <c r="C1211">
        <f t="shared" si="18"/>
        <v>0.84000000000000341</v>
      </c>
      <c r="F1211" s="2">
        <v>44.21</v>
      </c>
    </row>
    <row r="1212" spans="1:6" x14ac:dyDescent="0.25">
      <c r="A1212" s="1">
        <v>45692</v>
      </c>
      <c r="B1212" s="2">
        <v>42.99</v>
      </c>
      <c r="C1212">
        <f t="shared" si="18"/>
        <v>-1.2199999999999989</v>
      </c>
      <c r="F1212" s="2">
        <v>42.99</v>
      </c>
    </row>
    <row r="1213" spans="1:6" x14ac:dyDescent="0.25">
      <c r="A1213" s="1">
        <v>45693</v>
      </c>
      <c r="B1213" s="2">
        <v>42.03</v>
      </c>
      <c r="C1213">
        <f t="shared" si="18"/>
        <v>-0.96000000000000085</v>
      </c>
      <c r="F1213" s="2">
        <v>42.03</v>
      </c>
    </row>
    <row r="1214" spans="1:6" x14ac:dyDescent="0.25">
      <c r="A1214" s="1">
        <v>45694</v>
      </c>
      <c r="B1214" s="2">
        <v>41.79</v>
      </c>
      <c r="C1214">
        <f t="shared" si="18"/>
        <v>-0.24000000000000199</v>
      </c>
      <c r="F1214" s="2">
        <v>41.79</v>
      </c>
    </row>
    <row r="1215" spans="1:6" x14ac:dyDescent="0.25">
      <c r="A1215" s="1">
        <v>45695</v>
      </c>
      <c r="B1215" s="2">
        <v>43.21</v>
      </c>
      <c r="C1215">
        <f t="shared" si="18"/>
        <v>1.4200000000000017</v>
      </c>
      <c r="F1215" s="2">
        <v>43.21</v>
      </c>
    </row>
    <row r="1216" spans="1:6" x14ac:dyDescent="0.25">
      <c r="A1216" s="1">
        <v>45698</v>
      </c>
      <c r="B1216" s="2">
        <v>42.11</v>
      </c>
      <c r="C1216">
        <f t="shared" si="18"/>
        <v>-1.1000000000000014</v>
      </c>
      <c r="F1216" s="2">
        <v>42.11</v>
      </c>
    </row>
    <row r="1217" spans="1:6" x14ac:dyDescent="0.25">
      <c r="A1217" s="1">
        <v>45699</v>
      </c>
      <c r="B1217" s="2">
        <v>42.27</v>
      </c>
      <c r="C1217">
        <f t="shared" si="18"/>
        <v>0.16000000000000369</v>
      </c>
      <c r="F1217" s="2">
        <v>42.27</v>
      </c>
    </row>
    <row r="1218" spans="1:6" x14ac:dyDescent="0.25">
      <c r="A1218" s="1">
        <v>45700</v>
      </c>
      <c r="B1218" s="2">
        <v>42.03</v>
      </c>
      <c r="C1218">
        <f t="shared" si="18"/>
        <v>-0.24000000000000199</v>
      </c>
      <c r="F1218" s="2">
        <v>42.03</v>
      </c>
    </row>
    <row r="1219" spans="1:6" x14ac:dyDescent="0.25">
      <c r="A1219" s="1">
        <v>45701</v>
      </c>
      <c r="B1219" s="2">
        <v>41.33</v>
      </c>
      <c r="C1219">
        <f t="shared" si="18"/>
        <v>-0.70000000000000284</v>
      </c>
      <c r="F1219" s="2">
        <v>41.33</v>
      </c>
    </row>
    <row r="1220" spans="1:6" x14ac:dyDescent="0.25">
      <c r="A1220" s="1">
        <v>45702</v>
      </c>
      <c r="B1220" s="2">
        <v>41.18</v>
      </c>
      <c r="C1220">
        <f t="shared" ref="C1220:C1259" si="19">(B1220-B1219)</f>
        <v>-0.14999999999999858</v>
      </c>
      <c r="F1220" s="2">
        <v>41.18</v>
      </c>
    </row>
    <row r="1221" spans="1:6" x14ac:dyDescent="0.25">
      <c r="A1221" s="1">
        <v>45706</v>
      </c>
      <c r="B1221" s="2">
        <v>41</v>
      </c>
      <c r="C1221">
        <f t="shared" si="19"/>
        <v>-0.17999999999999972</v>
      </c>
      <c r="F1221" s="2">
        <v>41</v>
      </c>
    </row>
    <row r="1222" spans="1:6" x14ac:dyDescent="0.25">
      <c r="A1222" s="1">
        <v>45707</v>
      </c>
      <c r="B1222" s="2">
        <v>40.5</v>
      </c>
      <c r="C1222">
        <f t="shared" si="19"/>
        <v>-0.5</v>
      </c>
      <c r="F1222" s="2">
        <v>40.5</v>
      </c>
    </row>
    <row r="1223" spans="1:6" x14ac:dyDescent="0.25">
      <c r="A1223" s="1">
        <v>45708</v>
      </c>
      <c r="B1223" s="2">
        <v>40.729999999999997</v>
      </c>
      <c r="C1223">
        <f t="shared" si="19"/>
        <v>0.22999999999999687</v>
      </c>
      <c r="F1223" s="2">
        <v>40.729999999999997</v>
      </c>
    </row>
    <row r="1224" spans="1:6" x14ac:dyDescent="0.25">
      <c r="A1224" s="1">
        <v>45709</v>
      </c>
      <c r="B1224" s="2">
        <v>43.56</v>
      </c>
      <c r="C1224">
        <f t="shared" si="19"/>
        <v>2.8300000000000054</v>
      </c>
      <c r="F1224" s="2">
        <v>43.56</v>
      </c>
    </row>
    <row r="1225" spans="1:6" x14ac:dyDescent="0.25">
      <c r="A1225" s="1">
        <v>45712</v>
      </c>
      <c r="B1225" s="2">
        <v>43.84</v>
      </c>
      <c r="C1225">
        <f t="shared" si="19"/>
        <v>0.28000000000000114</v>
      </c>
      <c r="F1225" s="2">
        <v>43.84</v>
      </c>
    </row>
    <row r="1226" spans="1:6" x14ac:dyDescent="0.25">
      <c r="A1226" s="1">
        <v>45713</v>
      </c>
      <c r="B1226" s="2">
        <v>44.16</v>
      </c>
      <c r="C1226">
        <f t="shared" si="19"/>
        <v>0.31999999999999318</v>
      </c>
      <c r="F1226" s="2">
        <v>44.16</v>
      </c>
    </row>
    <row r="1227" spans="1:6" x14ac:dyDescent="0.25">
      <c r="A1227" s="1">
        <v>45714</v>
      </c>
      <c r="B1227" s="2">
        <v>43.2</v>
      </c>
      <c r="C1227">
        <f t="shared" si="19"/>
        <v>-0.95999999999999375</v>
      </c>
      <c r="F1227" s="2">
        <v>43.2</v>
      </c>
    </row>
    <row r="1228" spans="1:6" x14ac:dyDescent="0.25">
      <c r="A1228" s="1">
        <v>45715</v>
      </c>
      <c r="B1228" s="2">
        <v>45.67</v>
      </c>
      <c r="C1228">
        <f t="shared" si="19"/>
        <v>2.4699999999999989</v>
      </c>
      <c r="F1228" s="2">
        <v>45.67</v>
      </c>
    </row>
    <row r="1229" spans="1:6" x14ac:dyDescent="0.25">
      <c r="A1229" s="1">
        <v>45716</v>
      </c>
      <c r="B1229" s="2">
        <v>44.77</v>
      </c>
      <c r="C1229">
        <f t="shared" si="19"/>
        <v>-0.89999999999999858</v>
      </c>
      <c r="F1229" s="2">
        <v>44.77</v>
      </c>
    </row>
    <row r="1230" spans="1:6" x14ac:dyDescent="0.25">
      <c r="A1230" s="1">
        <v>45719</v>
      </c>
      <c r="B1230" s="2">
        <v>48.45</v>
      </c>
      <c r="C1230">
        <f t="shared" si="19"/>
        <v>3.6799999999999997</v>
      </c>
      <c r="F1230" s="2">
        <v>48.45</v>
      </c>
    </row>
    <row r="1231" spans="1:6" x14ac:dyDescent="0.25">
      <c r="A1231" s="1">
        <v>45720</v>
      </c>
      <c r="B1231" s="2">
        <v>49.7</v>
      </c>
      <c r="C1231">
        <f t="shared" si="19"/>
        <v>1.25</v>
      </c>
      <c r="F1231" s="2">
        <v>49.7</v>
      </c>
    </row>
    <row r="1232" spans="1:6" x14ac:dyDescent="0.25">
      <c r="A1232" s="1">
        <v>45721</v>
      </c>
      <c r="B1232" s="2">
        <v>47.42</v>
      </c>
      <c r="C1232">
        <f t="shared" si="19"/>
        <v>-2.2800000000000011</v>
      </c>
      <c r="F1232" s="2">
        <v>47.42</v>
      </c>
    </row>
    <row r="1233" spans="1:6" x14ac:dyDescent="0.25">
      <c r="A1233" s="1">
        <v>45722</v>
      </c>
      <c r="B1233" s="2">
        <v>52.68</v>
      </c>
      <c r="C1233">
        <f t="shared" si="19"/>
        <v>5.259999999999998</v>
      </c>
      <c r="F1233" s="2">
        <v>52.68</v>
      </c>
    </row>
    <row r="1234" spans="1:6" x14ac:dyDescent="0.25">
      <c r="A1234" s="1">
        <v>45723</v>
      </c>
      <c r="B1234" s="2">
        <v>50.29</v>
      </c>
      <c r="C1234">
        <f t="shared" si="19"/>
        <v>-2.3900000000000006</v>
      </c>
      <c r="F1234" s="2">
        <v>50.29</v>
      </c>
    </row>
    <row r="1235" spans="1:6" x14ac:dyDescent="0.25">
      <c r="A1235" s="1">
        <v>45726</v>
      </c>
      <c r="B1235" s="2">
        <v>55.77</v>
      </c>
      <c r="C1235">
        <f t="shared" si="19"/>
        <v>5.480000000000004</v>
      </c>
      <c r="F1235" s="2">
        <v>55.77</v>
      </c>
    </row>
    <row r="1236" spans="1:6" x14ac:dyDescent="0.25">
      <c r="A1236" s="1">
        <v>45727</v>
      </c>
      <c r="B1236" s="2">
        <v>55.76</v>
      </c>
      <c r="C1236">
        <f t="shared" si="19"/>
        <v>-1.0000000000005116E-2</v>
      </c>
      <c r="F1236" s="2">
        <v>55.76</v>
      </c>
    </row>
    <row r="1237" spans="1:6" x14ac:dyDescent="0.25">
      <c r="A1237" s="1">
        <v>45728</v>
      </c>
      <c r="B1237" s="2">
        <v>52.9</v>
      </c>
      <c r="C1237">
        <f t="shared" si="19"/>
        <v>-2.8599999999999994</v>
      </c>
      <c r="F1237" s="2">
        <v>52.9</v>
      </c>
    </row>
    <row r="1238" spans="1:6" x14ac:dyDescent="0.25">
      <c r="A1238" s="1">
        <v>45729</v>
      </c>
      <c r="B1238" s="2">
        <v>55.21</v>
      </c>
      <c r="C1238">
        <f t="shared" si="19"/>
        <v>2.3100000000000023</v>
      </c>
      <c r="F1238" s="2">
        <v>55.21</v>
      </c>
    </row>
    <row r="1239" spans="1:6" x14ac:dyDescent="0.25">
      <c r="A1239" s="1">
        <v>45730</v>
      </c>
      <c r="B1239" s="2">
        <v>50.38</v>
      </c>
      <c r="C1239">
        <f t="shared" si="19"/>
        <v>-4.8299999999999983</v>
      </c>
      <c r="F1239" s="2">
        <v>50.38</v>
      </c>
    </row>
    <row r="1240" spans="1:6" x14ac:dyDescent="0.25">
      <c r="A1240" s="1">
        <v>45733</v>
      </c>
      <c r="B1240" s="2">
        <v>48.49</v>
      </c>
      <c r="C1240">
        <f t="shared" si="19"/>
        <v>-1.8900000000000006</v>
      </c>
      <c r="F1240" s="2">
        <v>48.49</v>
      </c>
    </row>
    <row r="1241" spans="1:6" x14ac:dyDescent="0.25">
      <c r="A1241" s="1">
        <v>45734</v>
      </c>
      <c r="B1241" s="2">
        <v>49.83</v>
      </c>
      <c r="C1241">
        <f t="shared" si="19"/>
        <v>1.3399999999999963</v>
      </c>
      <c r="F1241" s="2">
        <v>49.83</v>
      </c>
    </row>
    <row r="1242" spans="1:6" x14ac:dyDescent="0.25">
      <c r="A1242" s="1">
        <v>45735</v>
      </c>
      <c r="B1242" s="2">
        <v>48.13</v>
      </c>
      <c r="C1242">
        <f t="shared" si="19"/>
        <v>-1.6999999999999957</v>
      </c>
      <c r="F1242" s="2">
        <v>48.13</v>
      </c>
    </row>
    <row r="1243" spans="1:6" x14ac:dyDescent="0.25">
      <c r="A1243" s="1">
        <v>45736</v>
      </c>
      <c r="B1243" s="2">
        <v>47.33</v>
      </c>
      <c r="C1243">
        <f t="shared" si="19"/>
        <v>-0.80000000000000426</v>
      </c>
      <c r="F1243" s="2">
        <v>47.33</v>
      </c>
    </row>
    <row r="1244" spans="1:6" x14ac:dyDescent="0.25">
      <c r="A1244" s="1">
        <v>45737</v>
      </c>
      <c r="B1244" s="2">
        <v>47.36</v>
      </c>
      <c r="C1244">
        <f t="shared" si="19"/>
        <v>3.0000000000001137E-2</v>
      </c>
      <c r="F1244" s="2">
        <v>47.36</v>
      </c>
    </row>
    <row r="1245" spans="1:6" x14ac:dyDescent="0.25">
      <c r="A1245" s="1">
        <v>45740</v>
      </c>
      <c r="B1245" s="2">
        <v>44.31</v>
      </c>
      <c r="C1245">
        <f t="shared" si="19"/>
        <v>-3.0499999999999972</v>
      </c>
      <c r="F1245" s="2">
        <v>44.31</v>
      </c>
    </row>
    <row r="1246" spans="1:6" x14ac:dyDescent="0.25">
      <c r="A1246" s="1">
        <v>45741</v>
      </c>
      <c r="B1246" s="2">
        <v>44.67</v>
      </c>
      <c r="C1246">
        <f t="shared" si="19"/>
        <v>0.35999999999999943</v>
      </c>
      <c r="F1246" s="2">
        <v>44.67</v>
      </c>
    </row>
    <row r="1247" spans="1:6" x14ac:dyDescent="0.25">
      <c r="A1247" s="1">
        <v>45742</v>
      </c>
      <c r="B1247" s="2">
        <v>46.03</v>
      </c>
      <c r="C1247">
        <f t="shared" si="19"/>
        <v>1.3599999999999994</v>
      </c>
      <c r="F1247" s="2">
        <v>46.03</v>
      </c>
    </row>
    <row r="1248" spans="1:6" x14ac:dyDescent="0.25">
      <c r="A1248" s="1">
        <v>45743</v>
      </c>
      <c r="B1248" s="2">
        <v>46.33</v>
      </c>
      <c r="C1248">
        <f t="shared" si="19"/>
        <v>0.29999999999999716</v>
      </c>
      <c r="F1248" s="2">
        <v>46.33</v>
      </c>
    </row>
    <row r="1249" spans="1:6" x14ac:dyDescent="0.25">
      <c r="A1249" s="1">
        <v>45744</v>
      </c>
      <c r="B1249" s="2">
        <v>50.48</v>
      </c>
      <c r="C1249">
        <f t="shared" si="19"/>
        <v>4.1499999999999986</v>
      </c>
      <c r="F1249" s="2">
        <v>50.48</v>
      </c>
    </row>
    <row r="1250" spans="1:6" x14ac:dyDescent="0.25">
      <c r="A1250" s="1">
        <v>45747</v>
      </c>
      <c r="B1250" s="2">
        <v>50.26</v>
      </c>
      <c r="C1250">
        <f t="shared" si="19"/>
        <v>-0.21999999999999886</v>
      </c>
      <c r="F1250" s="2">
        <v>50.26</v>
      </c>
    </row>
    <row r="1251" spans="1:6" x14ac:dyDescent="0.25">
      <c r="A1251" s="1">
        <v>45748</v>
      </c>
      <c r="B1251" s="2">
        <v>50.33</v>
      </c>
      <c r="C1251">
        <f t="shared" si="19"/>
        <v>7.0000000000000284E-2</v>
      </c>
      <c r="F1251" s="2">
        <v>50.33</v>
      </c>
    </row>
    <row r="1252" spans="1:6" x14ac:dyDescent="0.25">
      <c r="A1252" s="1">
        <v>45749</v>
      </c>
      <c r="B1252" s="2">
        <v>48.95</v>
      </c>
      <c r="C1252">
        <f t="shared" si="19"/>
        <v>-1.3799999999999955</v>
      </c>
      <c r="F1252" s="2">
        <v>48.95</v>
      </c>
    </row>
    <row r="1253" spans="1:6" x14ac:dyDescent="0.25">
      <c r="A1253" s="1">
        <v>45750</v>
      </c>
      <c r="B1253" s="2">
        <v>60.95</v>
      </c>
      <c r="C1253">
        <f t="shared" si="19"/>
        <v>12</v>
      </c>
      <c r="F1253" s="2">
        <v>60.95</v>
      </c>
    </row>
    <row r="1254" spans="1:6" x14ac:dyDescent="0.25">
      <c r="A1254" s="1">
        <v>45751</v>
      </c>
      <c r="B1254" s="2">
        <v>73.12</v>
      </c>
      <c r="C1254">
        <f t="shared" si="19"/>
        <v>12.170000000000002</v>
      </c>
      <c r="F1254" s="2">
        <v>73.12</v>
      </c>
    </row>
    <row r="1255" spans="1:6" x14ac:dyDescent="0.25">
      <c r="A1255" s="1">
        <v>45754</v>
      </c>
      <c r="B1255" s="2">
        <v>73.52</v>
      </c>
      <c r="C1255">
        <f t="shared" si="19"/>
        <v>0.39999999999999147</v>
      </c>
      <c r="F1255" s="2">
        <v>73.52</v>
      </c>
    </row>
    <row r="1256" spans="1:6" x14ac:dyDescent="0.25">
      <c r="A1256" s="1">
        <v>45755</v>
      </c>
      <c r="B1256" s="2">
        <v>82.83</v>
      </c>
      <c r="C1256">
        <f t="shared" si="19"/>
        <v>9.3100000000000023</v>
      </c>
      <c r="F1256" s="2">
        <v>82.83</v>
      </c>
    </row>
    <row r="1257" spans="1:6" x14ac:dyDescent="0.25">
      <c r="A1257" s="1">
        <v>45756</v>
      </c>
      <c r="B1257" s="2">
        <v>65.5</v>
      </c>
      <c r="C1257">
        <f t="shared" si="19"/>
        <v>-17.329999999999998</v>
      </c>
      <c r="F1257" s="2">
        <v>65.5</v>
      </c>
    </row>
    <row r="1258" spans="1:6" x14ac:dyDescent="0.25">
      <c r="A1258" s="1">
        <v>45757</v>
      </c>
      <c r="B1258" s="2">
        <v>77.91</v>
      </c>
      <c r="C1258">
        <f t="shared" si="19"/>
        <v>12.409999999999997</v>
      </c>
      <c r="F1258" s="2">
        <v>77.91</v>
      </c>
    </row>
    <row r="1259" spans="1:6" x14ac:dyDescent="0.25">
      <c r="A1259" s="1">
        <v>45758</v>
      </c>
      <c r="B1259" s="2">
        <v>75.69</v>
      </c>
      <c r="C1259">
        <f t="shared" si="19"/>
        <v>-2.2199999999999989</v>
      </c>
      <c r="F1259" s="2">
        <v>75.69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2FCA5-B8A2-45C5-A1EA-C3DC8E820A95}">
  <dimension ref="A1:C3"/>
  <sheetViews>
    <sheetView workbookViewId="0">
      <selection activeCell="N25" sqref="N25"/>
    </sheetView>
  </sheetViews>
  <sheetFormatPr defaultRowHeight="15" x14ac:dyDescent="0.25"/>
  <sheetData>
    <row r="1" spans="1:3" x14ac:dyDescent="0.25">
      <c r="A1" s="11"/>
      <c r="B1" s="11" t="s">
        <v>17</v>
      </c>
      <c r="C1" s="11" t="s">
        <v>15</v>
      </c>
    </row>
    <row r="2" spans="1:3" x14ac:dyDescent="0.25">
      <c r="A2" s="9" t="s">
        <v>17</v>
      </c>
      <c r="B2" s="9">
        <v>1</v>
      </c>
      <c r="C2" s="9"/>
    </row>
    <row r="3" spans="1:3" ht="15.75" thickBot="1" x14ac:dyDescent="0.3">
      <c r="A3" s="10" t="s">
        <v>15</v>
      </c>
      <c r="B3" s="10">
        <v>-0.41843934001348393</v>
      </c>
      <c r="C3" s="10"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9070-A3DD-43E3-9DCB-3083994BBA50}">
  <dimension ref="A1:H1259"/>
  <sheetViews>
    <sheetView tabSelected="1" workbookViewId="0">
      <selection activeCell="K20" sqref="K20"/>
    </sheetView>
  </sheetViews>
  <sheetFormatPr defaultRowHeight="15" x14ac:dyDescent="0.25"/>
  <cols>
    <col min="1" max="1" width="12.140625" customWidth="1"/>
    <col min="2" max="2" width="24.140625" style="8" customWidth="1"/>
    <col min="3" max="3" width="20.42578125" style="2" customWidth="1"/>
    <col min="5" max="5" width="13" style="8" customWidth="1"/>
    <col min="6" max="6" width="20.42578125" customWidth="1"/>
    <col min="8" max="8" width="20.7109375" customWidth="1"/>
    <col min="9" max="9" width="35.42578125" customWidth="1"/>
  </cols>
  <sheetData>
    <row r="1" spans="1:8" x14ac:dyDescent="0.25">
      <c r="A1" t="s">
        <v>0</v>
      </c>
      <c r="B1" s="8" t="s">
        <v>16</v>
      </c>
      <c r="C1" s="2" t="s">
        <v>18</v>
      </c>
      <c r="E1" s="8" t="s">
        <v>17</v>
      </c>
      <c r="F1" t="s">
        <v>15</v>
      </c>
      <c r="H1" t="s">
        <v>19</v>
      </c>
    </row>
    <row r="2" spans="1:8" x14ac:dyDescent="0.25">
      <c r="A2" s="1">
        <v>43935</v>
      </c>
      <c r="B2" s="8">
        <v>2761.63</v>
      </c>
      <c r="C2" s="2">
        <v>2672</v>
      </c>
      <c r="E2" s="8">
        <f>B3-B2</f>
        <v>84.429999999999836</v>
      </c>
      <c r="F2" s="8">
        <f>C3-C2</f>
        <v>-214.40000000000009</v>
      </c>
      <c r="H2" s="12">
        <f>LOG(_xlfn.STDEV.P(B2:B32))</f>
        <v>1.8014106895606705</v>
      </c>
    </row>
    <row r="3" spans="1:8" x14ac:dyDescent="0.25">
      <c r="A3" s="1">
        <v>43936</v>
      </c>
      <c r="B3" s="8">
        <v>2846.06</v>
      </c>
      <c r="C3" s="2">
        <v>2457.6</v>
      </c>
      <c r="E3" s="8">
        <f t="shared" ref="E3:E66" si="0">B4-B3</f>
        <v>-62.699999999999818</v>
      </c>
      <c r="F3" s="8">
        <f t="shared" ref="F3:F66" si="1">C4-C3</f>
        <v>204</v>
      </c>
      <c r="H3" s="12">
        <f t="shared" ref="H3:H66" si="2">LOG(_xlfn.STDEV.P(B3:B33))</f>
        <v>1.8246831886401589</v>
      </c>
    </row>
    <row r="4" spans="1:8" x14ac:dyDescent="0.25">
      <c r="A4" s="1">
        <v>43937</v>
      </c>
      <c r="B4" s="8">
        <v>2783.36</v>
      </c>
      <c r="C4" s="2">
        <v>2661.6</v>
      </c>
      <c r="E4" s="8">
        <f t="shared" si="0"/>
        <v>16.190000000000055</v>
      </c>
      <c r="F4" s="8">
        <f t="shared" si="1"/>
        <v>15.200000000000273</v>
      </c>
      <c r="H4" s="12">
        <f t="shared" si="2"/>
        <v>1.8554131662284667</v>
      </c>
    </row>
    <row r="5" spans="1:8" x14ac:dyDescent="0.25">
      <c r="A5" s="1">
        <v>43938</v>
      </c>
      <c r="B5" s="8">
        <v>2799.55</v>
      </c>
      <c r="C5" s="2">
        <v>2676.8</v>
      </c>
      <c r="E5" s="8">
        <f t="shared" si="0"/>
        <v>75.009999999999764</v>
      </c>
      <c r="F5" s="8">
        <f t="shared" si="1"/>
        <v>-110.40000000000009</v>
      </c>
      <c r="H5" s="12">
        <f t="shared" si="2"/>
        <v>1.8731590850222495</v>
      </c>
    </row>
    <row r="6" spans="1:8" x14ac:dyDescent="0.25">
      <c r="A6" s="1">
        <v>43941</v>
      </c>
      <c r="B6" s="8">
        <v>2874.56</v>
      </c>
      <c r="C6" s="2">
        <v>2566.4</v>
      </c>
      <c r="E6" s="8">
        <f t="shared" si="0"/>
        <v>-51.400000000000091</v>
      </c>
      <c r="F6" s="8">
        <f t="shared" si="1"/>
        <v>252.79999999999973</v>
      </c>
      <c r="H6" s="12">
        <f t="shared" si="2"/>
        <v>1.8925158224757745</v>
      </c>
    </row>
    <row r="7" spans="1:8" x14ac:dyDescent="0.25">
      <c r="A7" s="1">
        <v>43942</v>
      </c>
      <c r="B7" s="8">
        <v>2823.16</v>
      </c>
      <c r="C7" s="2">
        <v>2819.2</v>
      </c>
      <c r="E7" s="8">
        <f t="shared" si="0"/>
        <v>-86.599999999999909</v>
      </c>
      <c r="F7" s="8">
        <f t="shared" si="1"/>
        <v>228.80000000000018</v>
      </c>
      <c r="H7" s="12">
        <f t="shared" si="2"/>
        <v>1.9250518308651332</v>
      </c>
    </row>
    <row r="8" spans="1:8" x14ac:dyDescent="0.25">
      <c r="A8" s="1">
        <v>43943</v>
      </c>
      <c r="B8" s="8">
        <v>2736.56</v>
      </c>
      <c r="C8" s="2">
        <v>3048</v>
      </c>
      <c r="E8" s="8">
        <f t="shared" si="0"/>
        <v>62.75</v>
      </c>
      <c r="F8" s="8">
        <f t="shared" si="1"/>
        <v>-147.19999999999982</v>
      </c>
      <c r="H8" s="12">
        <f t="shared" si="2"/>
        <v>1.9586138700242781</v>
      </c>
    </row>
    <row r="9" spans="1:8" x14ac:dyDescent="0.25">
      <c r="A9" s="1">
        <v>43944</v>
      </c>
      <c r="B9" s="8">
        <v>2799.31</v>
      </c>
      <c r="C9" s="2">
        <v>2900.8</v>
      </c>
      <c r="E9" s="8">
        <f t="shared" si="0"/>
        <v>-1.5099999999997635</v>
      </c>
      <c r="F9" s="8">
        <f t="shared" si="1"/>
        <v>-1.6000000000003638</v>
      </c>
      <c r="H9" s="12">
        <f t="shared" si="2"/>
        <v>1.9597288366264638</v>
      </c>
    </row>
    <row r="10" spans="1:8" x14ac:dyDescent="0.25">
      <c r="A10" s="1">
        <v>43945</v>
      </c>
      <c r="B10" s="8">
        <v>2797.8</v>
      </c>
      <c r="C10" s="2">
        <v>2899.2</v>
      </c>
      <c r="E10" s="8">
        <f t="shared" si="0"/>
        <v>38.9399999999996</v>
      </c>
      <c r="F10" s="8">
        <f t="shared" si="1"/>
        <v>-159.19999999999982</v>
      </c>
      <c r="H10" s="12">
        <f t="shared" si="2"/>
        <v>1.9972213088730169</v>
      </c>
    </row>
    <row r="11" spans="1:8" x14ac:dyDescent="0.25">
      <c r="A11" s="1">
        <v>43948</v>
      </c>
      <c r="B11" s="8">
        <v>2836.74</v>
      </c>
      <c r="C11" s="2">
        <v>2740</v>
      </c>
      <c r="E11" s="8">
        <f t="shared" si="0"/>
        <v>41.740000000000236</v>
      </c>
      <c r="F11" s="8">
        <f t="shared" si="1"/>
        <v>-216</v>
      </c>
      <c r="H11" s="12">
        <f t="shared" si="2"/>
        <v>2.0348346613406996</v>
      </c>
    </row>
    <row r="12" spans="1:8" x14ac:dyDescent="0.25">
      <c r="A12" s="1">
        <v>43949</v>
      </c>
      <c r="B12" s="8">
        <v>2878.48</v>
      </c>
      <c r="C12" s="2">
        <v>2524</v>
      </c>
      <c r="E12" s="8">
        <f t="shared" si="0"/>
        <v>-15.090000000000146</v>
      </c>
      <c r="F12" s="8">
        <f t="shared" si="1"/>
        <v>43.199999999999818</v>
      </c>
      <c r="H12" s="12">
        <f t="shared" si="2"/>
        <v>2.0600458390381888</v>
      </c>
    </row>
    <row r="13" spans="1:8" x14ac:dyDescent="0.25">
      <c r="A13" s="1">
        <v>43950</v>
      </c>
      <c r="B13" s="8">
        <v>2863.39</v>
      </c>
      <c r="C13" s="2">
        <v>2567.1999999999998</v>
      </c>
      <c r="E13" s="8">
        <f t="shared" si="0"/>
        <v>76.120000000000346</v>
      </c>
      <c r="F13" s="8">
        <f t="shared" si="1"/>
        <v>-160.79999999999973</v>
      </c>
      <c r="H13" s="12">
        <f t="shared" si="2"/>
        <v>2.07960972719389</v>
      </c>
    </row>
    <row r="14" spans="1:8" x14ac:dyDescent="0.25">
      <c r="A14" s="1">
        <v>43951</v>
      </c>
      <c r="B14" s="8">
        <v>2939.51</v>
      </c>
      <c r="C14" s="2">
        <v>2406.4</v>
      </c>
      <c r="E14" s="8">
        <f t="shared" si="0"/>
        <v>-27.080000000000382</v>
      </c>
      <c r="F14" s="8">
        <f t="shared" si="1"/>
        <v>79.199999999999818</v>
      </c>
      <c r="H14" s="12">
        <f t="shared" si="2"/>
        <v>2.0731847949338649</v>
      </c>
    </row>
    <row r="15" spans="1:8" x14ac:dyDescent="0.25">
      <c r="A15" s="1">
        <v>43952</v>
      </c>
      <c r="B15" s="8">
        <v>2912.43</v>
      </c>
      <c r="C15" s="2">
        <v>2485.6</v>
      </c>
      <c r="E15" s="8">
        <f t="shared" si="0"/>
        <v>-81.7199999999998</v>
      </c>
      <c r="F15" s="8">
        <f t="shared" si="1"/>
        <v>216</v>
      </c>
      <c r="H15" s="12">
        <f t="shared" si="2"/>
        <v>2.0738740210946438</v>
      </c>
    </row>
    <row r="16" spans="1:8" x14ac:dyDescent="0.25">
      <c r="A16" s="1">
        <v>43955</v>
      </c>
      <c r="B16" s="8">
        <v>2830.71</v>
      </c>
      <c r="C16" s="2">
        <v>2701.6</v>
      </c>
      <c r="E16" s="8">
        <f t="shared" si="0"/>
        <v>12.029999999999745</v>
      </c>
      <c r="F16" s="8">
        <f t="shared" si="1"/>
        <v>-55.199999999999818</v>
      </c>
      <c r="H16" s="12">
        <f t="shared" si="2"/>
        <v>2.0741431096762692</v>
      </c>
    </row>
    <row r="17" spans="1:8" x14ac:dyDescent="0.25">
      <c r="A17" s="1">
        <v>43956</v>
      </c>
      <c r="B17" s="8">
        <v>2842.74</v>
      </c>
      <c r="C17" s="2">
        <v>2646.4</v>
      </c>
      <c r="E17" s="8">
        <f t="shared" si="0"/>
        <v>25.700000000000273</v>
      </c>
      <c r="F17" s="8">
        <f t="shared" si="1"/>
        <v>-101.59999999999991</v>
      </c>
      <c r="H17" s="12">
        <f t="shared" si="2"/>
        <v>2.0690295770761331</v>
      </c>
    </row>
    <row r="18" spans="1:8" x14ac:dyDescent="0.25">
      <c r="A18" s="1">
        <v>43957</v>
      </c>
      <c r="B18" s="8">
        <v>2868.44</v>
      </c>
      <c r="C18" s="2">
        <v>2544.8000000000002</v>
      </c>
      <c r="E18" s="8">
        <f t="shared" si="0"/>
        <v>-20.019999999999982</v>
      </c>
      <c r="F18" s="8">
        <f t="shared" si="1"/>
        <v>28.799999999999727</v>
      </c>
      <c r="H18" s="12">
        <f t="shared" si="2"/>
        <v>2.0617372769039206</v>
      </c>
    </row>
    <row r="19" spans="1:8" x14ac:dyDescent="0.25">
      <c r="A19" s="1">
        <v>43958</v>
      </c>
      <c r="B19" s="8">
        <v>2848.42</v>
      </c>
      <c r="C19" s="2">
        <v>2573.6</v>
      </c>
      <c r="E19" s="8">
        <f t="shared" si="0"/>
        <v>32.769999999999982</v>
      </c>
      <c r="F19" s="8">
        <f t="shared" si="1"/>
        <v>-104</v>
      </c>
      <c r="H19" s="12">
        <f t="shared" si="2"/>
        <v>2.0563197241702569</v>
      </c>
    </row>
    <row r="20" spans="1:8" x14ac:dyDescent="0.25">
      <c r="A20" s="1">
        <v>43959</v>
      </c>
      <c r="B20" s="8">
        <v>2881.19</v>
      </c>
      <c r="C20" s="2">
        <v>2469.6</v>
      </c>
      <c r="E20" s="8">
        <f t="shared" si="0"/>
        <v>48.610000000000127</v>
      </c>
      <c r="F20" s="8">
        <f t="shared" si="1"/>
        <v>-170.40000000000009</v>
      </c>
      <c r="H20" s="12">
        <f t="shared" si="2"/>
        <v>2.0431637080939367</v>
      </c>
    </row>
    <row r="21" spans="1:8" x14ac:dyDescent="0.25">
      <c r="A21" s="1">
        <v>43962</v>
      </c>
      <c r="B21" s="8">
        <v>2929.8</v>
      </c>
      <c r="C21" s="2">
        <v>2299.1999999999998</v>
      </c>
      <c r="E21" s="8">
        <f t="shared" si="0"/>
        <v>0.38999999999987267</v>
      </c>
      <c r="F21" s="8">
        <f t="shared" si="1"/>
        <v>-157.59999999999991</v>
      </c>
      <c r="H21" s="12">
        <f t="shared" si="2"/>
        <v>2.0352020486841154</v>
      </c>
    </row>
    <row r="22" spans="1:8" x14ac:dyDescent="0.25">
      <c r="A22" s="1">
        <v>43963</v>
      </c>
      <c r="B22" s="8">
        <v>2930.19</v>
      </c>
      <c r="C22" s="2">
        <v>2141.6</v>
      </c>
      <c r="E22" s="8">
        <f t="shared" si="0"/>
        <v>-60.070000000000164</v>
      </c>
      <c r="F22" s="8">
        <f t="shared" si="1"/>
        <v>216</v>
      </c>
      <c r="H22" s="12">
        <f t="shared" si="2"/>
        <v>2.0340444846720787</v>
      </c>
    </row>
    <row r="23" spans="1:8" x14ac:dyDescent="0.25">
      <c r="A23" s="1">
        <v>43964</v>
      </c>
      <c r="B23" s="8">
        <v>2870.12</v>
      </c>
      <c r="C23" s="2">
        <v>2357.6</v>
      </c>
      <c r="E23" s="8">
        <f t="shared" si="0"/>
        <v>-50.119999999999891</v>
      </c>
      <c r="F23" s="8">
        <f t="shared" si="1"/>
        <v>241.59999999999991</v>
      </c>
      <c r="H23" s="12">
        <f t="shared" si="2"/>
        <v>2.0266862522326132</v>
      </c>
    </row>
    <row r="24" spans="1:8" x14ac:dyDescent="0.25">
      <c r="A24" s="1">
        <v>43965</v>
      </c>
      <c r="B24" s="8">
        <v>2820</v>
      </c>
      <c r="C24" s="2">
        <v>2599.1999999999998</v>
      </c>
      <c r="E24" s="8">
        <f t="shared" si="0"/>
        <v>32.5</v>
      </c>
      <c r="F24" s="8">
        <f t="shared" si="1"/>
        <v>-127.19999999999982</v>
      </c>
      <c r="H24" s="12">
        <f t="shared" si="2"/>
        <v>2.0076129390463087</v>
      </c>
    </row>
    <row r="25" spans="1:8" x14ac:dyDescent="0.25">
      <c r="A25" s="1">
        <v>43966</v>
      </c>
      <c r="B25" s="8">
        <v>2852.5</v>
      </c>
      <c r="C25" s="2">
        <v>2472</v>
      </c>
      <c r="E25" s="8">
        <f t="shared" si="0"/>
        <v>11.199999999999818</v>
      </c>
      <c r="F25" s="8">
        <f t="shared" si="1"/>
        <v>-67.199999999999818</v>
      </c>
      <c r="H25" s="12">
        <f t="shared" si="2"/>
        <v>1.9691328109150903</v>
      </c>
    </row>
    <row r="26" spans="1:8" x14ac:dyDescent="0.25">
      <c r="A26" s="1">
        <v>43969</v>
      </c>
      <c r="B26" s="8">
        <v>2863.7</v>
      </c>
      <c r="C26" s="2">
        <v>2404.8000000000002</v>
      </c>
      <c r="E26" s="8">
        <f t="shared" si="0"/>
        <v>90.210000000000036</v>
      </c>
      <c r="F26" s="8">
        <f t="shared" si="1"/>
        <v>-153.60000000000036</v>
      </c>
      <c r="H26" s="12">
        <f t="shared" si="2"/>
        <v>1.9317869727730455</v>
      </c>
    </row>
    <row r="27" spans="1:8" x14ac:dyDescent="0.25">
      <c r="A27" s="1">
        <v>43970</v>
      </c>
      <c r="B27" s="8">
        <v>2953.91</v>
      </c>
      <c r="C27" s="2">
        <v>2251.1999999999998</v>
      </c>
      <c r="E27" s="8">
        <f t="shared" si="0"/>
        <v>-30.9699999999998</v>
      </c>
      <c r="F27" s="8">
        <f t="shared" si="1"/>
        <v>113.60000000000036</v>
      </c>
      <c r="H27" s="12">
        <f t="shared" si="2"/>
        <v>1.8900009194307872</v>
      </c>
    </row>
    <row r="28" spans="1:8" x14ac:dyDescent="0.25">
      <c r="A28" s="1">
        <v>43971</v>
      </c>
      <c r="B28" s="8">
        <v>2922.94</v>
      </c>
      <c r="C28" s="2">
        <v>2364.8000000000002</v>
      </c>
      <c r="E28" s="8">
        <f t="shared" si="0"/>
        <v>48.670000000000073</v>
      </c>
      <c r="F28" s="8">
        <f t="shared" si="1"/>
        <v>-143.20000000000027</v>
      </c>
      <c r="H28" s="12">
        <f t="shared" si="2"/>
        <v>1.8754796877680318</v>
      </c>
    </row>
    <row r="29" spans="1:8" x14ac:dyDescent="0.25">
      <c r="A29" s="1">
        <v>43972</v>
      </c>
      <c r="B29" s="8">
        <v>2971.61</v>
      </c>
      <c r="C29" s="2">
        <v>2221.6</v>
      </c>
      <c r="E29" s="8">
        <f t="shared" si="0"/>
        <v>-23.099999999999909</v>
      </c>
      <c r="F29" s="8">
        <f t="shared" si="1"/>
        <v>48.800000000000182</v>
      </c>
      <c r="H29" s="12">
        <f t="shared" si="2"/>
        <v>1.8471103232053079</v>
      </c>
    </row>
    <row r="30" spans="1:8" x14ac:dyDescent="0.25">
      <c r="A30" s="1">
        <v>43973</v>
      </c>
      <c r="B30" s="8">
        <v>2948.51</v>
      </c>
      <c r="C30" s="2">
        <v>2270.4</v>
      </c>
      <c r="E30" s="8">
        <f t="shared" si="0"/>
        <v>6.9399999999995998</v>
      </c>
      <c r="F30" s="8">
        <f t="shared" si="1"/>
        <v>-17.599999999999909</v>
      </c>
      <c r="H30" s="12">
        <f t="shared" si="2"/>
        <v>1.8416342876450007</v>
      </c>
    </row>
    <row r="31" spans="1:8" x14ac:dyDescent="0.25">
      <c r="A31" s="1">
        <v>43977</v>
      </c>
      <c r="B31" s="8">
        <v>2955.45</v>
      </c>
      <c r="C31" s="2">
        <v>2252.8000000000002</v>
      </c>
      <c r="E31" s="8">
        <f t="shared" si="0"/>
        <v>36.320000000000164</v>
      </c>
      <c r="F31" s="8">
        <f t="shared" si="1"/>
        <v>-28.800000000000182</v>
      </c>
      <c r="H31" s="12">
        <f t="shared" si="2"/>
        <v>1.8146033337174179</v>
      </c>
    </row>
    <row r="32" spans="1:8" x14ac:dyDescent="0.25">
      <c r="A32" s="1">
        <v>43978</v>
      </c>
      <c r="B32" s="8">
        <v>2991.77</v>
      </c>
      <c r="C32" s="2">
        <v>2224</v>
      </c>
      <c r="E32" s="8">
        <f t="shared" si="0"/>
        <v>44.360000000000127</v>
      </c>
      <c r="F32" s="8">
        <f t="shared" si="1"/>
        <v>-51.199999999999818</v>
      </c>
      <c r="H32" s="12">
        <f t="shared" si="2"/>
        <v>1.7881372131244246</v>
      </c>
    </row>
    <row r="33" spans="1:8" x14ac:dyDescent="0.25">
      <c r="A33" s="1">
        <v>43979</v>
      </c>
      <c r="B33" s="8">
        <v>3036.13</v>
      </c>
      <c r="C33" s="2">
        <v>2172.8000000000002</v>
      </c>
      <c r="E33" s="8">
        <f t="shared" si="0"/>
        <v>-6.4000000000000909</v>
      </c>
      <c r="F33" s="8">
        <f t="shared" si="1"/>
        <v>84</v>
      </c>
      <c r="H33" s="12">
        <f t="shared" si="2"/>
        <v>1.7680959224848976</v>
      </c>
    </row>
    <row r="34" spans="1:8" x14ac:dyDescent="0.25">
      <c r="A34" s="1">
        <v>43980</v>
      </c>
      <c r="B34" s="8">
        <v>3029.73</v>
      </c>
      <c r="C34" s="2">
        <v>2256.8000000000002</v>
      </c>
      <c r="E34" s="8">
        <f t="shared" si="0"/>
        <v>14.579999999999927</v>
      </c>
      <c r="F34" s="8">
        <f t="shared" si="1"/>
        <v>-72.800000000000182</v>
      </c>
      <c r="H34" s="12">
        <f t="shared" si="2"/>
        <v>1.7690350565455506</v>
      </c>
    </row>
    <row r="35" spans="1:8" x14ac:dyDescent="0.25">
      <c r="A35" s="1">
        <v>43983</v>
      </c>
      <c r="B35" s="8">
        <v>3044.31</v>
      </c>
      <c r="C35" s="2">
        <v>2184</v>
      </c>
      <c r="E35" s="8">
        <f t="shared" si="0"/>
        <v>11.420000000000073</v>
      </c>
      <c r="F35" s="8">
        <f t="shared" si="1"/>
        <v>10.400000000000091</v>
      </c>
      <c r="H35" s="12">
        <f t="shared" si="2"/>
        <v>1.7580756445206094</v>
      </c>
    </row>
    <row r="36" spans="1:8" x14ac:dyDescent="0.25">
      <c r="A36" s="1">
        <v>43984</v>
      </c>
      <c r="B36" s="8">
        <v>3055.73</v>
      </c>
      <c r="C36" s="2">
        <v>2194.4</v>
      </c>
      <c r="E36" s="8">
        <f t="shared" si="0"/>
        <v>25.090000000000146</v>
      </c>
      <c r="F36" s="8">
        <f t="shared" si="1"/>
        <v>-59.200000000000273</v>
      </c>
      <c r="H36" s="12">
        <f t="shared" si="2"/>
        <v>1.7600026121868675</v>
      </c>
    </row>
    <row r="37" spans="1:8" x14ac:dyDescent="0.25">
      <c r="A37" s="1">
        <v>43985</v>
      </c>
      <c r="B37" s="8">
        <v>3080.82</v>
      </c>
      <c r="C37" s="2">
        <v>2135.1999999999998</v>
      </c>
      <c r="E37" s="8">
        <f t="shared" si="0"/>
        <v>42.049999999999727</v>
      </c>
      <c r="F37" s="8">
        <f t="shared" si="1"/>
        <v>-93.599999999999909</v>
      </c>
      <c r="H37" s="12">
        <f t="shared" si="2"/>
        <v>1.7726120411214386</v>
      </c>
    </row>
    <row r="38" spans="1:8" x14ac:dyDescent="0.25">
      <c r="A38" s="1">
        <v>43986</v>
      </c>
      <c r="B38" s="8">
        <v>3122.87</v>
      </c>
      <c r="C38" s="2">
        <v>2041.6</v>
      </c>
      <c r="E38" s="8">
        <f t="shared" si="0"/>
        <v>-10.519999999999982</v>
      </c>
      <c r="F38" s="8">
        <f t="shared" si="1"/>
        <v>-19.199999999999818</v>
      </c>
      <c r="H38" s="12">
        <f t="shared" si="2"/>
        <v>1.7831559610355068</v>
      </c>
    </row>
    <row r="39" spans="1:8" x14ac:dyDescent="0.25">
      <c r="A39" s="1">
        <v>43987</v>
      </c>
      <c r="B39" s="8">
        <v>3112.35</v>
      </c>
      <c r="C39" s="2">
        <v>2022.4</v>
      </c>
      <c r="E39" s="8">
        <f t="shared" si="0"/>
        <v>81.579999999999927</v>
      </c>
      <c r="F39" s="8">
        <f t="shared" si="1"/>
        <v>-108.80000000000018</v>
      </c>
      <c r="H39" s="12">
        <f t="shared" si="2"/>
        <v>1.7987987468462852</v>
      </c>
    </row>
    <row r="40" spans="1:8" x14ac:dyDescent="0.25">
      <c r="A40" s="1">
        <v>43990</v>
      </c>
      <c r="B40" s="8">
        <v>3193.93</v>
      </c>
      <c r="C40" s="2">
        <v>1913.6</v>
      </c>
      <c r="E40" s="8">
        <f t="shared" si="0"/>
        <v>38.460000000000036</v>
      </c>
      <c r="F40" s="8">
        <f t="shared" si="1"/>
        <v>42.400000000000091</v>
      </c>
      <c r="H40" s="12">
        <f t="shared" si="2"/>
        <v>1.8205167631343899</v>
      </c>
    </row>
    <row r="41" spans="1:8" x14ac:dyDescent="0.25">
      <c r="A41" s="1">
        <v>43991</v>
      </c>
      <c r="B41" s="8">
        <v>3232.39</v>
      </c>
      <c r="C41" s="2">
        <v>1956</v>
      </c>
      <c r="E41" s="8">
        <f t="shared" si="0"/>
        <v>-25.210000000000036</v>
      </c>
      <c r="F41" s="8">
        <f t="shared" si="1"/>
        <v>98.400000000000091</v>
      </c>
      <c r="H41" s="12">
        <f t="shared" si="2"/>
        <v>1.8373984585621423</v>
      </c>
    </row>
    <row r="42" spans="1:8" x14ac:dyDescent="0.25">
      <c r="A42" s="1">
        <v>43992</v>
      </c>
      <c r="B42" s="8">
        <v>3207.18</v>
      </c>
      <c r="C42" s="2">
        <v>2054.4</v>
      </c>
      <c r="E42" s="8">
        <f t="shared" si="0"/>
        <v>-17.039999999999964</v>
      </c>
      <c r="F42" s="8">
        <f t="shared" si="1"/>
        <v>-12.800000000000182</v>
      </c>
      <c r="H42" s="12">
        <f t="shared" si="2"/>
        <v>1.8515798375781252</v>
      </c>
    </row>
    <row r="43" spans="1:8" x14ac:dyDescent="0.25">
      <c r="A43" s="1">
        <v>43993</v>
      </c>
      <c r="B43" s="8">
        <v>3190.14</v>
      </c>
      <c r="C43" s="2">
        <v>2041.6</v>
      </c>
      <c r="E43" s="8">
        <f t="shared" si="0"/>
        <v>-188.03999999999996</v>
      </c>
      <c r="F43" s="8">
        <f t="shared" si="1"/>
        <v>685.59999999999991</v>
      </c>
      <c r="H43" s="12">
        <f t="shared" si="2"/>
        <v>1.8577690654240462</v>
      </c>
    </row>
    <row r="44" spans="1:8" x14ac:dyDescent="0.25">
      <c r="A44" s="1">
        <v>43994</v>
      </c>
      <c r="B44" s="8">
        <v>3002.1</v>
      </c>
      <c r="C44" s="2">
        <v>2727.2</v>
      </c>
      <c r="E44" s="8">
        <f t="shared" si="0"/>
        <v>39.210000000000036</v>
      </c>
      <c r="F44" s="8">
        <f t="shared" si="1"/>
        <v>-188.79999999999973</v>
      </c>
      <c r="H44" s="12">
        <f t="shared" si="2"/>
        <v>1.8618575102713175</v>
      </c>
    </row>
    <row r="45" spans="1:8" x14ac:dyDescent="0.25">
      <c r="A45" s="1">
        <v>43997</v>
      </c>
      <c r="B45" s="8">
        <v>3041.31</v>
      </c>
      <c r="C45" s="2">
        <v>2538.4</v>
      </c>
      <c r="E45" s="8">
        <f t="shared" si="0"/>
        <v>25.2800000000002</v>
      </c>
      <c r="F45" s="8">
        <f t="shared" si="1"/>
        <v>-61.599999999999909</v>
      </c>
      <c r="H45" s="12">
        <f t="shared" si="2"/>
        <v>1.8446530994269741</v>
      </c>
    </row>
    <row r="46" spans="1:8" x14ac:dyDescent="0.25">
      <c r="A46" s="1">
        <v>43998</v>
      </c>
      <c r="B46" s="8">
        <v>3066.59</v>
      </c>
      <c r="C46" s="2">
        <v>2476.8000000000002</v>
      </c>
      <c r="E46" s="8">
        <f t="shared" si="0"/>
        <v>58.149999999999636</v>
      </c>
      <c r="F46" s="8">
        <f t="shared" si="1"/>
        <v>-50.400000000000091</v>
      </c>
      <c r="H46" s="12">
        <f t="shared" si="2"/>
        <v>1.83217326205912</v>
      </c>
    </row>
    <row r="47" spans="1:8" x14ac:dyDescent="0.25">
      <c r="A47" s="1">
        <v>43999</v>
      </c>
      <c r="B47" s="8">
        <v>3124.74</v>
      </c>
      <c r="C47" s="2">
        <v>2426.4</v>
      </c>
      <c r="E47" s="8">
        <f t="shared" si="0"/>
        <v>-11.25</v>
      </c>
      <c r="F47" s="8">
        <f t="shared" si="1"/>
        <v>-4.8000000000001819</v>
      </c>
      <c r="H47" s="12">
        <f t="shared" si="2"/>
        <v>1.8337912411326742</v>
      </c>
    </row>
    <row r="48" spans="1:8" x14ac:dyDescent="0.25">
      <c r="A48" s="1">
        <v>44000</v>
      </c>
      <c r="B48" s="8">
        <v>3113.49</v>
      </c>
      <c r="C48" s="2">
        <v>2421.6</v>
      </c>
      <c r="E48" s="8">
        <f t="shared" si="0"/>
        <v>1.8500000000003638</v>
      </c>
      <c r="F48" s="8">
        <f t="shared" si="1"/>
        <v>-40.799999999999727</v>
      </c>
      <c r="H48" s="12">
        <f t="shared" si="2"/>
        <v>1.8412363185500864</v>
      </c>
    </row>
    <row r="49" spans="1:8" x14ac:dyDescent="0.25">
      <c r="A49" s="1">
        <v>44001</v>
      </c>
      <c r="B49" s="8">
        <v>3115.34</v>
      </c>
      <c r="C49" s="2">
        <v>2380.8000000000002</v>
      </c>
      <c r="E49" s="8">
        <f t="shared" si="0"/>
        <v>-17.600000000000364</v>
      </c>
      <c r="F49" s="8">
        <f t="shared" si="1"/>
        <v>38.399999999999636</v>
      </c>
      <c r="H49" s="12">
        <f t="shared" si="2"/>
        <v>1.8515501175264282</v>
      </c>
    </row>
    <row r="50" spans="1:8" x14ac:dyDescent="0.25">
      <c r="A50" s="1">
        <v>44004</v>
      </c>
      <c r="B50" s="8">
        <v>3097.74</v>
      </c>
      <c r="C50" s="2">
        <v>2419.1999999999998</v>
      </c>
      <c r="E50" s="8">
        <f t="shared" si="0"/>
        <v>20.120000000000346</v>
      </c>
      <c r="F50" s="8">
        <f t="shared" si="1"/>
        <v>-119.19999999999982</v>
      </c>
      <c r="H50" s="12">
        <f t="shared" si="2"/>
        <v>1.8661069020418874</v>
      </c>
    </row>
    <row r="51" spans="1:8" x14ac:dyDescent="0.25">
      <c r="A51" s="1">
        <v>44005</v>
      </c>
      <c r="B51" s="8">
        <v>3117.86</v>
      </c>
      <c r="C51" s="2">
        <v>2300</v>
      </c>
      <c r="E51" s="8">
        <f t="shared" si="0"/>
        <v>13.429999999999836</v>
      </c>
      <c r="F51" s="8">
        <f t="shared" si="1"/>
        <v>-44.800000000000182</v>
      </c>
      <c r="H51" s="12">
        <f t="shared" si="2"/>
        <v>1.8772756321016477</v>
      </c>
    </row>
    <row r="52" spans="1:8" x14ac:dyDescent="0.25">
      <c r="A52" s="1">
        <v>44006</v>
      </c>
      <c r="B52" s="8">
        <v>3131.29</v>
      </c>
      <c r="C52" s="2">
        <v>2255.1999999999998</v>
      </c>
      <c r="E52" s="8">
        <f t="shared" si="0"/>
        <v>-80.960000000000036</v>
      </c>
      <c r="F52" s="8">
        <f t="shared" si="1"/>
        <v>156</v>
      </c>
      <c r="H52" s="12">
        <f t="shared" si="2"/>
        <v>1.8947144236972742</v>
      </c>
    </row>
    <row r="53" spans="1:8" x14ac:dyDescent="0.25">
      <c r="A53" s="1">
        <v>44007</v>
      </c>
      <c r="B53" s="8">
        <v>3050.33</v>
      </c>
      <c r="C53" s="2">
        <v>2411.1999999999998</v>
      </c>
      <c r="E53" s="8">
        <f t="shared" si="0"/>
        <v>33.430000000000291</v>
      </c>
      <c r="F53" s="8">
        <f t="shared" si="1"/>
        <v>-94.399999999999636</v>
      </c>
      <c r="H53" s="12">
        <f t="shared" si="2"/>
        <v>1.9162158843636015</v>
      </c>
    </row>
    <row r="54" spans="1:8" x14ac:dyDescent="0.25">
      <c r="A54" s="1">
        <v>44008</v>
      </c>
      <c r="B54" s="8">
        <v>3083.76</v>
      </c>
      <c r="C54" s="2">
        <v>2316.8000000000002</v>
      </c>
      <c r="E54" s="8">
        <f t="shared" si="0"/>
        <v>-74.710000000000036</v>
      </c>
      <c r="F54" s="8">
        <f t="shared" si="1"/>
        <v>144.79999999999973</v>
      </c>
      <c r="H54" s="12">
        <f t="shared" si="2"/>
        <v>1.9148541311795384</v>
      </c>
    </row>
    <row r="55" spans="1:8" x14ac:dyDescent="0.25">
      <c r="A55" s="1">
        <v>44011</v>
      </c>
      <c r="B55" s="8">
        <v>3009.05</v>
      </c>
      <c r="C55" s="2">
        <v>2461.6</v>
      </c>
      <c r="E55" s="8">
        <f t="shared" si="0"/>
        <v>44.1899999999996</v>
      </c>
      <c r="F55" s="8">
        <f t="shared" si="1"/>
        <v>-119.19999999999982</v>
      </c>
      <c r="H55" s="12">
        <f t="shared" si="2"/>
        <v>1.920407690319504</v>
      </c>
    </row>
    <row r="56" spans="1:8" x14ac:dyDescent="0.25">
      <c r="A56" s="1">
        <v>44012</v>
      </c>
      <c r="B56" s="8">
        <v>3053.24</v>
      </c>
      <c r="C56" s="2">
        <v>2342.4</v>
      </c>
      <c r="E56" s="8">
        <f t="shared" si="0"/>
        <v>47.050000000000182</v>
      </c>
      <c r="F56" s="8">
        <f t="shared" si="1"/>
        <v>-121.59999999999991</v>
      </c>
      <c r="H56" s="12">
        <f t="shared" si="2"/>
        <v>1.8843439774023756</v>
      </c>
    </row>
    <row r="57" spans="1:8" x14ac:dyDescent="0.25">
      <c r="A57" s="1">
        <v>44013</v>
      </c>
      <c r="B57" s="8">
        <v>3100.29</v>
      </c>
      <c r="C57" s="2">
        <v>2220.8000000000002</v>
      </c>
      <c r="E57" s="8">
        <f t="shared" si="0"/>
        <v>15.570000000000164</v>
      </c>
      <c r="F57" s="8">
        <f t="shared" si="1"/>
        <v>-62.400000000000091</v>
      </c>
      <c r="H57" s="12">
        <f t="shared" si="2"/>
        <v>1.8717064476146132</v>
      </c>
    </row>
    <row r="58" spans="1:8" x14ac:dyDescent="0.25">
      <c r="A58" s="1">
        <v>44014</v>
      </c>
      <c r="B58" s="8">
        <v>3115.86</v>
      </c>
      <c r="C58" s="2">
        <v>2158.4</v>
      </c>
      <c r="E58" s="8">
        <f t="shared" si="0"/>
        <v>14.150000000000091</v>
      </c>
      <c r="F58" s="8">
        <f t="shared" si="1"/>
        <v>-36.800000000000182</v>
      </c>
      <c r="H58" s="12">
        <f t="shared" si="2"/>
        <v>1.8679827935832616</v>
      </c>
    </row>
    <row r="59" spans="1:8" x14ac:dyDescent="0.25">
      <c r="A59" s="1">
        <v>44018</v>
      </c>
      <c r="B59" s="8">
        <v>3130.01</v>
      </c>
      <c r="C59" s="2">
        <v>2121.6</v>
      </c>
      <c r="E59" s="8">
        <f t="shared" si="0"/>
        <v>49.709999999999582</v>
      </c>
      <c r="F59" s="8">
        <f t="shared" si="1"/>
        <v>-1.5999999999999091</v>
      </c>
      <c r="H59" s="12">
        <f t="shared" si="2"/>
        <v>1.8637093707984789</v>
      </c>
    </row>
    <row r="60" spans="1:8" x14ac:dyDescent="0.25">
      <c r="A60" s="1">
        <v>44019</v>
      </c>
      <c r="B60" s="8">
        <v>3179.72</v>
      </c>
      <c r="C60" s="2">
        <v>2120</v>
      </c>
      <c r="E60" s="8">
        <f t="shared" si="0"/>
        <v>-34.399999999999636</v>
      </c>
      <c r="F60" s="8">
        <f t="shared" si="1"/>
        <v>62.400000000000091</v>
      </c>
      <c r="H60" s="12">
        <f t="shared" si="2"/>
        <v>1.8617408090381926</v>
      </c>
    </row>
    <row r="61" spans="1:8" x14ac:dyDescent="0.25">
      <c r="A61" s="1">
        <v>44020</v>
      </c>
      <c r="B61" s="8">
        <v>3145.32</v>
      </c>
      <c r="C61" s="2">
        <v>2182.4</v>
      </c>
      <c r="E61" s="8">
        <f t="shared" si="0"/>
        <v>24.619999999999891</v>
      </c>
      <c r="F61" s="8">
        <f t="shared" si="1"/>
        <v>-49.599999999999909</v>
      </c>
      <c r="H61" s="12">
        <f t="shared" si="2"/>
        <v>1.8717072839645053</v>
      </c>
    </row>
    <row r="62" spans="1:8" x14ac:dyDescent="0.25">
      <c r="A62" s="1">
        <v>44021</v>
      </c>
      <c r="B62" s="8">
        <v>3169.94</v>
      </c>
      <c r="C62" s="2">
        <v>2132.8000000000002</v>
      </c>
      <c r="E62" s="8">
        <f t="shared" si="0"/>
        <v>-17.889999999999873</v>
      </c>
      <c r="F62" s="8">
        <f t="shared" si="1"/>
        <v>35.199999999999818</v>
      </c>
      <c r="H62" s="12">
        <f t="shared" si="2"/>
        <v>1.863772372458915</v>
      </c>
    </row>
    <row r="63" spans="1:8" x14ac:dyDescent="0.25">
      <c r="A63" s="1">
        <v>44022</v>
      </c>
      <c r="B63" s="8">
        <v>3152.05</v>
      </c>
      <c r="C63" s="2">
        <v>2168</v>
      </c>
      <c r="E63" s="8">
        <f t="shared" si="0"/>
        <v>32.989999999999782</v>
      </c>
      <c r="F63" s="8">
        <f t="shared" si="1"/>
        <v>-55.199999999999818</v>
      </c>
      <c r="H63" s="12">
        <f t="shared" si="2"/>
        <v>1.8620918771018837</v>
      </c>
    </row>
    <row r="64" spans="1:8" x14ac:dyDescent="0.25">
      <c r="A64" s="1">
        <v>44025</v>
      </c>
      <c r="B64" s="8">
        <v>3185.04</v>
      </c>
      <c r="C64" s="2">
        <v>2112.8000000000002</v>
      </c>
      <c r="E64" s="8">
        <f t="shared" si="0"/>
        <v>-29.820000000000164</v>
      </c>
      <c r="F64" s="8">
        <f t="shared" si="1"/>
        <v>201.59999999999991</v>
      </c>
      <c r="H64" s="12">
        <f t="shared" si="2"/>
        <v>1.853155292975768</v>
      </c>
    </row>
    <row r="65" spans="1:8" x14ac:dyDescent="0.25">
      <c r="A65" s="1">
        <v>44026</v>
      </c>
      <c r="B65" s="8">
        <v>3155.22</v>
      </c>
      <c r="C65" s="2">
        <v>2314.4</v>
      </c>
      <c r="E65" s="8">
        <f t="shared" si="0"/>
        <v>42.300000000000182</v>
      </c>
      <c r="F65" s="8">
        <f t="shared" si="1"/>
        <v>-137.59999999999991</v>
      </c>
      <c r="H65" s="12">
        <f t="shared" si="2"/>
        <v>1.8612251683490366</v>
      </c>
    </row>
    <row r="66" spans="1:8" x14ac:dyDescent="0.25">
      <c r="A66" s="1">
        <v>44027</v>
      </c>
      <c r="B66" s="8">
        <v>3197.52</v>
      </c>
      <c r="C66" s="2">
        <v>2176.8000000000002</v>
      </c>
      <c r="E66" s="8">
        <f t="shared" si="0"/>
        <v>29.039999999999964</v>
      </c>
      <c r="F66" s="8">
        <f t="shared" si="1"/>
        <v>-57.600000000000364</v>
      </c>
      <c r="H66" s="12">
        <f t="shared" si="2"/>
        <v>1.8571734595400267</v>
      </c>
    </row>
    <row r="67" spans="1:8" x14ac:dyDescent="0.25">
      <c r="A67" s="1">
        <v>44028</v>
      </c>
      <c r="B67" s="8">
        <v>3226.56</v>
      </c>
      <c r="C67" s="2">
        <v>2119.1999999999998</v>
      </c>
      <c r="E67" s="8">
        <f t="shared" ref="E67:E130" si="3">B68-B67</f>
        <v>-10.989999999999782</v>
      </c>
      <c r="F67" s="8">
        <f t="shared" ref="F67:F130" si="4">C68-C67</f>
        <v>-38.399999999999636</v>
      </c>
      <c r="H67" s="12">
        <f t="shared" ref="H67:H130" si="5">LOG(_xlfn.STDEV.P(B67:B97))</f>
        <v>1.8748913852764872</v>
      </c>
    </row>
    <row r="68" spans="1:8" x14ac:dyDescent="0.25">
      <c r="A68" s="1">
        <v>44029</v>
      </c>
      <c r="B68" s="8">
        <v>3215.57</v>
      </c>
      <c r="C68" s="2">
        <v>2080.8000000000002</v>
      </c>
      <c r="E68" s="8">
        <f t="shared" si="3"/>
        <v>9.1599999999998545</v>
      </c>
      <c r="F68" s="8">
        <f t="shared" si="4"/>
        <v>-74.400000000000091</v>
      </c>
      <c r="H68" s="12">
        <f t="shared" si="5"/>
        <v>1.8951423605760334</v>
      </c>
    </row>
    <row r="69" spans="1:8" x14ac:dyDescent="0.25">
      <c r="A69" s="1">
        <v>44032</v>
      </c>
      <c r="B69" s="8">
        <v>3224.73</v>
      </c>
      <c r="C69" s="2">
        <v>2006.4</v>
      </c>
      <c r="E69" s="8">
        <f t="shared" si="3"/>
        <v>27.110000000000127</v>
      </c>
      <c r="F69" s="8">
        <f t="shared" si="4"/>
        <v>-92.800000000000182</v>
      </c>
      <c r="H69" s="12">
        <f t="shared" si="5"/>
        <v>1.914422843325307</v>
      </c>
    </row>
    <row r="70" spans="1:8" x14ac:dyDescent="0.25">
      <c r="A70" s="1">
        <v>44033</v>
      </c>
      <c r="B70" s="8">
        <v>3251.84</v>
      </c>
      <c r="C70" s="2">
        <v>1913.6</v>
      </c>
      <c r="E70" s="8">
        <f t="shared" si="3"/>
        <v>5.4600000000000364</v>
      </c>
      <c r="F70" s="8">
        <f t="shared" si="4"/>
        <v>16.800000000000182</v>
      </c>
      <c r="H70" s="12">
        <f t="shared" si="5"/>
        <v>1.9266311449779938</v>
      </c>
    </row>
    <row r="71" spans="1:8" x14ac:dyDescent="0.25">
      <c r="A71" s="1">
        <v>44034</v>
      </c>
      <c r="B71" s="8">
        <v>3257.3</v>
      </c>
      <c r="C71" s="2">
        <v>1930.4</v>
      </c>
      <c r="E71" s="8">
        <f t="shared" si="3"/>
        <v>18.7199999999998</v>
      </c>
      <c r="F71" s="8">
        <f t="shared" si="4"/>
        <v>-20.800000000000182</v>
      </c>
      <c r="H71" s="12">
        <f t="shared" si="5"/>
        <v>1.9471063654150265</v>
      </c>
    </row>
    <row r="72" spans="1:8" x14ac:dyDescent="0.25">
      <c r="A72" s="1">
        <v>44035</v>
      </c>
      <c r="B72" s="8">
        <v>3276.02</v>
      </c>
      <c r="C72" s="2">
        <v>1909.6</v>
      </c>
      <c r="E72" s="8">
        <f t="shared" si="3"/>
        <v>-40.360000000000127</v>
      </c>
      <c r="F72" s="8">
        <f t="shared" si="4"/>
        <v>58.400000000000091</v>
      </c>
      <c r="H72" s="12">
        <f t="shared" si="5"/>
        <v>1.9792725071946558</v>
      </c>
    </row>
    <row r="73" spans="1:8" x14ac:dyDescent="0.25">
      <c r="A73" s="1">
        <v>44036</v>
      </c>
      <c r="B73" s="8">
        <v>3235.66</v>
      </c>
      <c r="C73" s="2">
        <v>1968</v>
      </c>
      <c r="E73" s="8">
        <f t="shared" si="3"/>
        <v>-20.029999999999745</v>
      </c>
      <c r="F73" s="8">
        <f t="shared" si="4"/>
        <v>8</v>
      </c>
      <c r="H73" s="12">
        <f t="shared" si="5"/>
        <v>1.9788080617066266</v>
      </c>
    </row>
    <row r="74" spans="1:8" x14ac:dyDescent="0.25">
      <c r="A74" s="1">
        <v>44039</v>
      </c>
      <c r="B74" s="8">
        <v>3215.63</v>
      </c>
      <c r="C74" s="2">
        <v>1976</v>
      </c>
      <c r="E74" s="8">
        <f t="shared" si="3"/>
        <v>23.779999999999745</v>
      </c>
      <c r="F74" s="8">
        <f t="shared" si="4"/>
        <v>-55.200000000000045</v>
      </c>
      <c r="H74" s="12">
        <f t="shared" si="5"/>
        <v>1.9660655461761789</v>
      </c>
    </row>
    <row r="75" spans="1:8" x14ac:dyDescent="0.25">
      <c r="A75" s="1">
        <v>44040</v>
      </c>
      <c r="B75" s="8">
        <v>3239.41</v>
      </c>
      <c r="C75" s="2">
        <v>1920.8</v>
      </c>
      <c r="E75" s="8">
        <f t="shared" si="3"/>
        <v>-20.9699999999998</v>
      </c>
      <c r="F75" s="8">
        <f t="shared" si="4"/>
        <v>-11.200000000000045</v>
      </c>
      <c r="H75" s="12">
        <f t="shared" si="5"/>
        <v>1.9452209293227081</v>
      </c>
    </row>
    <row r="76" spans="1:8" x14ac:dyDescent="0.25">
      <c r="A76" s="1">
        <v>44041</v>
      </c>
      <c r="B76" s="8">
        <v>3218.44</v>
      </c>
      <c r="C76" s="2">
        <v>1909.6</v>
      </c>
      <c r="E76" s="8">
        <f t="shared" si="3"/>
        <v>40</v>
      </c>
      <c r="F76" s="8">
        <f t="shared" si="4"/>
        <v>-39.199999999999818</v>
      </c>
      <c r="H76" s="12">
        <f t="shared" si="5"/>
        <v>1.9261663586766127</v>
      </c>
    </row>
    <row r="77" spans="1:8" x14ac:dyDescent="0.25">
      <c r="A77" s="1">
        <v>44042</v>
      </c>
      <c r="B77" s="8">
        <v>3258.44</v>
      </c>
      <c r="C77" s="2">
        <v>1870.4</v>
      </c>
      <c r="E77" s="8">
        <f t="shared" si="3"/>
        <v>-12.220000000000255</v>
      </c>
      <c r="F77" s="8">
        <f t="shared" si="4"/>
        <v>44</v>
      </c>
      <c r="H77" s="12">
        <f t="shared" si="5"/>
        <v>1.8987664127998234</v>
      </c>
    </row>
    <row r="78" spans="1:8" x14ac:dyDescent="0.25">
      <c r="A78" s="1">
        <v>44043</v>
      </c>
      <c r="B78" s="8">
        <v>3246.22</v>
      </c>
      <c r="C78" s="2">
        <v>1914.4</v>
      </c>
      <c r="E78" s="8">
        <f t="shared" si="3"/>
        <v>24.900000000000091</v>
      </c>
      <c r="F78" s="8">
        <f t="shared" si="4"/>
        <v>-39.200000000000045</v>
      </c>
      <c r="H78" s="12">
        <f t="shared" si="5"/>
        <v>1.8813735840856769</v>
      </c>
    </row>
    <row r="79" spans="1:8" x14ac:dyDescent="0.25">
      <c r="A79" s="1">
        <v>44046</v>
      </c>
      <c r="B79" s="8">
        <v>3271.12</v>
      </c>
      <c r="C79" s="2">
        <v>1875.2</v>
      </c>
      <c r="E79" s="8">
        <f t="shared" si="3"/>
        <v>23.490000000000236</v>
      </c>
      <c r="F79" s="8">
        <f t="shared" si="4"/>
        <v>-11.200000000000045</v>
      </c>
      <c r="H79" s="12">
        <f t="shared" si="5"/>
        <v>1.8533770438495241</v>
      </c>
    </row>
    <row r="80" spans="1:8" x14ac:dyDescent="0.25">
      <c r="A80" s="1">
        <v>44047</v>
      </c>
      <c r="B80" s="8">
        <v>3294.61</v>
      </c>
      <c r="C80" s="2">
        <v>1864</v>
      </c>
      <c r="E80" s="8">
        <f t="shared" si="3"/>
        <v>11.900000000000091</v>
      </c>
      <c r="F80" s="8">
        <f t="shared" si="4"/>
        <v>-56</v>
      </c>
      <c r="H80" s="12">
        <f t="shared" si="5"/>
        <v>1.8299229774156858</v>
      </c>
    </row>
    <row r="81" spans="1:8" x14ac:dyDescent="0.25">
      <c r="A81" s="1">
        <v>44048</v>
      </c>
      <c r="B81" s="8">
        <v>3306.51</v>
      </c>
      <c r="C81" s="2">
        <v>1808</v>
      </c>
      <c r="E81" s="8">
        <f t="shared" si="3"/>
        <v>21.259999999999764</v>
      </c>
      <c r="F81" s="8">
        <f t="shared" si="4"/>
        <v>-36</v>
      </c>
      <c r="H81" s="12">
        <f t="shared" si="5"/>
        <v>1.8119895049372499</v>
      </c>
    </row>
    <row r="82" spans="1:8" x14ac:dyDescent="0.25">
      <c r="A82" s="1">
        <v>44049</v>
      </c>
      <c r="B82" s="8">
        <v>3327.77</v>
      </c>
      <c r="C82" s="2">
        <v>1772</v>
      </c>
      <c r="E82" s="8">
        <f t="shared" si="3"/>
        <v>21.389999999999873</v>
      </c>
      <c r="F82" s="8">
        <f t="shared" si="4"/>
        <v>-20</v>
      </c>
      <c r="H82" s="12">
        <f t="shared" si="5"/>
        <v>1.7994695626251613</v>
      </c>
    </row>
    <row r="83" spans="1:8" x14ac:dyDescent="0.25">
      <c r="A83" s="1">
        <v>44050</v>
      </c>
      <c r="B83" s="8">
        <v>3349.16</v>
      </c>
      <c r="C83" s="2">
        <v>1752</v>
      </c>
      <c r="E83" s="8">
        <f t="shared" si="3"/>
        <v>2.1200000000003456</v>
      </c>
      <c r="F83" s="8">
        <f t="shared" si="4"/>
        <v>-12</v>
      </c>
      <c r="H83" s="12">
        <f t="shared" si="5"/>
        <v>1.8018331260419995</v>
      </c>
    </row>
    <row r="84" spans="1:8" x14ac:dyDescent="0.25">
      <c r="A84" s="1">
        <v>44053</v>
      </c>
      <c r="B84" s="8">
        <v>3351.28</v>
      </c>
      <c r="C84" s="2">
        <v>1740</v>
      </c>
      <c r="E84" s="8">
        <f t="shared" si="3"/>
        <v>9.1899999999995998</v>
      </c>
      <c r="F84" s="8">
        <f t="shared" si="4"/>
        <v>-52</v>
      </c>
      <c r="H84" s="12">
        <f t="shared" si="5"/>
        <v>1.8218941278586724</v>
      </c>
    </row>
    <row r="85" spans="1:8" x14ac:dyDescent="0.25">
      <c r="A85" s="1">
        <v>44054</v>
      </c>
      <c r="B85" s="8">
        <v>3360.47</v>
      </c>
      <c r="C85" s="2">
        <v>1688</v>
      </c>
      <c r="E85" s="8">
        <f t="shared" si="3"/>
        <v>-26.779999999999745</v>
      </c>
      <c r="F85" s="8">
        <f t="shared" si="4"/>
        <v>79.200000000000045</v>
      </c>
      <c r="H85" s="12">
        <f t="shared" si="5"/>
        <v>1.8295352768550912</v>
      </c>
    </row>
    <row r="86" spans="1:8" x14ac:dyDescent="0.25">
      <c r="A86" s="1">
        <v>44055</v>
      </c>
      <c r="B86" s="8">
        <v>3333.69</v>
      </c>
      <c r="C86" s="2">
        <v>1767.2</v>
      </c>
      <c r="E86" s="8">
        <f t="shared" si="3"/>
        <v>46.659999999999854</v>
      </c>
      <c r="F86" s="8">
        <f t="shared" si="4"/>
        <v>-96</v>
      </c>
      <c r="H86" s="12">
        <f t="shared" si="5"/>
        <v>1.8647083638081956</v>
      </c>
    </row>
    <row r="87" spans="1:8" x14ac:dyDescent="0.25">
      <c r="A87" s="1">
        <v>44056</v>
      </c>
      <c r="B87" s="8">
        <v>3380.35</v>
      </c>
      <c r="C87" s="2">
        <v>1671.2</v>
      </c>
      <c r="E87" s="8">
        <f t="shared" si="3"/>
        <v>-6.9200000000000728</v>
      </c>
      <c r="F87" s="8">
        <f t="shared" si="4"/>
        <v>0</v>
      </c>
      <c r="H87" s="12">
        <f t="shared" si="5"/>
        <v>1.8875314403686883</v>
      </c>
    </row>
    <row r="88" spans="1:8" x14ac:dyDescent="0.25">
      <c r="A88" s="1">
        <v>44057</v>
      </c>
      <c r="B88" s="8">
        <v>3373.43</v>
      </c>
      <c r="C88" s="2">
        <v>1671.2</v>
      </c>
      <c r="E88" s="8">
        <f t="shared" si="3"/>
        <v>-0.57999999999992724</v>
      </c>
      <c r="F88" s="8">
        <f t="shared" si="4"/>
        <v>1.5999999999999091</v>
      </c>
      <c r="H88" s="12">
        <f t="shared" si="5"/>
        <v>1.8976488729778798</v>
      </c>
    </row>
    <row r="89" spans="1:8" x14ac:dyDescent="0.25">
      <c r="A89" s="1">
        <v>44060</v>
      </c>
      <c r="B89" s="8">
        <v>3372.85</v>
      </c>
      <c r="C89" s="2">
        <v>1672.8</v>
      </c>
      <c r="E89" s="8">
        <f t="shared" si="3"/>
        <v>9.1399999999998727</v>
      </c>
      <c r="F89" s="8">
        <f t="shared" si="4"/>
        <v>-64</v>
      </c>
      <c r="H89" s="12">
        <f t="shared" si="5"/>
        <v>1.8990651397816343</v>
      </c>
    </row>
    <row r="90" spans="1:8" x14ac:dyDescent="0.25">
      <c r="A90" s="1">
        <v>44061</v>
      </c>
      <c r="B90" s="8">
        <v>3381.99</v>
      </c>
      <c r="C90" s="2">
        <v>1608.8</v>
      </c>
      <c r="E90" s="8">
        <f t="shared" si="3"/>
        <v>7.7900000000004184</v>
      </c>
      <c r="F90" s="8">
        <f t="shared" si="4"/>
        <v>-15.200000000000045</v>
      </c>
      <c r="H90" s="12">
        <f t="shared" si="5"/>
        <v>1.9020781801326301</v>
      </c>
    </row>
    <row r="91" spans="1:8" x14ac:dyDescent="0.25">
      <c r="A91" s="1">
        <v>44062</v>
      </c>
      <c r="B91" s="8">
        <v>3389.78</v>
      </c>
      <c r="C91" s="2">
        <v>1593.6</v>
      </c>
      <c r="E91" s="8">
        <f t="shared" si="3"/>
        <v>-14.930000000000291</v>
      </c>
      <c r="F91" s="8">
        <f t="shared" si="4"/>
        <v>31.200000000000045</v>
      </c>
      <c r="H91" s="12">
        <f t="shared" si="5"/>
        <v>1.9027934376110422</v>
      </c>
    </row>
    <row r="92" spans="1:8" x14ac:dyDescent="0.25">
      <c r="A92" s="1">
        <v>44063</v>
      </c>
      <c r="B92" s="8">
        <v>3374.85</v>
      </c>
      <c r="C92" s="2">
        <v>1624.8</v>
      </c>
      <c r="E92" s="8">
        <f t="shared" si="3"/>
        <v>10.660000000000309</v>
      </c>
      <c r="F92" s="8">
        <f t="shared" si="4"/>
        <v>-17.599999999999909</v>
      </c>
      <c r="H92" s="12">
        <f t="shared" si="5"/>
        <v>1.9028703627989005</v>
      </c>
    </row>
    <row r="93" spans="1:8" x14ac:dyDescent="0.25">
      <c r="A93" s="1">
        <v>44064</v>
      </c>
      <c r="B93" s="8">
        <v>3385.51</v>
      </c>
      <c r="C93" s="2">
        <v>1607.2</v>
      </c>
      <c r="E93" s="8">
        <f t="shared" si="3"/>
        <v>11.649999999999636</v>
      </c>
      <c r="F93" s="8">
        <f t="shared" si="4"/>
        <v>7.2000000000000455</v>
      </c>
      <c r="H93" s="12">
        <f t="shared" si="5"/>
        <v>1.9044279949373206</v>
      </c>
    </row>
    <row r="94" spans="1:8" x14ac:dyDescent="0.25">
      <c r="A94" s="1">
        <v>44067</v>
      </c>
      <c r="B94" s="8">
        <v>3397.16</v>
      </c>
      <c r="C94" s="2">
        <v>1614.4</v>
      </c>
      <c r="E94" s="8">
        <f t="shared" si="3"/>
        <v>34.120000000000346</v>
      </c>
      <c r="F94" s="8">
        <f t="shared" si="4"/>
        <v>-5.6000000000001364</v>
      </c>
      <c r="H94" s="12">
        <f t="shared" si="5"/>
        <v>1.9048536196108026</v>
      </c>
    </row>
    <row r="95" spans="1:8" x14ac:dyDescent="0.25">
      <c r="A95" s="1">
        <v>44068</v>
      </c>
      <c r="B95" s="8">
        <v>3431.28</v>
      </c>
      <c r="C95" s="2">
        <v>1608.8</v>
      </c>
      <c r="E95" s="8">
        <f t="shared" si="3"/>
        <v>12.339999999999691</v>
      </c>
      <c r="F95" s="8">
        <f t="shared" si="4"/>
        <v>-11.200000000000045</v>
      </c>
      <c r="H95" s="12">
        <f t="shared" si="5"/>
        <v>1.9055829710190009</v>
      </c>
    </row>
    <row r="96" spans="1:8" x14ac:dyDescent="0.25">
      <c r="A96" s="1">
        <v>44069</v>
      </c>
      <c r="B96" s="8">
        <v>3443.62</v>
      </c>
      <c r="C96" s="2">
        <v>1597.6</v>
      </c>
      <c r="E96" s="8">
        <f t="shared" si="3"/>
        <v>35.110000000000127</v>
      </c>
      <c r="F96" s="8">
        <f t="shared" si="4"/>
        <v>36.800000000000182</v>
      </c>
      <c r="H96" s="12">
        <f t="shared" si="5"/>
        <v>1.9046130175101685</v>
      </c>
    </row>
    <row r="97" spans="1:8" x14ac:dyDescent="0.25">
      <c r="A97" s="1">
        <v>44070</v>
      </c>
      <c r="B97" s="8">
        <v>3478.73</v>
      </c>
      <c r="C97" s="2">
        <v>1634.4</v>
      </c>
      <c r="E97" s="8">
        <f t="shared" si="3"/>
        <v>5.8200000000001637</v>
      </c>
      <c r="F97" s="8">
        <f t="shared" si="4"/>
        <v>52</v>
      </c>
      <c r="H97" s="12">
        <f t="shared" si="5"/>
        <v>1.9050157805920005</v>
      </c>
    </row>
    <row r="98" spans="1:8" x14ac:dyDescent="0.25">
      <c r="A98" s="1">
        <v>44071</v>
      </c>
      <c r="B98" s="8">
        <v>3484.55</v>
      </c>
      <c r="C98" s="2">
        <v>1686.4</v>
      </c>
      <c r="E98" s="8">
        <f t="shared" si="3"/>
        <v>23.460000000000036</v>
      </c>
      <c r="F98" s="8">
        <f t="shared" si="4"/>
        <v>-8.8000000000001819</v>
      </c>
      <c r="H98" s="12">
        <f t="shared" si="5"/>
        <v>1.9047034902411313</v>
      </c>
    </row>
    <row r="99" spans="1:8" x14ac:dyDescent="0.25">
      <c r="A99" s="1">
        <v>44074</v>
      </c>
      <c r="B99" s="8">
        <v>3508.01</v>
      </c>
      <c r="C99" s="2">
        <v>1677.6</v>
      </c>
      <c r="E99" s="8">
        <f t="shared" si="3"/>
        <v>-7.7000000000002728</v>
      </c>
      <c r="F99" s="8">
        <f t="shared" si="4"/>
        <v>80</v>
      </c>
      <c r="H99" s="12">
        <f t="shared" si="5"/>
        <v>1.9173981867297683</v>
      </c>
    </row>
    <row r="100" spans="1:8" x14ac:dyDescent="0.25">
      <c r="A100" s="1">
        <v>44075</v>
      </c>
      <c r="B100" s="8">
        <v>3500.31</v>
      </c>
      <c r="C100" s="2">
        <v>1757.6</v>
      </c>
      <c r="E100" s="8">
        <f t="shared" si="3"/>
        <v>26.340000000000146</v>
      </c>
      <c r="F100" s="8">
        <f t="shared" si="4"/>
        <v>32</v>
      </c>
      <c r="H100" s="12">
        <f t="shared" si="5"/>
        <v>1.9183669319376067</v>
      </c>
    </row>
    <row r="101" spans="1:8" x14ac:dyDescent="0.25">
      <c r="A101" s="1">
        <v>44076</v>
      </c>
      <c r="B101" s="8">
        <v>3526.65</v>
      </c>
      <c r="C101" s="2">
        <v>1789.6</v>
      </c>
      <c r="E101" s="8">
        <f t="shared" si="3"/>
        <v>54.190000000000055</v>
      </c>
      <c r="F101" s="8">
        <f t="shared" si="4"/>
        <v>48</v>
      </c>
      <c r="H101" s="12">
        <f t="shared" si="5"/>
        <v>1.9158468664783801</v>
      </c>
    </row>
    <row r="102" spans="1:8" x14ac:dyDescent="0.25">
      <c r="A102" s="1">
        <v>44077</v>
      </c>
      <c r="B102" s="8">
        <v>3580.84</v>
      </c>
      <c r="C102" s="2">
        <v>1837.6</v>
      </c>
      <c r="E102" s="8">
        <f t="shared" si="3"/>
        <v>-125.7800000000002</v>
      </c>
      <c r="F102" s="8">
        <f t="shared" si="4"/>
        <v>243.20000000000027</v>
      </c>
      <c r="H102" s="12">
        <f t="shared" si="5"/>
        <v>1.9051374799387033</v>
      </c>
    </row>
    <row r="103" spans="1:8" x14ac:dyDescent="0.25">
      <c r="A103" s="1">
        <v>44078</v>
      </c>
      <c r="B103" s="8">
        <v>3455.06</v>
      </c>
      <c r="C103" s="2">
        <v>2080.8000000000002</v>
      </c>
      <c r="E103" s="8">
        <f t="shared" si="3"/>
        <v>-28.099999999999909</v>
      </c>
      <c r="F103" s="8">
        <f t="shared" si="4"/>
        <v>-173.60000000000014</v>
      </c>
      <c r="H103" s="12">
        <f t="shared" si="5"/>
        <v>1.8718973630149405</v>
      </c>
    </row>
    <row r="104" spans="1:8" x14ac:dyDescent="0.25">
      <c r="A104" s="1">
        <v>44082</v>
      </c>
      <c r="B104" s="8">
        <v>3426.96</v>
      </c>
      <c r="C104" s="2">
        <v>1907.2</v>
      </c>
      <c r="E104" s="8">
        <f t="shared" si="3"/>
        <v>-95.119999999999891</v>
      </c>
      <c r="F104" s="8">
        <f t="shared" si="4"/>
        <v>-54.400000000000091</v>
      </c>
      <c r="H104" s="12">
        <f t="shared" si="5"/>
        <v>1.8677933576832983</v>
      </c>
    </row>
    <row r="105" spans="1:8" x14ac:dyDescent="0.25">
      <c r="A105" s="1">
        <v>44083</v>
      </c>
      <c r="B105" s="8">
        <v>3331.84</v>
      </c>
      <c r="C105" s="2">
        <v>1852.8</v>
      </c>
      <c r="E105" s="8">
        <f t="shared" si="3"/>
        <v>67.119999999999891</v>
      </c>
      <c r="F105" s="8">
        <f t="shared" si="4"/>
        <v>-93.599999999999909</v>
      </c>
      <c r="H105" s="12">
        <f t="shared" si="5"/>
        <v>1.8699225275093283</v>
      </c>
    </row>
    <row r="106" spans="1:8" x14ac:dyDescent="0.25">
      <c r="A106" s="1">
        <v>44084</v>
      </c>
      <c r="B106" s="8">
        <v>3398.96</v>
      </c>
      <c r="C106" s="2">
        <v>1759.2</v>
      </c>
      <c r="E106" s="8">
        <f t="shared" si="3"/>
        <v>-59.769999999999982</v>
      </c>
      <c r="F106" s="8">
        <f t="shared" si="4"/>
        <v>20</v>
      </c>
      <c r="H106" s="12">
        <f t="shared" si="5"/>
        <v>1.8694295554218345</v>
      </c>
    </row>
    <row r="107" spans="1:8" x14ac:dyDescent="0.25">
      <c r="A107" s="1">
        <v>44085</v>
      </c>
      <c r="B107" s="8">
        <v>3339.19</v>
      </c>
      <c r="C107" s="2">
        <v>1779.2</v>
      </c>
      <c r="E107" s="8">
        <f t="shared" si="3"/>
        <v>1.7799999999997453</v>
      </c>
      <c r="F107" s="8">
        <f t="shared" si="4"/>
        <v>-108.79999999999995</v>
      </c>
      <c r="H107" s="12">
        <f t="shared" si="5"/>
        <v>1.8746775146545744</v>
      </c>
    </row>
    <row r="108" spans="1:8" x14ac:dyDescent="0.25">
      <c r="A108" s="1">
        <v>44088</v>
      </c>
      <c r="B108" s="8">
        <v>3340.97</v>
      </c>
      <c r="C108" s="2">
        <v>1670.4</v>
      </c>
      <c r="E108" s="8">
        <f t="shared" si="3"/>
        <v>42.570000000000164</v>
      </c>
      <c r="F108" s="8">
        <f t="shared" si="4"/>
        <v>-26.400000000000091</v>
      </c>
      <c r="H108" s="12">
        <f t="shared" si="5"/>
        <v>1.8781945832749585</v>
      </c>
    </row>
    <row r="109" spans="1:8" x14ac:dyDescent="0.25">
      <c r="A109" s="1">
        <v>44089</v>
      </c>
      <c r="B109" s="8">
        <v>3383.54</v>
      </c>
      <c r="C109" s="2">
        <v>1644</v>
      </c>
      <c r="E109" s="8">
        <f t="shared" si="3"/>
        <v>17.659999999999854</v>
      </c>
      <c r="F109" s="8">
        <f t="shared" si="4"/>
        <v>-0.79999999999995453</v>
      </c>
      <c r="H109" s="12">
        <f t="shared" si="5"/>
        <v>1.874770803596032</v>
      </c>
    </row>
    <row r="110" spans="1:8" x14ac:dyDescent="0.25">
      <c r="A110" s="1">
        <v>44090</v>
      </c>
      <c r="B110" s="8">
        <v>3401.2</v>
      </c>
      <c r="C110" s="2">
        <v>1643.2</v>
      </c>
      <c r="E110" s="8">
        <f t="shared" si="3"/>
        <v>-15.710000000000036</v>
      </c>
      <c r="F110" s="8">
        <f t="shared" si="4"/>
        <v>-9.6000000000001364</v>
      </c>
      <c r="H110" s="12">
        <f t="shared" si="5"/>
        <v>1.8746282126692333</v>
      </c>
    </row>
    <row r="111" spans="1:8" x14ac:dyDescent="0.25">
      <c r="A111" s="1">
        <v>44091</v>
      </c>
      <c r="B111" s="8">
        <v>3385.49</v>
      </c>
      <c r="C111" s="2">
        <v>1633.6</v>
      </c>
      <c r="E111" s="8">
        <f t="shared" si="3"/>
        <v>-28.479999999999563</v>
      </c>
      <c r="F111" s="8">
        <f t="shared" si="4"/>
        <v>-36</v>
      </c>
      <c r="H111" s="12">
        <f t="shared" si="5"/>
        <v>1.8924018968319958</v>
      </c>
    </row>
    <row r="112" spans="1:8" x14ac:dyDescent="0.25">
      <c r="A112" s="1">
        <v>44092</v>
      </c>
      <c r="B112" s="8">
        <v>3357.01</v>
      </c>
      <c r="C112" s="2">
        <v>1597.6</v>
      </c>
      <c r="E112" s="8">
        <f t="shared" si="3"/>
        <v>-37.540000000000418</v>
      </c>
      <c r="F112" s="8">
        <f t="shared" si="4"/>
        <v>0.8000000000001819</v>
      </c>
      <c r="H112" s="12">
        <f t="shared" si="5"/>
        <v>1.8995650052926145</v>
      </c>
    </row>
    <row r="113" spans="1:8" x14ac:dyDescent="0.25">
      <c r="A113" s="1">
        <v>44095</v>
      </c>
      <c r="B113" s="8">
        <v>3319.47</v>
      </c>
      <c r="C113" s="2">
        <v>1598.4</v>
      </c>
      <c r="E113" s="8">
        <f t="shared" si="3"/>
        <v>-38.409999999999854</v>
      </c>
      <c r="F113" s="8">
        <f t="shared" si="4"/>
        <v>52.799999999999955</v>
      </c>
      <c r="H113" s="12">
        <f t="shared" si="5"/>
        <v>1.9133908722047068</v>
      </c>
    </row>
    <row r="114" spans="1:8" x14ac:dyDescent="0.25">
      <c r="A114" s="1">
        <v>44096</v>
      </c>
      <c r="B114" s="8">
        <v>3281.06</v>
      </c>
      <c r="C114" s="2">
        <v>1651.2</v>
      </c>
      <c r="E114" s="8">
        <f t="shared" si="3"/>
        <v>34.510000000000218</v>
      </c>
      <c r="F114" s="8">
        <f t="shared" si="4"/>
        <v>11.200000000000045</v>
      </c>
      <c r="H114" s="12">
        <f t="shared" si="5"/>
        <v>1.9147505632348205</v>
      </c>
    </row>
    <row r="115" spans="1:8" x14ac:dyDescent="0.25">
      <c r="A115" s="1">
        <v>44097</v>
      </c>
      <c r="B115" s="8">
        <v>3315.57</v>
      </c>
      <c r="C115" s="2">
        <v>1662.4</v>
      </c>
      <c r="E115" s="8">
        <f t="shared" si="3"/>
        <v>-78.650000000000091</v>
      </c>
      <c r="F115" s="8">
        <f t="shared" si="4"/>
        <v>88.799999999999955</v>
      </c>
      <c r="H115" s="12">
        <f t="shared" si="5"/>
        <v>1.9031502820231532</v>
      </c>
    </row>
    <row r="116" spans="1:8" x14ac:dyDescent="0.25">
      <c r="A116" s="1">
        <v>44098</v>
      </c>
      <c r="B116" s="8">
        <v>3236.92</v>
      </c>
      <c r="C116" s="2">
        <v>1751.2</v>
      </c>
      <c r="E116" s="8">
        <f t="shared" si="3"/>
        <v>9.6700000000000728</v>
      </c>
      <c r="F116" s="8">
        <f t="shared" si="4"/>
        <v>-31.200000000000045</v>
      </c>
      <c r="H116" s="12">
        <f t="shared" si="5"/>
        <v>1.9000804583418864</v>
      </c>
    </row>
    <row r="117" spans="1:8" x14ac:dyDescent="0.25">
      <c r="A117" s="1">
        <v>44099</v>
      </c>
      <c r="B117" s="8">
        <v>3246.59</v>
      </c>
      <c r="C117" s="2">
        <v>1720</v>
      </c>
      <c r="E117" s="8">
        <f t="shared" si="3"/>
        <v>51.869999999999891</v>
      </c>
      <c r="F117" s="8">
        <f t="shared" si="4"/>
        <v>-46.400000000000091</v>
      </c>
      <c r="H117" s="12">
        <f t="shared" si="5"/>
        <v>1.8855261316049876</v>
      </c>
    </row>
    <row r="118" spans="1:8" x14ac:dyDescent="0.25">
      <c r="A118" s="1">
        <v>44102</v>
      </c>
      <c r="B118" s="8">
        <v>3298.46</v>
      </c>
      <c r="C118" s="2">
        <v>1673.6</v>
      </c>
      <c r="E118" s="8">
        <f t="shared" si="3"/>
        <v>53.139999999999873</v>
      </c>
      <c r="F118" s="8">
        <f t="shared" si="4"/>
        <v>-5.5999999999999091</v>
      </c>
      <c r="H118" s="12">
        <f t="shared" si="5"/>
        <v>1.8676487765107681</v>
      </c>
    </row>
    <row r="119" spans="1:8" x14ac:dyDescent="0.25">
      <c r="A119" s="1">
        <v>44103</v>
      </c>
      <c r="B119" s="8">
        <v>3351.6</v>
      </c>
      <c r="C119" s="2">
        <v>1668</v>
      </c>
      <c r="E119" s="8">
        <f t="shared" si="3"/>
        <v>-16.130000000000109</v>
      </c>
      <c r="F119" s="8">
        <f t="shared" si="4"/>
        <v>-32.799999999999955</v>
      </c>
      <c r="H119" s="12">
        <f t="shared" si="5"/>
        <v>1.8744593168553878</v>
      </c>
    </row>
    <row r="120" spans="1:8" x14ac:dyDescent="0.25">
      <c r="A120" s="1">
        <v>44104</v>
      </c>
      <c r="B120" s="8">
        <v>3335.47</v>
      </c>
      <c r="C120" s="2">
        <v>1635.2</v>
      </c>
      <c r="E120" s="8">
        <f t="shared" si="3"/>
        <v>27.5300000000002</v>
      </c>
      <c r="F120" s="8">
        <f t="shared" si="4"/>
        <v>-2.4000000000000909</v>
      </c>
      <c r="H120" s="12">
        <f t="shared" si="5"/>
        <v>1.8874059810266768</v>
      </c>
    </row>
    <row r="121" spans="1:8" x14ac:dyDescent="0.25">
      <c r="A121" s="1">
        <v>44105</v>
      </c>
      <c r="B121" s="8">
        <v>3363</v>
      </c>
      <c r="C121" s="2">
        <v>1632.8</v>
      </c>
      <c r="E121" s="8">
        <f t="shared" si="3"/>
        <v>17.800000000000182</v>
      </c>
      <c r="F121" s="8">
        <f t="shared" si="4"/>
        <v>8</v>
      </c>
      <c r="H121" s="12">
        <f t="shared" si="5"/>
        <v>1.901499246209496</v>
      </c>
    </row>
    <row r="122" spans="1:8" x14ac:dyDescent="0.25">
      <c r="A122" s="1">
        <v>44106</v>
      </c>
      <c r="B122" s="8">
        <v>3380.8</v>
      </c>
      <c r="C122" s="2">
        <v>1640.8</v>
      </c>
      <c r="E122" s="8">
        <f t="shared" si="3"/>
        <v>-32.380000000000109</v>
      </c>
      <c r="F122" s="8">
        <f t="shared" si="4"/>
        <v>46.400000000000091</v>
      </c>
      <c r="H122" s="12">
        <f t="shared" si="5"/>
        <v>1.907328501467606</v>
      </c>
    </row>
    <row r="123" spans="1:8" x14ac:dyDescent="0.25">
      <c r="A123" s="1">
        <v>44109</v>
      </c>
      <c r="B123" s="8">
        <v>3348.42</v>
      </c>
      <c r="C123" s="2">
        <v>1687.2</v>
      </c>
      <c r="E123" s="8">
        <f t="shared" si="3"/>
        <v>60.179999999999836</v>
      </c>
      <c r="F123" s="8">
        <f t="shared" si="4"/>
        <v>-49.600000000000136</v>
      </c>
      <c r="H123" s="12">
        <f t="shared" si="5"/>
        <v>1.9251198934323279</v>
      </c>
    </row>
    <row r="124" spans="1:8" x14ac:dyDescent="0.25">
      <c r="A124" s="1">
        <v>44110</v>
      </c>
      <c r="B124" s="8">
        <v>3408.6</v>
      </c>
      <c r="C124" s="2">
        <v>1637.6</v>
      </c>
      <c r="E124" s="8">
        <f t="shared" si="3"/>
        <v>-47.630000000000109</v>
      </c>
      <c r="F124" s="8">
        <f t="shared" si="4"/>
        <v>20.800000000000182</v>
      </c>
      <c r="H124" s="12">
        <f t="shared" si="5"/>
        <v>1.9456876672135472</v>
      </c>
    </row>
    <row r="125" spans="1:8" x14ac:dyDescent="0.25">
      <c r="A125" s="1">
        <v>44111</v>
      </c>
      <c r="B125" s="8">
        <v>3360.97</v>
      </c>
      <c r="C125" s="2">
        <v>1658.4</v>
      </c>
      <c r="E125" s="8">
        <f t="shared" si="3"/>
        <v>58.470000000000255</v>
      </c>
      <c r="F125" s="8">
        <f t="shared" si="4"/>
        <v>-52</v>
      </c>
      <c r="H125" s="12">
        <f t="shared" si="5"/>
        <v>1.9639930366114424</v>
      </c>
    </row>
    <row r="126" spans="1:8" x14ac:dyDescent="0.25">
      <c r="A126" s="1">
        <v>44112</v>
      </c>
      <c r="B126" s="8">
        <v>3419.44</v>
      </c>
      <c r="C126" s="2">
        <v>1606.4</v>
      </c>
      <c r="E126" s="8">
        <f t="shared" si="3"/>
        <v>27.389999999999873</v>
      </c>
      <c r="F126" s="8">
        <f t="shared" si="4"/>
        <v>-63.200000000000045</v>
      </c>
      <c r="H126" s="12">
        <f t="shared" si="5"/>
        <v>1.9645304180326222</v>
      </c>
    </row>
    <row r="127" spans="1:8" x14ac:dyDescent="0.25">
      <c r="A127" s="1">
        <v>44113</v>
      </c>
      <c r="B127" s="8">
        <v>3446.83</v>
      </c>
      <c r="C127" s="2">
        <v>1543.2</v>
      </c>
      <c r="E127" s="8">
        <f t="shared" si="3"/>
        <v>30.309999999999945</v>
      </c>
      <c r="F127" s="8">
        <f t="shared" si="4"/>
        <v>-81.600000000000136</v>
      </c>
      <c r="H127" s="12">
        <f t="shared" si="5"/>
        <v>1.9729116810112126</v>
      </c>
    </row>
    <row r="128" spans="1:8" x14ac:dyDescent="0.25">
      <c r="A128" s="1">
        <v>44116</v>
      </c>
      <c r="B128" s="8">
        <v>3477.14</v>
      </c>
      <c r="C128" s="2">
        <v>1461.6</v>
      </c>
      <c r="E128" s="8">
        <f t="shared" si="3"/>
        <v>57.079999999999927</v>
      </c>
      <c r="F128" s="8">
        <f t="shared" si="4"/>
        <v>-27.199999999999818</v>
      </c>
      <c r="H128" s="12">
        <f t="shared" si="5"/>
        <v>1.977951219649652</v>
      </c>
    </row>
    <row r="129" spans="1:8" x14ac:dyDescent="0.25">
      <c r="A129" s="1">
        <v>44117</v>
      </c>
      <c r="B129" s="8">
        <v>3534.22</v>
      </c>
      <c r="C129" s="2">
        <v>1434.4</v>
      </c>
      <c r="E129" s="8">
        <f t="shared" si="3"/>
        <v>-22.289999999999964</v>
      </c>
      <c r="F129" s="8">
        <f t="shared" si="4"/>
        <v>15.199999999999818</v>
      </c>
      <c r="H129" s="12">
        <f t="shared" si="5"/>
        <v>1.985722013677655</v>
      </c>
    </row>
    <row r="130" spans="1:8" x14ac:dyDescent="0.25">
      <c r="A130" s="1">
        <v>44118</v>
      </c>
      <c r="B130" s="8">
        <v>3511.93</v>
      </c>
      <c r="C130" s="2">
        <v>1449.6</v>
      </c>
      <c r="E130" s="8">
        <f t="shared" si="3"/>
        <v>-23.259999999999764</v>
      </c>
      <c r="F130" s="8">
        <f t="shared" si="4"/>
        <v>-12</v>
      </c>
      <c r="H130" s="12">
        <f t="shared" si="5"/>
        <v>2.0010621656774257</v>
      </c>
    </row>
    <row r="131" spans="1:8" x14ac:dyDescent="0.25">
      <c r="A131" s="1">
        <v>44119</v>
      </c>
      <c r="B131" s="8">
        <v>3488.67</v>
      </c>
      <c r="C131" s="2">
        <v>1437.6</v>
      </c>
      <c r="E131" s="8">
        <f t="shared" ref="E131:E194" si="6">B132-B131</f>
        <v>-5.3299999999999272</v>
      </c>
      <c r="F131" s="8">
        <f t="shared" ref="F131:F194" si="7">C132-C131</f>
        <v>11.200000000000045</v>
      </c>
      <c r="H131" s="12">
        <f t="shared" ref="H131:H194" si="8">LOG(_xlfn.STDEV.P(B131:B161))</f>
        <v>2.0149570850660807</v>
      </c>
    </row>
    <row r="132" spans="1:8" x14ac:dyDescent="0.25">
      <c r="A132" s="1">
        <v>44120</v>
      </c>
      <c r="B132" s="8">
        <v>3483.34</v>
      </c>
      <c r="C132" s="2">
        <v>1448.8</v>
      </c>
      <c r="E132" s="8">
        <f t="shared" si="6"/>
        <v>0.46999999999979991</v>
      </c>
      <c r="F132" s="8">
        <f t="shared" si="7"/>
        <v>9.6000000000001364</v>
      </c>
      <c r="H132" s="12">
        <f t="shared" si="8"/>
        <v>2.029316407432781</v>
      </c>
    </row>
    <row r="133" spans="1:8" x14ac:dyDescent="0.25">
      <c r="A133" s="1">
        <v>44123</v>
      </c>
      <c r="B133" s="8">
        <v>3483.81</v>
      </c>
      <c r="C133" s="2">
        <v>1458.4</v>
      </c>
      <c r="E133" s="8">
        <f t="shared" si="6"/>
        <v>-56.889999999999873</v>
      </c>
      <c r="F133" s="8">
        <f t="shared" si="7"/>
        <v>64.799999999999955</v>
      </c>
      <c r="H133" s="12">
        <f t="shared" si="8"/>
        <v>2.0392698605436119</v>
      </c>
    </row>
    <row r="134" spans="1:8" x14ac:dyDescent="0.25">
      <c r="A134" s="1">
        <v>44124</v>
      </c>
      <c r="B134" s="8">
        <v>3426.92</v>
      </c>
      <c r="C134" s="2">
        <v>1523.2</v>
      </c>
      <c r="E134" s="8">
        <f t="shared" si="6"/>
        <v>16.199999999999818</v>
      </c>
      <c r="F134" s="8">
        <f t="shared" si="7"/>
        <v>-0.79999999999995453</v>
      </c>
      <c r="H134" s="12">
        <f t="shared" si="8"/>
        <v>2.0545324326420422</v>
      </c>
    </row>
    <row r="135" spans="1:8" x14ac:dyDescent="0.25">
      <c r="A135" s="1">
        <v>44125</v>
      </c>
      <c r="B135" s="8">
        <v>3443.12</v>
      </c>
      <c r="C135" s="2">
        <v>1522.4</v>
      </c>
      <c r="E135" s="8">
        <f t="shared" si="6"/>
        <v>-7.5599999999999454</v>
      </c>
      <c r="F135" s="8">
        <f t="shared" si="7"/>
        <v>-36.800000000000182</v>
      </c>
      <c r="H135" s="12">
        <f t="shared" si="8"/>
        <v>2.0657796658492154</v>
      </c>
    </row>
    <row r="136" spans="1:8" x14ac:dyDescent="0.25">
      <c r="A136" s="1">
        <v>44126</v>
      </c>
      <c r="B136" s="8">
        <v>3435.56</v>
      </c>
      <c r="C136" s="2">
        <v>1485.6</v>
      </c>
      <c r="E136" s="8">
        <f t="shared" si="6"/>
        <v>17.929999999999836</v>
      </c>
      <c r="F136" s="8">
        <f t="shared" si="7"/>
        <v>-33.599999999999909</v>
      </c>
      <c r="H136" s="12">
        <f t="shared" si="8"/>
        <v>2.0755515403744003</v>
      </c>
    </row>
    <row r="137" spans="1:8" x14ac:dyDescent="0.25">
      <c r="A137" s="1">
        <v>44127</v>
      </c>
      <c r="B137" s="8">
        <v>3453.49</v>
      </c>
      <c r="C137" s="2">
        <v>1452</v>
      </c>
      <c r="E137" s="8">
        <f t="shared" si="6"/>
        <v>11.900000000000091</v>
      </c>
      <c r="F137" s="8">
        <f t="shared" si="7"/>
        <v>1.5999999999999091</v>
      </c>
      <c r="H137" s="12">
        <f t="shared" si="8"/>
        <v>2.0876601048203587</v>
      </c>
    </row>
    <row r="138" spans="1:8" x14ac:dyDescent="0.25">
      <c r="A138" s="1">
        <v>44130</v>
      </c>
      <c r="B138" s="8">
        <v>3465.39</v>
      </c>
      <c r="C138" s="2">
        <v>1453.6</v>
      </c>
      <c r="E138" s="8">
        <f t="shared" si="6"/>
        <v>-64.420000000000073</v>
      </c>
      <c r="F138" s="8">
        <f t="shared" si="7"/>
        <v>127.20000000000005</v>
      </c>
      <c r="H138" s="12">
        <f t="shared" si="8"/>
        <v>2.0974852897928411</v>
      </c>
    </row>
    <row r="139" spans="1:8" x14ac:dyDescent="0.25">
      <c r="A139" s="1">
        <v>44131</v>
      </c>
      <c r="B139" s="8">
        <v>3400.97</v>
      </c>
      <c r="C139" s="2">
        <v>1580.8</v>
      </c>
      <c r="E139" s="8">
        <f t="shared" si="6"/>
        <v>-10.289999999999964</v>
      </c>
      <c r="F139" s="8">
        <f t="shared" si="7"/>
        <v>7.2000000000000455</v>
      </c>
      <c r="H139" s="12">
        <f t="shared" si="8"/>
        <v>2.1075174652039466</v>
      </c>
    </row>
    <row r="140" spans="1:8" x14ac:dyDescent="0.25">
      <c r="A140" s="1">
        <v>44132</v>
      </c>
      <c r="B140" s="8">
        <v>3390.68</v>
      </c>
      <c r="C140" s="2">
        <v>1588</v>
      </c>
      <c r="E140" s="8">
        <f t="shared" si="6"/>
        <v>-119.64999999999964</v>
      </c>
      <c r="F140" s="8">
        <f t="shared" si="7"/>
        <v>228.79999999999995</v>
      </c>
      <c r="H140" s="12">
        <f t="shared" si="8"/>
        <v>2.1059672829300449</v>
      </c>
    </row>
    <row r="141" spans="1:8" x14ac:dyDescent="0.25">
      <c r="A141" s="1">
        <v>44133</v>
      </c>
      <c r="B141" s="8">
        <v>3271.03</v>
      </c>
      <c r="C141" s="2">
        <v>1816.8</v>
      </c>
      <c r="E141" s="8">
        <f t="shared" si="6"/>
        <v>39.079999999999927</v>
      </c>
      <c r="F141" s="8">
        <f t="shared" si="7"/>
        <v>-152.79999999999995</v>
      </c>
      <c r="H141" s="12">
        <f t="shared" si="8"/>
        <v>2.1004049464427301</v>
      </c>
    </row>
    <row r="142" spans="1:8" x14ac:dyDescent="0.25">
      <c r="A142" s="1">
        <v>44134</v>
      </c>
      <c r="B142" s="8">
        <v>3310.11</v>
      </c>
      <c r="C142" s="2">
        <v>1664</v>
      </c>
      <c r="E142" s="8">
        <f t="shared" si="6"/>
        <v>-40.150000000000091</v>
      </c>
      <c r="F142" s="8">
        <f t="shared" si="7"/>
        <v>74.400000000000091</v>
      </c>
      <c r="H142" s="12">
        <f t="shared" si="8"/>
        <v>2.0643417329589715</v>
      </c>
    </row>
    <row r="143" spans="1:8" x14ac:dyDescent="0.25">
      <c r="A143" s="1">
        <v>44137</v>
      </c>
      <c r="B143" s="8">
        <v>3269.96</v>
      </c>
      <c r="C143" s="2">
        <v>1738.4</v>
      </c>
      <c r="E143" s="8">
        <f t="shared" si="6"/>
        <v>40.279999999999745</v>
      </c>
      <c r="F143" s="8">
        <f t="shared" si="7"/>
        <v>-37.600000000000136</v>
      </c>
      <c r="H143" s="12">
        <f t="shared" si="8"/>
        <v>2.0275977053212593</v>
      </c>
    </row>
    <row r="144" spans="1:8" x14ac:dyDescent="0.25">
      <c r="A144" s="1">
        <v>44138</v>
      </c>
      <c r="B144" s="8">
        <v>3310.24</v>
      </c>
      <c r="C144" s="2">
        <v>1700.8</v>
      </c>
      <c r="E144" s="8">
        <f t="shared" si="6"/>
        <v>58.920000000000073</v>
      </c>
      <c r="F144" s="8">
        <f t="shared" si="7"/>
        <v>-89.599999999999909</v>
      </c>
      <c r="H144" s="12">
        <f t="shared" si="8"/>
        <v>1.964169823992348</v>
      </c>
    </row>
    <row r="145" spans="1:8" x14ac:dyDescent="0.25">
      <c r="A145" s="1">
        <v>44139</v>
      </c>
      <c r="B145" s="8">
        <v>3369.16</v>
      </c>
      <c r="C145" s="2">
        <v>1611.2</v>
      </c>
      <c r="E145" s="8">
        <f t="shared" si="6"/>
        <v>74.2800000000002</v>
      </c>
      <c r="F145" s="8">
        <f t="shared" si="7"/>
        <v>-141.60000000000014</v>
      </c>
      <c r="H145" s="12">
        <f t="shared" si="8"/>
        <v>1.8923025172167933</v>
      </c>
    </row>
    <row r="146" spans="1:8" x14ac:dyDescent="0.25">
      <c r="A146" s="1">
        <v>44140</v>
      </c>
      <c r="B146" s="8">
        <v>3443.44</v>
      </c>
      <c r="C146" s="2">
        <v>1469.6</v>
      </c>
      <c r="E146" s="8">
        <f t="shared" si="6"/>
        <v>67.009999999999764</v>
      </c>
      <c r="F146" s="8">
        <f t="shared" si="7"/>
        <v>-28</v>
      </c>
      <c r="H146" s="12">
        <f t="shared" si="8"/>
        <v>1.8300238052858866</v>
      </c>
    </row>
    <row r="147" spans="1:8" x14ac:dyDescent="0.25">
      <c r="A147" s="1">
        <v>44141</v>
      </c>
      <c r="B147" s="8">
        <v>3510.45</v>
      </c>
      <c r="C147" s="2">
        <v>1441.6</v>
      </c>
      <c r="E147" s="8">
        <f t="shared" si="6"/>
        <v>-1.0099999999997635</v>
      </c>
      <c r="F147" s="8">
        <f t="shared" si="7"/>
        <v>-93.599999999999909</v>
      </c>
      <c r="H147" s="12">
        <f t="shared" si="8"/>
        <v>1.7888666480237956</v>
      </c>
    </row>
    <row r="148" spans="1:8" x14ac:dyDescent="0.25">
      <c r="A148" s="1">
        <v>44144</v>
      </c>
      <c r="B148" s="8">
        <v>3509.44</v>
      </c>
      <c r="C148" s="2">
        <v>1348</v>
      </c>
      <c r="E148" s="8">
        <f t="shared" si="6"/>
        <v>41.059999999999945</v>
      </c>
      <c r="F148" s="8">
        <f t="shared" si="7"/>
        <v>-30.400000000000091</v>
      </c>
      <c r="H148" s="12">
        <f t="shared" si="8"/>
        <v>1.7695845365098843</v>
      </c>
    </row>
    <row r="149" spans="1:8" x14ac:dyDescent="0.25">
      <c r="A149" s="1">
        <v>44145</v>
      </c>
      <c r="B149" s="8">
        <v>3550.5</v>
      </c>
      <c r="C149" s="2">
        <v>1317.6</v>
      </c>
      <c r="E149" s="8">
        <f t="shared" si="6"/>
        <v>-4.9699999999997999</v>
      </c>
      <c r="F149" s="8">
        <f t="shared" si="7"/>
        <v>-42.399999999999864</v>
      </c>
      <c r="H149" s="12">
        <f t="shared" si="8"/>
        <v>1.7410217329745792</v>
      </c>
    </row>
    <row r="150" spans="1:8" x14ac:dyDescent="0.25">
      <c r="A150" s="1">
        <v>44146</v>
      </c>
      <c r="B150" s="8">
        <v>3545.53</v>
      </c>
      <c r="C150" s="2">
        <v>1275.2</v>
      </c>
      <c r="E150" s="8">
        <f t="shared" si="6"/>
        <v>27.129999999999654</v>
      </c>
      <c r="F150" s="8">
        <f t="shared" si="7"/>
        <v>-25.600000000000136</v>
      </c>
      <c r="H150" s="12">
        <f t="shared" si="8"/>
        <v>1.7274709472738423</v>
      </c>
    </row>
    <row r="151" spans="1:8" x14ac:dyDescent="0.25">
      <c r="A151" s="1">
        <v>44147</v>
      </c>
      <c r="B151" s="8">
        <v>3572.66</v>
      </c>
      <c r="C151" s="2">
        <v>1249.5999999999999</v>
      </c>
      <c r="E151" s="8">
        <f t="shared" si="6"/>
        <v>-35.649999999999636</v>
      </c>
      <c r="F151" s="8">
        <f t="shared" si="7"/>
        <v>84</v>
      </c>
      <c r="H151" s="12">
        <f t="shared" si="8"/>
        <v>1.7104510429265161</v>
      </c>
    </row>
    <row r="152" spans="1:8" x14ac:dyDescent="0.25">
      <c r="A152" s="1">
        <v>44148</v>
      </c>
      <c r="B152" s="8">
        <v>3537.01</v>
      </c>
      <c r="C152" s="2">
        <v>1333.6</v>
      </c>
      <c r="E152" s="8">
        <f t="shared" si="6"/>
        <v>48.139999999999873</v>
      </c>
      <c r="F152" s="8">
        <f t="shared" si="7"/>
        <v>-82.399999999999864</v>
      </c>
      <c r="H152" s="12">
        <f t="shared" si="8"/>
        <v>1.7133759868556797</v>
      </c>
    </row>
    <row r="153" spans="1:8" x14ac:dyDescent="0.25">
      <c r="A153" s="1">
        <v>44151</v>
      </c>
      <c r="B153" s="8">
        <v>3585.15</v>
      </c>
      <c r="C153" s="2">
        <v>1251.2</v>
      </c>
      <c r="E153" s="8">
        <f t="shared" si="6"/>
        <v>41.759999999999764</v>
      </c>
      <c r="F153" s="8">
        <f t="shared" si="7"/>
        <v>-32</v>
      </c>
      <c r="H153" s="12">
        <f t="shared" si="8"/>
        <v>1.6877350475348218</v>
      </c>
    </row>
    <row r="154" spans="1:8" x14ac:dyDescent="0.25">
      <c r="A154" s="1">
        <v>44152</v>
      </c>
      <c r="B154" s="8">
        <v>3626.91</v>
      </c>
      <c r="C154" s="2">
        <v>1219.2</v>
      </c>
      <c r="E154" s="8">
        <f t="shared" si="6"/>
        <v>-17.379999999999654</v>
      </c>
      <c r="F154" s="8">
        <f t="shared" si="7"/>
        <v>-19.200000000000045</v>
      </c>
      <c r="H154" s="12">
        <f t="shared" si="8"/>
        <v>1.6850018768623407</v>
      </c>
    </row>
    <row r="155" spans="1:8" x14ac:dyDescent="0.25">
      <c r="A155" s="1">
        <v>44153</v>
      </c>
      <c r="B155" s="8">
        <v>3609.53</v>
      </c>
      <c r="C155" s="2">
        <v>1200</v>
      </c>
      <c r="E155" s="8">
        <f t="shared" si="6"/>
        <v>-41.740000000000236</v>
      </c>
      <c r="F155" s="8">
        <f t="shared" si="7"/>
        <v>44.799999999999955</v>
      </c>
      <c r="H155" s="12">
        <f t="shared" si="8"/>
        <v>1.7037081561918168</v>
      </c>
    </row>
    <row r="156" spans="1:8" x14ac:dyDescent="0.25">
      <c r="A156" s="1">
        <v>44154</v>
      </c>
      <c r="B156" s="8">
        <v>3567.79</v>
      </c>
      <c r="C156" s="2">
        <v>1244.8</v>
      </c>
      <c r="E156" s="8">
        <f t="shared" si="6"/>
        <v>14.079999999999927</v>
      </c>
      <c r="F156" s="8">
        <f t="shared" si="7"/>
        <v>-23.200000000000045</v>
      </c>
      <c r="H156" s="12">
        <f t="shared" si="8"/>
        <v>1.6962662011139786</v>
      </c>
    </row>
    <row r="157" spans="1:8" x14ac:dyDescent="0.25">
      <c r="A157" s="1">
        <v>44155</v>
      </c>
      <c r="B157" s="8">
        <v>3581.87</v>
      </c>
      <c r="C157" s="2">
        <v>1221.5999999999999</v>
      </c>
      <c r="E157" s="8">
        <f t="shared" si="6"/>
        <v>-24.329999999999927</v>
      </c>
      <c r="F157" s="8">
        <f t="shared" si="7"/>
        <v>-4</v>
      </c>
      <c r="H157" s="12">
        <f t="shared" si="8"/>
        <v>1.6709824209989943</v>
      </c>
    </row>
    <row r="158" spans="1:8" x14ac:dyDescent="0.25">
      <c r="A158" s="1">
        <v>44158</v>
      </c>
      <c r="B158" s="8">
        <v>3557.54</v>
      </c>
      <c r="C158" s="2">
        <v>1217.5999999999999</v>
      </c>
      <c r="E158" s="8">
        <f t="shared" si="6"/>
        <v>20.050000000000182</v>
      </c>
      <c r="F158" s="8">
        <f t="shared" si="7"/>
        <v>-15.199999999999818</v>
      </c>
      <c r="H158" s="12">
        <f t="shared" si="8"/>
        <v>1.6555993859328317</v>
      </c>
    </row>
    <row r="159" spans="1:8" x14ac:dyDescent="0.25">
      <c r="A159" s="1">
        <v>44159</v>
      </c>
      <c r="B159" s="8">
        <v>3577.59</v>
      </c>
      <c r="C159" s="2">
        <v>1202.4000000000001</v>
      </c>
      <c r="E159" s="8">
        <f t="shared" si="6"/>
        <v>57.819999999999709</v>
      </c>
      <c r="F159" s="8">
        <f t="shared" si="7"/>
        <v>-18.400000000000091</v>
      </c>
      <c r="H159" s="12">
        <f t="shared" si="8"/>
        <v>1.6469981064587778</v>
      </c>
    </row>
    <row r="160" spans="1:8" x14ac:dyDescent="0.25">
      <c r="A160" s="1">
        <v>44160</v>
      </c>
      <c r="B160" s="8">
        <v>3635.41</v>
      </c>
      <c r="C160" s="2">
        <v>1184</v>
      </c>
      <c r="E160" s="8">
        <f t="shared" si="6"/>
        <v>-5.7599999999997635</v>
      </c>
      <c r="F160" s="8">
        <f t="shared" si="7"/>
        <v>-43.200000000000045</v>
      </c>
      <c r="H160" s="12">
        <f t="shared" si="8"/>
        <v>1.6598192093444046</v>
      </c>
    </row>
    <row r="161" spans="1:8" x14ac:dyDescent="0.25">
      <c r="A161" s="1">
        <v>44162</v>
      </c>
      <c r="B161" s="8">
        <v>3629.65</v>
      </c>
      <c r="C161" s="2">
        <v>1140.8</v>
      </c>
      <c r="E161" s="8">
        <f t="shared" si="6"/>
        <v>8.6999999999998181</v>
      </c>
      <c r="F161" s="8">
        <f t="shared" si="7"/>
        <v>7.2000000000000455</v>
      </c>
      <c r="H161" s="12">
        <f t="shared" si="8"/>
        <v>1.678040595505714</v>
      </c>
    </row>
    <row r="162" spans="1:8" x14ac:dyDescent="0.25">
      <c r="A162" s="1">
        <v>44165</v>
      </c>
      <c r="B162" s="8">
        <v>3638.35</v>
      </c>
      <c r="C162" s="2">
        <v>1148</v>
      </c>
      <c r="E162" s="8">
        <f t="shared" si="6"/>
        <v>-16.7199999999998</v>
      </c>
      <c r="F162" s="8">
        <f t="shared" si="7"/>
        <v>-22.400000000000091</v>
      </c>
      <c r="H162" s="12">
        <f t="shared" si="8"/>
        <v>1.6881177203527447</v>
      </c>
    </row>
    <row r="163" spans="1:8" x14ac:dyDescent="0.25">
      <c r="A163" s="1">
        <v>44166</v>
      </c>
      <c r="B163" s="8">
        <v>3621.63</v>
      </c>
      <c r="C163" s="2">
        <v>1125.5999999999999</v>
      </c>
      <c r="E163" s="8">
        <f t="shared" si="6"/>
        <v>40.819999999999709</v>
      </c>
      <c r="F163" s="8">
        <f t="shared" si="7"/>
        <v>8.8000000000001819</v>
      </c>
      <c r="H163" s="12">
        <f t="shared" si="8"/>
        <v>1.7007608573804638</v>
      </c>
    </row>
    <row r="164" spans="1:8" x14ac:dyDescent="0.25">
      <c r="A164" s="1">
        <v>44167</v>
      </c>
      <c r="B164" s="8">
        <v>3662.45</v>
      </c>
      <c r="C164" s="2">
        <v>1134.4000000000001</v>
      </c>
      <c r="E164" s="8">
        <f t="shared" si="6"/>
        <v>6.5600000000004002</v>
      </c>
      <c r="F164" s="8">
        <f t="shared" si="7"/>
        <v>-4.8000000000001819</v>
      </c>
      <c r="H164" s="12">
        <f t="shared" si="8"/>
        <v>1.692692367112941</v>
      </c>
    </row>
    <row r="165" spans="1:8" x14ac:dyDescent="0.25">
      <c r="A165" s="1">
        <v>44168</v>
      </c>
      <c r="B165" s="8">
        <v>3669.01</v>
      </c>
      <c r="C165" s="2">
        <v>1129.5999999999999</v>
      </c>
      <c r="E165" s="8">
        <f t="shared" si="6"/>
        <v>-2.2900000000004184</v>
      </c>
      <c r="F165" s="8">
        <f t="shared" si="7"/>
        <v>8.8000000000001819</v>
      </c>
      <c r="H165" s="12">
        <f t="shared" si="8"/>
        <v>1.6890361512296768</v>
      </c>
    </row>
    <row r="166" spans="1:8" x14ac:dyDescent="0.25">
      <c r="A166" s="1">
        <v>44169</v>
      </c>
      <c r="B166" s="8">
        <v>3666.72</v>
      </c>
      <c r="C166" s="2">
        <v>1138.4000000000001</v>
      </c>
      <c r="E166" s="8">
        <f t="shared" si="6"/>
        <v>32.400000000000091</v>
      </c>
      <c r="F166" s="8">
        <f t="shared" si="7"/>
        <v>-16.800000000000182</v>
      </c>
      <c r="H166" s="12">
        <f t="shared" si="8"/>
        <v>1.6956901953757597</v>
      </c>
    </row>
    <row r="167" spans="1:8" x14ac:dyDescent="0.25">
      <c r="A167" s="1">
        <v>44172</v>
      </c>
      <c r="B167" s="8">
        <v>3699.12</v>
      </c>
      <c r="C167" s="2">
        <v>1121.5999999999999</v>
      </c>
      <c r="E167" s="8">
        <f t="shared" si="6"/>
        <v>-7.1599999999998545</v>
      </c>
      <c r="F167" s="8">
        <f t="shared" si="7"/>
        <v>6.4000000000000909</v>
      </c>
      <c r="H167" s="12">
        <f t="shared" si="8"/>
        <v>1.7243705492248773</v>
      </c>
    </row>
    <row r="168" spans="1:8" x14ac:dyDescent="0.25">
      <c r="A168" s="1">
        <v>44173</v>
      </c>
      <c r="B168" s="8">
        <v>3691.96</v>
      </c>
      <c r="C168" s="2">
        <v>1128</v>
      </c>
      <c r="E168" s="8">
        <f t="shared" si="6"/>
        <v>10.289999999999964</v>
      </c>
      <c r="F168" s="8">
        <f t="shared" si="7"/>
        <v>-39.200000000000045</v>
      </c>
      <c r="H168" s="12">
        <f t="shared" si="8"/>
        <v>1.7533882619388099</v>
      </c>
    </row>
    <row r="169" spans="1:8" x14ac:dyDescent="0.25">
      <c r="A169" s="1">
        <v>44174</v>
      </c>
      <c r="B169" s="8">
        <v>3702.25</v>
      </c>
      <c r="C169" s="2">
        <v>1088.8</v>
      </c>
      <c r="E169" s="8">
        <f t="shared" si="6"/>
        <v>-29.429999999999836</v>
      </c>
      <c r="F169" s="8">
        <f t="shared" si="7"/>
        <v>39.200000000000045</v>
      </c>
      <c r="H169" s="12">
        <f t="shared" si="8"/>
        <v>1.7698210809610142</v>
      </c>
    </row>
    <row r="170" spans="1:8" x14ac:dyDescent="0.25">
      <c r="A170" s="1">
        <v>44175</v>
      </c>
      <c r="B170" s="8">
        <v>3672.82</v>
      </c>
      <c r="C170" s="2">
        <v>1128</v>
      </c>
      <c r="E170" s="8">
        <f t="shared" si="6"/>
        <v>-4.7200000000002547</v>
      </c>
      <c r="F170" s="8">
        <f t="shared" si="7"/>
        <v>9.5999999999999091</v>
      </c>
      <c r="H170" s="12">
        <f t="shared" si="8"/>
        <v>1.7895663733491154</v>
      </c>
    </row>
    <row r="171" spans="1:8" x14ac:dyDescent="0.25">
      <c r="A171" s="1">
        <v>44176</v>
      </c>
      <c r="B171" s="8">
        <v>3668.1</v>
      </c>
      <c r="C171" s="2">
        <v>1137.5999999999999</v>
      </c>
      <c r="E171" s="8">
        <f t="shared" si="6"/>
        <v>-4.6399999999998727</v>
      </c>
      <c r="F171" s="8">
        <f t="shared" si="7"/>
        <v>43.200000000000045</v>
      </c>
      <c r="H171" s="12">
        <f t="shared" si="8"/>
        <v>1.7963024444840099</v>
      </c>
    </row>
    <row r="172" spans="1:8" x14ac:dyDescent="0.25">
      <c r="A172" s="1">
        <v>44179</v>
      </c>
      <c r="B172" s="8">
        <v>3663.46</v>
      </c>
      <c r="C172" s="2">
        <v>1180.8</v>
      </c>
      <c r="E172" s="8">
        <f t="shared" si="6"/>
        <v>-15.970000000000255</v>
      </c>
      <c r="F172" s="8">
        <f t="shared" si="7"/>
        <v>28</v>
      </c>
      <c r="H172" s="12">
        <f t="shared" si="8"/>
        <v>1.7824061954646977</v>
      </c>
    </row>
    <row r="173" spans="1:8" x14ac:dyDescent="0.25">
      <c r="A173" s="1">
        <v>44180</v>
      </c>
      <c r="B173" s="8">
        <v>3647.49</v>
      </c>
      <c r="C173" s="2">
        <v>1208.8</v>
      </c>
      <c r="E173" s="8">
        <f t="shared" si="6"/>
        <v>47.130000000000109</v>
      </c>
      <c r="F173" s="8">
        <f t="shared" si="7"/>
        <v>-56.799999999999955</v>
      </c>
      <c r="H173" s="12">
        <f t="shared" si="8"/>
        <v>1.7662953207386347</v>
      </c>
    </row>
    <row r="174" spans="1:8" x14ac:dyDescent="0.25">
      <c r="A174" s="1">
        <v>44181</v>
      </c>
      <c r="B174" s="8">
        <v>3694.62</v>
      </c>
      <c r="C174" s="2">
        <v>1152</v>
      </c>
      <c r="E174" s="8">
        <f t="shared" si="6"/>
        <v>6.5500000000001819</v>
      </c>
      <c r="F174" s="8">
        <f t="shared" si="7"/>
        <v>-40</v>
      </c>
      <c r="H174" s="12">
        <f t="shared" si="8"/>
        <v>1.7430159489644641</v>
      </c>
    </row>
    <row r="175" spans="1:8" x14ac:dyDescent="0.25">
      <c r="A175" s="1">
        <v>44182</v>
      </c>
      <c r="B175" s="8">
        <v>3701.17</v>
      </c>
      <c r="C175" s="2">
        <v>1112</v>
      </c>
      <c r="E175" s="8">
        <f t="shared" si="6"/>
        <v>21.309999999999945</v>
      </c>
      <c r="F175" s="8">
        <f t="shared" si="7"/>
        <v>-12</v>
      </c>
      <c r="H175" s="12">
        <f t="shared" si="8"/>
        <v>1.7320696198516341</v>
      </c>
    </row>
    <row r="176" spans="1:8" x14ac:dyDescent="0.25">
      <c r="A176" s="1">
        <v>44183</v>
      </c>
      <c r="B176" s="8">
        <v>3722.48</v>
      </c>
      <c r="C176" s="2">
        <v>1100</v>
      </c>
      <c r="E176" s="8">
        <f t="shared" si="6"/>
        <v>-13.070000000000164</v>
      </c>
      <c r="F176" s="8">
        <f t="shared" si="7"/>
        <v>26.400000000000091</v>
      </c>
      <c r="H176" s="12">
        <f t="shared" si="8"/>
        <v>1.7301081868701587</v>
      </c>
    </row>
    <row r="177" spans="1:8" x14ac:dyDescent="0.25">
      <c r="A177" s="1">
        <v>44186</v>
      </c>
      <c r="B177" s="8">
        <v>3709.41</v>
      </c>
      <c r="C177" s="2">
        <v>1126.4000000000001</v>
      </c>
      <c r="E177" s="8">
        <f t="shared" si="6"/>
        <v>-14.489999999999782</v>
      </c>
      <c r="F177" s="8">
        <f t="shared" si="7"/>
        <v>81.599999999999909</v>
      </c>
      <c r="H177" s="12">
        <f t="shared" si="8"/>
        <v>1.7330097892957868</v>
      </c>
    </row>
    <row r="178" spans="1:8" x14ac:dyDescent="0.25">
      <c r="A178" s="1">
        <v>44187</v>
      </c>
      <c r="B178" s="8">
        <v>3694.92</v>
      </c>
      <c r="C178" s="2">
        <v>1208</v>
      </c>
      <c r="E178" s="8">
        <f t="shared" si="6"/>
        <v>-7.6599999999998545</v>
      </c>
      <c r="F178" s="8">
        <f t="shared" si="7"/>
        <v>-23.200000000000045</v>
      </c>
      <c r="H178" s="12">
        <f t="shared" si="8"/>
        <v>1.7447276276049353</v>
      </c>
    </row>
    <row r="179" spans="1:8" x14ac:dyDescent="0.25">
      <c r="A179" s="1">
        <v>44188</v>
      </c>
      <c r="B179" s="8">
        <v>3687.26</v>
      </c>
      <c r="C179" s="2">
        <v>1184.8</v>
      </c>
      <c r="E179" s="8">
        <f t="shared" si="6"/>
        <v>2.75</v>
      </c>
      <c r="F179" s="8">
        <f t="shared" si="7"/>
        <v>-45.599999999999909</v>
      </c>
      <c r="H179" s="12">
        <f t="shared" si="8"/>
        <v>1.7533253781239067</v>
      </c>
    </row>
    <row r="180" spans="1:8" x14ac:dyDescent="0.25">
      <c r="A180" s="1">
        <v>44189</v>
      </c>
      <c r="B180" s="8">
        <v>3690.01</v>
      </c>
      <c r="C180" s="2">
        <v>1139.2</v>
      </c>
      <c r="E180" s="8">
        <f t="shared" si="6"/>
        <v>13.049999999999727</v>
      </c>
      <c r="F180" s="8">
        <f t="shared" si="7"/>
        <v>-31.200000000000045</v>
      </c>
      <c r="H180" s="12">
        <f t="shared" si="8"/>
        <v>1.7666924202847822</v>
      </c>
    </row>
    <row r="181" spans="1:8" x14ac:dyDescent="0.25">
      <c r="A181" s="1">
        <v>44193</v>
      </c>
      <c r="B181" s="8">
        <v>3703.06</v>
      </c>
      <c r="C181" s="2">
        <v>1108</v>
      </c>
      <c r="E181" s="8">
        <f t="shared" si="6"/>
        <v>32.300000000000182</v>
      </c>
      <c r="F181" s="8">
        <f t="shared" si="7"/>
        <v>-8</v>
      </c>
      <c r="H181" s="12">
        <f t="shared" si="8"/>
        <v>1.7718793188889319</v>
      </c>
    </row>
    <row r="182" spans="1:8" x14ac:dyDescent="0.25">
      <c r="A182" s="1">
        <v>44194</v>
      </c>
      <c r="B182" s="8">
        <v>3735.36</v>
      </c>
      <c r="C182" s="2">
        <v>1100</v>
      </c>
      <c r="E182" s="8">
        <f t="shared" si="6"/>
        <v>-8.3200000000001637</v>
      </c>
      <c r="F182" s="8">
        <f t="shared" si="7"/>
        <v>43.200000000000045</v>
      </c>
      <c r="H182" s="12">
        <f t="shared" si="8"/>
        <v>1.7757631262060405</v>
      </c>
    </row>
    <row r="183" spans="1:8" x14ac:dyDescent="0.25">
      <c r="A183" s="1">
        <v>44195</v>
      </c>
      <c r="B183" s="8">
        <v>3727.04</v>
      </c>
      <c r="C183" s="2">
        <v>1143.2</v>
      </c>
      <c r="E183" s="8">
        <f t="shared" si="6"/>
        <v>5</v>
      </c>
      <c r="F183" s="8">
        <f t="shared" si="7"/>
        <v>-43.200000000000045</v>
      </c>
      <c r="H183" s="12">
        <f t="shared" si="8"/>
        <v>1.788134971307451</v>
      </c>
    </row>
    <row r="184" spans="1:8" x14ac:dyDescent="0.25">
      <c r="A184" s="1">
        <v>44196</v>
      </c>
      <c r="B184" s="8">
        <v>3732.04</v>
      </c>
      <c r="C184" s="2">
        <v>1100</v>
      </c>
      <c r="E184" s="8">
        <f t="shared" si="6"/>
        <v>24.0300000000002</v>
      </c>
      <c r="F184" s="8">
        <f t="shared" si="7"/>
        <v>-0.79999999999995453</v>
      </c>
      <c r="H184" s="12">
        <f t="shared" si="8"/>
        <v>1.8006408273927512</v>
      </c>
    </row>
    <row r="185" spans="1:8" x14ac:dyDescent="0.25">
      <c r="A185" s="1">
        <v>44200</v>
      </c>
      <c r="B185" s="8">
        <v>3756.07</v>
      </c>
      <c r="C185" s="2">
        <v>1099.2</v>
      </c>
      <c r="E185" s="8">
        <f t="shared" si="6"/>
        <v>-55.420000000000073</v>
      </c>
      <c r="F185" s="8">
        <f t="shared" si="7"/>
        <v>104.79999999999995</v>
      </c>
      <c r="H185" s="12">
        <f t="shared" si="8"/>
        <v>1.8085604115764695</v>
      </c>
    </row>
    <row r="186" spans="1:8" x14ac:dyDescent="0.25">
      <c r="A186" s="1">
        <v>44201</v>
      </c>
      <c r="B186" s="8">
        <v>3700.65</v>
      </c>
      <c r="C186" s="2">
        <v>1204</v>
      </c>
      <c r="E186" s="8">
        <f t="shared" si="6"/>
        <v>26.210000000000036</v>
      </c>
      <c r="F186" s="8">
        <f t="shared" si="7"/>
        <v>-45.599999999999909</v>
      </c>
      <c r="H186" s="12">
        <f t="shared" si="8"/>
        <v>1.8182916383078387</v>
      </c>
    </row>
    <row r="187" spans="1:8" x14ac:dyDescent="0.25">
      <c r="A187" s="1">
        <v>44202</v>
      </c>
      <c r="B187" s="8">
        <v>3726.86</v>
      </c>
      <c r="C187" s="2">
        <v>1158.4000000000001</v>
      </c>
      <c r="E187" s="8">
        <f t="shared" si="6"/>
        <v>21.279999999999745</v>
      </c>
      <c r="F187" s="8">
        <f t="shared" si="7"/>
        <v>-7.2000000000000455</v>
      </c>
      <c r="H187" s="12">
        <f t="shared" si="8"/>
        <v>1.7996628492832565</v>
      </c>
    </row>
    <row r="188" spans="1:8" x14ac:dyDescent="0.25">
      <c r="A188" s="1">
        <v>44203</v>
      </c>
      <c r="B188" s="8">
        <v>3748.14</v>
      </c>
      <c r="C188" s="2">
        <v>1151.2</v>
      </c>
      <c r="E188" s="8">
        <f t="shared" si="6"/>
        <v>55.650000000000091</v>
      </c>
      <c r="F188" s="8">
        <f t="shared" si="7"/>
        <v>-70.400000000000091</v>
      </c>
      <c r="H188" s="12">
        <f t="shared" si="8"/>
        <v>1.7847492332236186</v>
      </c>
    </row>
    <row r="189" spans="1:8" x14ac:dyDescent="0.25">
      <c r="A189" s="1">
        <v>44204</v>
      </c>
      <c r="B189" s="8">
        <v>3803.79</v>
      </c>
      <c r="C189" s="2">
        <v>1080.8</v>
      </c>
      <c r="E189" s="8">
        <f t="shared" si="6"/>
        <v>20.889999999999873</v>
      </c>
      <c r="F189" s="8">
        <f t="shared" si="7"/>
        <v>-10.399999999999864</v>
      </c>
      <c r="H189" s="12">
        <f t="shared" si="8"/>
        <v>1.7685708500734887</v>
      </c>
    </row>
    <row r="190" spans="1:8" x14ac:dyDescent="0.25">
      <c r="A190" s="1">
        <v>44207</v>
      </c>
      <c r="B190" s="8">
        <v>3824.68</v>
      </c>
      <c r="C190" s="2">
        <v>1070.4000000000001</v>
      </c>
      <c r="E190" s="8">
        <f t="shared" si="6"/>
        <v>-25.069999999999709</v>
      </c>
      <c r="F190" s="8">
        <f t="shared" si="7"/>
        <v>65.599999999999909</v>
      </c>
      <c r="H190" s="12">
        <f t="shared" si="8"/>
        <v>1.76691262035951</v>
      </c>
    </row>
    <row r="191" spans="1:8" x14ac:dyDescent="0.25">
      <c r="A191" s="1">
        <v>44208</v>
      </c>
      <c r="B191" s="8">
        <v>3799.61</v>
      </c>
      <c r="C191" s="2">
        <v>1136</v>
      </c>
      <c r="E191" s="8">
        <f t="shared" si="6"/>
        <v>1.5799999999999272</v>
      </c>
      <c r="F191" s="8">
        <f t="shared" si="7"/>
        <v>-38.799999999999955</v>
      </c>
      <c r="H191" s="12">
        <f t="shared" si="8"/>
        <v>1.7767460869622778</v>
      </c>
    </row>
    <row r="192" spans="1:8" x14ac:dyDescent="0.25">
      <c r="A192" s="1">
        <v>44209</v>
      </c>
      <c r="B192" s="8">
        <v>3801.19</v>
      </c>
      <c r="C192" s="2">
        <v>1097.2</v>
      </c>
      <c r="E192" s="8">
        <f t="shared" si="6"/>
        <v>8.6500000000000909</v>
      </c>
      <c r="F192" s="8">
        <f t="shared" si="7"/>
        <v>-17.200000000000045</v>
      </c>
      <c r="H192" s="12">
        <f t="shared" si="8"/>
        <v>1.7722372292272832</v>
      </c>
    </row>
    <row r="193" spans="1:8" x14ac:dyDescent="0.25">
      <c r="A193" s="1">
        <v>44210</v>
      </c>
      <c r="B193" s="8">
        <v>3809.84</v>
      </c>
      <c r="C193" s="2">
        <v>1080</v>
      </c>
      <c r="E193" s="8">
        <f t="shared" si="6"/>
        <v>-14.300000000000182</v>
      </c>
      <c r="F193" s="8">
        <f t="shared" si="7"/>
        <v>13.599999999999909</v>
      </c>
      <c r="H193" s="12">
        <f t="shared" si="8"/>
        <v>1.7703464102846116</v>
      </c>
    </row>
    <row r="194" spans="1:8" x14ac:dyDescent="0.25">
      <c r="A194" s="1">
        <v>44211</v>
      </c>
      <c r="B194" s="8">
        <v>3795.54</v>
      </c>
      <c r="C194" s="2">
        <v>1093.5999999999999</v>
      </c>
      <c r="E194" s="8">
        <f t="shared" si="6"/>
        <v>-27.289999999999964</v>
      </c>
      <c r="F194" s="8">
        <f t="shared" si="7"/>
        <v>27.200000000000045</v>
      </c>
      <c r="H194" s="12">
        <f t="shared" si="8"/>
        <v>1.7706242746306204</v>
      </c>
    </row>
    <row r="195" spans="1:8" x14ac:dyDescent="0.25">
      <c r="A195" s="1">
        <v>44215</v>
      </c>
      <c r="B195" s="8">
        <v>3768.25</v>
      </c>
      <c r="C195" s="2">
        <v>1120.8</v>
      </c>
      <c r="E195" s="8">
        <f t="shared" ref="E195:E258" si="9">B196-B195</f>
        <v>30.659999999999854</v>
      </c>
      <c r="F195" s="8">
        <f t="shared" ref="F195:F258" si="10">C196-C195</f>
        <v>-31.200000000000045</v>
      </c>
      <c r="H195" s="12">
        <f t="shared" ref="H195:H258" si="11">LOG(_xlfn.STDEV.P(B195:B225))</f>
        <v>1.7630071497943025</v>
      </c>
    </row>
    <row r="196" spans="1:8" x14ac:dyDescent="0.25">
      <c r="A196" s="1">
        <v>44216</v>
      </c>
      <c r="B196" s="8">
        <v>3798.91</v>
      </c>
      <c r="C196" s="2">
        <v>1089.5999999999999</v>
      </c>
      <c r="E196" s="8">
        <f t="shared" si="9"/>
        <v>52.940000000000055</v>
      </c>
      <c r="F196" s="8">
        <f t="shared" si="10"/>
        <v>-22.399999999999864</v>
      </c>
      <c r="H196" s="12">
        <f t="shared" si="11"/>
        <v>1.7483901016329781</v>
      </c>
    </row>
    <row r="197" spans="1:8" x14ac:dyDescent="0.25">
      <c r="A197" s="1">
        <v>44217</v>
      </c>
      <c r="B197" s="8">
        <v>3851.85</v>
      </c>
      <c r="C197" s="2">
        <v>1067.2</v>
      </c>
      <c r="E197" s="8">
        <f t="shared" si="9"/>
        <v>1.2200000000002547</v>
      </c>
      <c r="F197" s="8">
        <f t="shared" si="10"/>
        <v>-8.7999999999999545</v>
      </c>
      <c r="H197" s="12">
        <f t="shared" si="11"/>
        <v>1.758536368143746</v>
      </c>
    </row>
    <row r="198" spans="1:8" x14ac:dyDescent="0.25">
      <c r="A198" s="1">
        <v>44218</v>
      </c>
      <c r="B198" s="8">
        <v>3853.07</v>
      </c>
      <c r="C198" s="2">
        <v>1058.4000000000001</v>
      </c>
      <c r="E198" s="8">
        <f t="shared" si="9"/>
        <v>-11.600000000000364</v>
      </c>
      <c r="F198" s="8">
        <f t="shared" si="10"/>
        <v>15.199999999999818</v>
      </c>
      <c r="H198" s="12">
        <f t="shared" si="11"/>
        <v>1.7590675331436167</v>
      </c>
    </row>
    <row r="199" spans="1:8" x14ac:dyDescent="0.25">
      <c r="A199" s="1">
        <v>44221</v>
      </c>
      <c r="B199" s="8">
        <v>3841.47</v>
      </c>
      <c r="C199" s="2">
        <v>1073.5999999999999</v>
      </c>
      <c r="E199" s="8">
        <f t="shared" si="9"/>
        <v>13.890000000000327</v>
      </c>
      <c r="F199" s="8">
        <f t="shared" si="10"/>
        <v>43.200000000000045</v>
      </c>
      <c r="H199" s="12">
        <f t="shared" si="11"/>
        <v>1.7619610805110155</v>
      </c>
    </row>
    <row r="200" spans="1:8" x14ac:dyDescent="0.25">
      <c r="A200" s="1">
        <v>44222</v>
      </c>
      <c r="B200" s="8">
        <v>3855.36</v>
      </c>
      <c r="C200" s="2">
        <v>1116.8</v>
      </c>
      <c r="E200" s="8">
        <f t="shared" si="9"/>
        <v>-5.7400000000002365</v>
      </c>
      <c r="F200" s="8">
        <f t="shared" si="10"/>
        <v>-18.399999999999864</v>
      </c>
      <c r="H200" s="12">
        <f t="shared" si="11"/>
        <v>1.761903550273461</v>
      </c>
    </row>
    <row r="201" spans="1:8" x14ac:dyDescent="0.25">
      <c r="A201" s="1">
        <v>44223</v>
      </c>
      <c r="B201" s="8">
        <v>3849.62</v>
      </c>
      <c r="C201" s="2">
        <v>1098.4000000000001</v>
      </c>
      <c r="E201" s="8">
        <f t="shared" si="9"/>
        <v>-98.849999999999909</v>
      </c>
      <c r="F201" s="8">
        <f t="shared" si="10"/>
        <v>228</v>
      </c>
      <c r="H201" s="12">
        <f t="shared" si="11"/>
        <v>1.7649754107912821</v>
      </c>
    </row>
    <row r="202" spans="1:8" x14ac:dyDescent="0.25">
      <c r="A202" s="1">
        <v>44224</v>
      </c>
      <c r="B202" s="8">
        <v>3750.77</v>
      </c>
      <c r="C202" s="2">
        <v>1326.4</v>
      </c>
      <c r="E202" s="8">
        <f t="shared" si="9"/>
        <v>36.610000000000127</v>
      </c>
      <c r="F202" s="8">
        <f t="shared" si="10"/>
        <v>-27.200000000000045</v>
      </c>
      <c r="H202" s="12">
        <f t="shared" si="11"/>
        <v>1.7766128664159178</v>
      </c>
    </row>
    <row r="203" spans="1:8" x14ac:dyDescent="0.25">
      <c r="A203" s="1">
        <v>44225</v>
      </c>
      <c r="B203" s="8">
        <v>3787.38</v>
      </c>
      <c r="C203" s="2">
        <v>1299.2</v>
      </c>
      <c r="E203" s="8">
        <f t="shared" si="9"/>
        <v>-73.140000000000327</v>
      </c>
      <c r="F203" s="8">
        <f t="shared" si="10"/>
        <v>84.799999999999955</v>
      </c>
      <c r="H203" s="12">
        <f t="shared" si="11"/>
        <v>1.7611680071927538</v>
      </c>
    </row>
    <row r="204" spans="1:8" x14ac:dyDescent="0.25">
      <c r="A204" s="1">
        <v>44228</v>
      </c>
      <c r="B204" s="8">
        <v>3714.24</v>
      </c>
      <c r="C204" s="2">
        <v>1384</v>
      </c>
      <c r="E204" s="8">
        <f t="shared" si="9"/>
        <v>59.620000000000346</v>
      </c>
      <c r="F204" s="8">
        <f t="shared" si="10"/>
        <v>-80.799999999999955</v>
      </c>
      <c r="H204" s="12">
        <f t="shared" si="11"/>
        <v>1.765192862478874</v>
      </c>
    </row>
    <row r="205" spans="1:8" x14ac:dyDescent="0.25">
      <c r="A205" s="1">
        <v>44229</v>
      </c>
      <c r="B205" s="8">
        <v>3773.86</v>
      </c>
      <c r="C205" s="2">
        <v>1303.2</v>
      </c>
      <c r="E205" s="8">
        <f t="shared" si="9"/>
        <v>52.449999999999818</v>
      </c>
      <c r="F205" s="8">
        <f t="shared" si="10"/>
        <v>-108.79999999999995</v>
      </c>
      <c r="H205" s="12">
        <f t="shared" si="11"/>
        <v>1.7180286622256868</v>
      </c>
    </row>
    <row r="206" spans="1:8" x14ac:dyDescent="0.25">
      <c r="A206" s="1">
        <v>44230</v>
      </c>
      <c r="B206" s="8">
        <v>3826.31</v>
      </c>
      <c r="C206" s="2">
        <v>1194.4000000000001</v>
      </c>
      <c r="E206" s="8">
        <f t="shared" si="9"/>
        <v>3.8600000000001273</v>
      </c>
      <c r="F206" s="8">
        <f t="shared" si="10"/>
        <v>-64</v>
      </c>
      <c r="H206" s="12">
        <f t="shared" si="11"/>
        <v>1.7042078638344453</v>
      </c>
    </row>
    <row r="207" spans="1:8" x14ac:dyDescent="0.25">
      <c r="A207" s="1">
        <v>44231</v>
      </c>
      <c r="B207" s="8">
        <v>3830.17</v>
      </c>
      <c r="C207" s="2">
        <v>1130.4000000000001</v>
      </c>
      <c r="E207" s="8">
        <f t="shared" si="9"/>
        <v>41.569999999999709</v>
      </c>
      <c r="F207" s="8">
        <f t="shared" si="10"/>
        <v>-49.600000000000136</v>
      </c>
      <c r="H207" s="12">
        <f t="shared" si="11"/>
        <v>1.6938200414863598</v>
      </c>
    </row>
    <row r="208" spans="1:8" x14ac:dyDescent="0.25">
      <c r="A208" s="1">
        <v>44232</v>
      </c>
      <c r="B208" s="8">
        <v>3871.74</v>
      </c>
      <c r="C208" s="2">
        <v>1080.8</v>
      </c>
      <c r="E208" s="8">
        <f t="shared" si="9"/>
        <v>15.090000000000146</v>
      </c>
      <c r="F208" s="8">
        <f t="shared" si="10"/>
        <v>-2.7999999999999545</v>
      </c>
      <c r="H208" s="12">
        <f t="shared" si="11"/>
        <v>1.6826771695140796</v>
      </c>
    </row>
    <row r="209" spans="1:8" x14ac:dyDescent="0.25">
      <c r="A209" s="1">
        <v>44235</v>
      </c>
      <c r="B209" s="8">
        <v>3886.83</v>
      </c>
      <c r="C209" s="2">
        <v>1078</v>
      </c>
      <c r="E209" s="8">
        <f t="shared" si="9"/>
        <v>28.760000000000218</v>
      </c>
      <c r="F209" s="8">
        <f t="shared" si="10"/>
        <v>-8.4000000000000909</v>
      </c>
      <c r="H209" s="12">
        <f t="shared" si="11"/>
        <v>1.6864933182176289</v>
      </c>
    </row>
    <row r="210" spans="1:8" x14ac:dyDescent="0.25">
      <c r="A210" s="1">
        <v>44236</v>
      </c>
      <c r="B210" s="8">
        <v>3915.59</v>
      </c>
      <c r="C210" s="2">
        <v>1069.5999999999999</v>
      </c>
      <c r="E210" s="8">
        <f t="shared" si="9"/>
        <v>-4.3600000000001273</v>
      </c>
      <c r="F210" s="8">
        <f t="shared" si="10"/>
        <v>5.6000000000001364</v>
      </c>
      <c r="H210" s="12">
        <f t="shared" si="11"/>
        <v>1.6865319131525089</v>
      </c>
    </row>
    <row r="211" spans="1:8" x14ac:dyDescent="0.25">
      <c r="A211" s="1">
        <v>44237</v>
      </c>
      <c r="B211" s="8">
        <v>3911.23</v>
      </c>
      <c r="C211" s="2">
        <v>1075.2</v>
      </c>
      <c r="E211" s="8">
        <f t="shared" si="9"/>
        <v>-1.3499999999999091</v>
      </c>
      <c r="F211" s="8">
        <f t="shared" si="10"/>
        <v>15.200000000000045</v>
      </c>
      <c r="H211" s="12">
        <f t="shared" si="11"/>
        <v>1.6859017485121095</v>
      </c>
    </row>
    <row r="212" spans="1:8" x14ac:dyDescent="0.25">
      <c r="A212" s="1">
        <v>44238</v>
      </c>
      <c r="B212" s="8">
        <v>3909.88</v>
      </c>
      <c r="C212" s="2">
        <v>1090.4000000000001</v>
      </c>
      <c r="E212" s="8">
        <f t="shared" si="9"/>
        <v>6.5</v>
      </c>
      <c r="F212" s="8">
        <f t="shared" si="10"/>
        <v>-24.800000000000182</v>
      </c>
      <c r="H212" s="12">
        <f t="shared" si="11"/>
        <v>1.6857747727041321</v>
      </c>
    </row>
    <row r="213" spans="1:8" x14ac:dyDescent="0.25">
      <c r="A213" s="1">
        <v>44239</v>
      </c>
      <c r="B213" s="8">
        <v>3916.38</v>
      </c>
      <c r="C213" s="2">
        <v>1065.5999999999999</v>
      </c>
      <c r="E213" s="8">
        <f t="shared" si="9"/>
        <v>18.449999999999818</v>
      </c>
      <c r="F213" s="8">
        <f t="shared" si="10"/>
        <v>-34.399999999999864</v>
      </c>
      <c r="H213" s="12">
        <f t="shared" si="11"/>
        <v>1.7018355200095594</v>
      </c>
    </row>
    <row r="214" spans="1:8" x14ac:dyDescent="0.25">
      <c r="A214" s="1">
        <v>44243</v>
      </c>
      <c r="B214" s="8">
        <v>3934.83</v>
      </c>
      <c r="C214" s="2">
        <v>1031.2</v>
      </c>
      <c r="E214" s="8">
        <f t="shared" si="9"/>
        <v>-2.2399999999997817</v>
      </c>
      <c r="F214" s="8">
        <f t="shared" si="10"/>
        <v>1.5999999999999091</v>
      </c>
      <c r="H214" s="12">
        <f t="shared" si="11"/>
        <v>1.7144402844376119</v>
      </c>
    </row>
    <row r="215" spans="1:8" x14ac:dyDescent="0.25">
      <c r="A215" s="1">
        <v>44244</v>
      </c>
      <c r="B215" s="8">
        <v>3932.59</v>
      </c>
      <c r="C215" s="2">
        <v>1032.8</v>
      </c>
      <c r="E215" s="8">
        <f t="shared" si="9"/>
        <v>-1.2600000000002183</v>
      </c>
      <c r="F215" s="8">
        <f t="shared" si="10"/>
        <v>-14.399999999999977</v>
      </c>
      <c r="H215" s="12">
        <f t="shared" si="11"/>
        <v>1.7198898387585266</v>
      </c>
    </row>
    <row r="216" spans="1:8" x14ac:dyDescent="0.25">
      <c r="A216" s="1">
        <v>44245</v>
      </c>
      <c r="B216" s="8">
        <v>3931.33</v>
      </c>
      <c r="C216" s="2">
        <v>1018.4</v>
      </c>
      <c r="E216" s="8">
        <f t="shared" si="9"/>
        <v>-17.360000000000127</v>
      </c>
      <c r="F216" s="8">
        <f t="shared" si="10"/>
        <v>8.8000000000000682</v>
      </c>
      <c r="H216" s="12">
        <f t="shared" si="11"/>
        <v>1.7298313011162878</v>
      </c>
    </row>
    <row r="217" spans="1:8" x14ac:dyDescent="0.25">
      <c r="A217" s="1">
        <v>44246</v>
      </c>
      <c r="B217" s="8">
        <v>3913.97</v>
      </c>
      <c r="C217" s="2">
        <v>1027.2</v>
      </c>
      <c r="E217" s="8">
        <f t="shared" si="9"/>
        <v>-7.2599999999997635</v>
      </c>
      <c r="F217" s="8">
        <f t="shared" si="10"/>
        <v>-40</v>
      </c>
      <c r="H217" s="12">
        <f t="shared" si="11"/>
        <v>1.7581904378695703</v>
      </c>
    </row>
    <row r="218" spans="1:8" x14ac:dyDescent="0.25">
      <c r="A218" s="1">
        <v>44249</v>
      </c>
      <c r="B218" s="8">
        <v>3906.71</v>
      </c>
      <c r="C218" s="2">
        <v>987.2</v>
      </c>
      <c r="E218" s="8">
        <f t="shared" si="9"/>
        <v>-30.210000000000036</v>
      </c>
      <c r="F218" s="8">
        <f t="shared" si="10"/>
        <v>41.599999999999909</v>
      </c>
      <c r="H218" s="12">
        <f t="shared" si="11"/>
        <v>1.811640447619044</v>
      </c>
    </row>
    <row r="219" spans="1:8" x14ac:dyDescent="0.25">
      <c r="A219" s="1">
        <v>44250</v>
      </c>
      <c r="B219" s="8">
        <v>3876.5</v>
      </c>
      <c r="C219" s="2">
        <v>1028.8</v>
      </c>
      <c r="E219" s="8">
        <f t="shared" si="9"/>
        <v>4.8699999999998909</v>
      </c>
      <c r="F219" s="8">
        <f t="shared" si="10"/>
        <v>-42.399999999999977</v>
      </c>
      <c r="H219" s="12">
        <f t="shared" si="11"/>
        <v>1.850220419283422</v>
      </c>
    </row>
    <row r="220" spans="1:8" x14ac:dyDescent="0.25">
      <c r="A220" s="1">
        <v>44251</v>
      </c>
      <c r="B220" s="8">
        <v>3881.37</v>
      </c>
      <c r="C220" s="2">
        <v>986.4</v>
      </c>
      <c r="E220" s="8">
        <f t="shared" si="9"/>
        <v>44.059999999999945</v>
      </c>
      <c r="F220" s="8">
        <f t="shared" si="10"/>
        <v>-37.600000000000023</v>
      </c>
      <c r="H220" s="12">
        <f t="shared" si="11"/>
        <v>1.880708275126439</v>
      </c>
    </row>
    <row r="221" spans="1:8" x14ac:dyDescent="0.25">
      <c r="A221" s="1">
        <v>44252</v>
      </c>
      <c r="B221" s="8">
        <v>3925.43</v>
      </c>
      <c r="C221" s="2">
        <v>948.8</v>
      </c>
      <c r="E221" s="8">
        <f t="shared" si="9"/>
        <v>-96.089999999999691</v>
      </c>
      <c r="F221" s="8">
        <f t="shared" si="10"/>
        <v>147.20000000000005</v>
      </c>
      <c r="H221" s="12">
        <f t="shared" si="11"/>
        <v>1.910919518170658</v>
      </c>
    </row>
    <row r="222" spans="1:8" x14ac:dyDescent="0.25">
      <c r="A222" s="1">
        <v>44253</v>
      </c>
      <c r="B222" s="8">
        <v>3829.34</v>
      </c>
      <c r="C222" s="2">
        <v>1096</v>
      </c>
      <c r="E222" s="8">
        <f t="shared" si="9"/>
        <v>-18.190000000000055</v>
      </c>
      <c r="F222" s="8">
        <f t="shared" si="10"/>
        <v>-52</v>
      </c>
      <c r="H222" s="12">
        <f t="shared" si="11"/>
        <v>1.9475717086345996</v>
      </c>
    </row>
    <row r="223" spans="1:8" x14ac:dyDescent="0.25">
      <c r="A223" s="1">
        <v>44256</v>
      </c>
      <c r="B223" s="8">
        <v>3811.15</v>
      </c>
      <c r="C223" s="2">
        <v>1044</v>
      </c>
      <c r="E223" s="8">
        <f t="shared" si="9"/>
        <v>90.670000000000073</v>
      </c>
      <c r="F223" s="8">
        <f t="shared" si="10"/>
        <v>-80</v>
      </c>
      <c r="H223" s="12">
        <f t="shared" si="11"/>
        <v>1.9661597690974901</v>
      </c>
    </row>
    <row r="224" spans="1:8" x14ac:dyDescent="0.25">
      <c r="A224" s="1">
        <v>44257</v>
      </c>
      <c r="B224" s="8">
        <v>3901.82</v>
      </c>
      <c r="C224" s="2">
        <v>964</v>
      </c>
      <c r="E224" s="8">
        <f t="shared" si="9"/>
        <v>-31.5300000000002</v>
      </c>
      <c r="F224" s="8">
        <f t="shared" si="10"/>
        <v>16</v>
      </c>
      <c r="H224" s="12">
        <f t="shared" si="11"/>
        <v>1.9787667338402413</v>
      </c>
    </row>
    <row r="225" spans="1:8" x14ac:dyDescent="0.25">
      <c r="A225" s="1">
        <v>44258</v>
      </c>
      <c r="B225" s="8">
        <v>3870.29</v>
      </c>
      <c r="C225" s="2">
        <v>980</v>
      </c>
      <c r="E225" s="8">
        <f t="shared" si="9"/>
        <v>-50.570000000000164</v>
      </c>
      <c r="F225" s="8">
        <f t="shared" si="10"/>
        <v>43.200000000000045</v>
      </c>
      <c r="H225" s="12">
        <f t="shared" si="11"/>
        <v>1.9959490057766731</v>
      </c>
    </row>
    <row r="226" spans="1:8" x14ac:dyDescent="0.25">
      <c r="A226" s="1">
        <v>44259</v>
      </c>
      <c r="B226" s="8">
        <v>3819.72</v>
      </c>
      <c r="C226" s="2">
        <v>1023.2</v>
      </c>
      <c r="E226" s="8">
        <f t="shared" si="9"/>
        <v>-51.25</v>
      </c>
      <c r="F226" s="8">
        <f t="shared" si="10"/>
        <v>42.399999999999864</v>
      </c>
      <c r="H226" s="12">
        <f t="shared" si="11"/>
        <v>2.0166177993242766</v>
      </c>
    </row>
    <row r="227" spans="1:8" x14ac:dyDescent="0.25">
      <c r="A227" s="1">
        <v>44260</v>
      </c>
      <c r="B227" s="8">
        <v>3768.47</v>
      </c>
      <c r="C227" s="2">
        <v>1065.5999999999999</v>
      </c>
      <c r="E227" s="8">
        <f t="shared" si="9"/>
        <v>73.470000000000255</v>
      </c>
      <c r="F227" s="8">
        <f t="shared" si="10"/>
        <v>-73.599999999999909</v>
      </c>
      <c r="H227" s="12">
        <f t="shared" si="11"/>
        <v>2.0268706419694706</v>
      </c>
    </row>
    <row r="228" spans="1:8" x14ac:dyDescent="0.25">
      <c r="A228" s="1">
        <v>44263</v>
      </c>
      <c r="B228" s="8">
        <v>3841.94</v>
      </c>
      <c r="C228" s="2">
        <v>992</v>
      </c>
      <c r="E228" s="8">
        <f t="shared" si="9"/>
        <v>-20.590000000000146</v>
      </c>
      <c r="F228" s="8">
        <f t="shared" si="10"/>
        <v>24</v>
      </c>
      <c r="H228" s="12">
        <f t="shared" si="11"/>
        <v>2.0133212696155685</v>
      </c>
    </row>
    <row r="229" spans="1:8" x14ac:dyDescent="0.25">
      <c r="A229" s="1">
        <v>44264</v>
      </c>
      <c r="B229" s="8">
        <v>3821.35</v>
      </c>
      <c r="C229" s="2">
        <v>1016</v>
      </c>
      <c r="E229" s="8">
        <f t="shared" si="9"/>
        <v>54.090000000000146</v>
      </c>
      <c r="F229" s="8">
        <f t="shared" si="10"/>
        <v>-48.799999999999955</v>
      </c>
      <c r="H229" s="12">
        <f t="shared" si="11"/>
        <v>2.0072946761539603</v>
      </c>
    </row>
    <row r="230" spans="1:8" x14ac:dyDescent="0.25">
      <c r="A230" s="1">
        <v>44265</v>
      </c>
      <c r="B230" s="8">
        <v>3875.44</v>
      </c>
      <c r="C230" s="2">
        <v>967.2</v>
      </c>
      <c r="E230" s="8">
        <f t="shared" si="9"/>
        <v>23.369999999999891</v>
      </c>
      <c r="F230" s="8">
        <f t="shared" si="10"/>
        <v>-11.200000000000045</v>
      </c>
      <c r="H230" s="12">
        <f t="shared" si="11"/>
        <v>1.9991030642114991</v>
      </c>
    </row>
    <row r="231" spans="1:8" x14ac:dyDescent="0.25">
      <c r="A231" s="1">
        <v>44266</v>
      </c>
      <c r="B231" s="8">
        <v>3898.81</v>
      </c>
      <c r="C231" s="2">
        <v>956</v>
      </c>
      <c r="E231" s="8">
        <f t="shared" si="9"/>
        <v>40.5300000000002</v>
      </c>
      <c r="F231" s="8">
        <f t="shared" si="10"/>
        <v>-24.799999999999955</v>
      </c>
      <c r="H231" s="12">
        <f t="shared" si="11"/>
        <v>1.992092333898329</v>
      </c>
    </row>
    <row r="232" spans="1:8" x14ac:dyDescent="0.25">
      <c r="A232" s="1">
        <v>44267</v>
      </c>
      <c r="B232" s="8">
        <v>3939.34</v>
      </c>
      <c r="C232" s="2">
        <v>931.2</v>
      </c>
      <c r="E232" s="8">
        <f t="shared" si="9"/>
        <v>4</v>
      </c>
      <c r="F232" s="8">
        <f t="shared" si="10"/>
        <v>-16</v>
      </c>
      <c r="H232" s="12">
        <f t="shared" si="11"/>
        <v>1.9947982100605453</v>
      </c>
    </row>
    <row r="233" spans="1:8" x14ac:dyDescent="0.25">
      <c r="A233" s="1">
        <v>44270</v>
      </c>
      <c r="B233" s="8">
        <v>3943.34</v>
      </c>
      <c r="C233" s="2">
        <v>915.2</v>
      </c>
      <c r="E233" s="8">
        <f t="shared" si="9"/>
        <v>25.599999999999909</v>
      </c>
      <c r="F233" s="8">
        <f t="shared" si="10"/>
        <v>-52</v>
      </c>
      <c r="H233" s="12">
        <f t="shared" si="11"/>
        <v>2.0025349665866083</v>
      </c>
    </row>
    <row r="234" spans="1:8" x14ac:dyDescent="0.25">
      <c r="A234" s="1">
        <v>44271</v>
      </c>
      <c r="B234" s="8">
        <v>3968.94</v>
      </c>
      <c r="C234" s="2">
        <v>863.2</v>
      </c>
      <c r="E234" s="8">
        <f t="shared" si="9"/>
        <v>-6.2300000000000182</v>
      </c>
      <c r="F234" s="8">
        <f t="shared" si="10"/>
        <v>0</v>
      </c>
      <c r="H234" s="12">
        <f t="shared" si="11"/>
        <v>2.0077717611148653</v>
      </c>
    </row>
    <row r="235" spans="1:8" x14ac:dyDescent="0.25">
      <c r="A235" s="1">
        <v>44272</v>
      </c>
      <c r="B235" s="8">
        <v>3962.71</v>
      </c>
      <c r="C235" s="2">
        <v>863.2</v>
      </c>
      <c r="E235" s="8">
        <f t="shared" si="9"/>
        <v>11.409999999999854</v>
      </c>
      <c r="F235" s="8">
        <f t="shared" si="10"/>
        <v>-39.200000000000045</v>
      </c>
      <c r="H235" s="12">
        <f t="shared" si="11"/>
        <v>2.0133118470151197</v>
      </c>
    </row>
    <row r="236" spans="1:8" x14ac:dyDescent="0.25">
      <c r="A236" s="1">
        <v>44273</v>
      </c>
      <c r="B236" s="8">
        <v>3974.12</v>
      </c>
      <c r="C236" s="2">
        <v>824</v>
      </c>
      <c r="E236" s="8">
        <f t="shared" si="9"/>
        <v>-58.659999999999854</v>
      </c>
      <c r="F236" s="8">
        <f t="shared" si="10"/>
        <v>47.200000000000045</v>
      </c>
      <c r="H236" s="12">
        <f t="shared" si="11"/>
        <v>2.0207036084453942</v>
      </c>
    </row>
    <row r="237" spans="1:8" x14ac:dyDescent="0.25">
      <c r="A237" s="1">
        <v>44274</v>
      </c>
      <c r="B237" s="8">
        <v>3915.46</v>
      </c>
      <c r="C237" s="2">
        <v>871.2</v>
      </c>
      <c r="E237" s="8">
        <f t="shared" si="9"/>
        <v>-2.3600000000001273</v>
      </c>
      <c r="F237" s="8">
        <f t="shared" si="10"/>
        <v>-28</v>
      </c>
      <c r="H237" s="12">
        <f t="shared" si="11"/>
        <v>2.0223173232681551</v>
      </c>
    </row>
    <row r="238" spans="1:8" x14ac:dyDescent="0.25">
      <c r="A238" s="1">
        <v>44277</v>
      </c>
      <c r="B238" s="8">
        <v>3913.1</v>
      </c>
      <c r="C238" s="2">
        <v>843.2</v>
      </c>
      <c r="E238" s="8">
        <f t="shared" si="9"/>
        <v>27.490000000000236</v>
      </c>
      <c r="F238" s="8">
        <f t="shared" si="10"/>
        <v>-63.200000000000045</v>
      </c>
      <c r="H238" s="12">
        <f t="shared" si="11"/>
        <v>2.0132830024204025</v>
      </c>
    </row>
    <row r="239" spans="1:8" x14ac:dyDescent="0.25">
      <c r="A239" s="1">
        <v>44278</v>
      </c>
      <c r="B239" s="8">
        <v>3940.59</v>
      </c>
      <c r="C239" s="2">
        <v>780</v>
      </c>
      <c r="E239" s="8">
        <f t="shared" si="9"/>
        <v>-30.070000000000164</v>
      </c>
      <c r="F239" s="8">
        <f t="shared" si="10"/>
        <v>40</v>
      </c>
      <c r="H239" s="12">
        <f t="shared" si="11"/>
        <v>1.9964131333692832</v>
      </c>
    </row>
    <row r="240" spans="1:8" x14ac:dyDescent="0.25">
      <c r="A240" s="1">
        <v>44279</v>
      </c>
      <c r="B240" s="8">
        <v>3910.52</v>
      </c>
      <c r="C240" s="2">
        <v>820</v>
      </c>
      <c r="E240" s="8">
        <f t="shared" si="9"/>
        <v>-21.380000000000109</v>
      </c>
      <c r="F240" s="8">
        <f t="shared" si="10"/>
        <v>4.7999999999999545</v>
      </c>
      <c r="H240" s="12">
        <f t="shared" si="11"/>
        <v>1.982573572735719</v>
      </c>
    </row>
    <row r="241" spans="1:8" x14ac:dyDescent="0.25">
      <c r="A241" s="1">
        <v>44280</v>
      </c>
      <c r="B241" s="8">
        <v>3889.14</v>
      </c>
      <c r="C241" s="2">
        <v>824.8</v>
      </c>
      <c r="E241" s="8">
        <f t="shared" si="9"/>
        <v>20.380000000000109</v>
      </c>
      <c r="F241" s="8">
        <f t="shared" si="10"/>
        <v>-25.599999999999909</v>
      </c>
      <c r="H241" s="12">
        <f t="shared" si="11"/>
        <v>1.9603291057702352</v>
      </c>
    </row>
    <row r="242" spans="1:8" x14ac:dyDescent="0.25">
      <c r="A242" s="1">
        <v>44281</v>
      </c>
      <c r="B242" s="8">
        <v>3909.52</v>
      </c>
      <c r="C242" s="2">
        <v>799.2</v>
      </c>
      <c r="E242" s="8">
        <f t="shared" si="9"/>
        <v>65.019999999999982</v>
      </c>
      <c r="F242" s="8">
        <f t="shared" si="10"/>
        <v>-31.200000000000045</v>
      </c>
      <c r="H242" s="12">
        <f t="shared" si="11"/>
        <v>1.9271411378463077</v>
      </c>
    </row>
    <row r="243" spans="1:8" x14ac:dyDescent="0.25">
      <c r="A243" s="1">
        <v>44284</v>
      </c>
      <c r="B243" s="8">
        <v>3974.54</v>
      </c>
      <c r="C243" s="2">
        <v>768</v>
      </c>
      <c r="E243" s="8">
        <f t="shared" si="9"/>
        <v>-3.4499999999998181</v>
      </c>
      <c r="F243" s="8">
        <f t="shared" si="10"/>
        <v>21.600000000000023</v>
      </c>
      <c r="H243" s="12">
        <f t="shared" si="11"/>
        <v>1.8815710884806702</v>
      </c>
    </row>
    <row r="244" spans="1:8" x14ac:dyDescent="0.25">
      <c r="A244" s="1">
        <v>44285</v>
      </c>
      <c r="B244" s="8">
        <v>3971.09</v>
      </c>
      <c r="C244" s="2">
        <v>789.6</v>
      </c>
      <c r="E244" s="8">
        <f t="shared" si="9"/>
        <v>-12.539999999999964</v>
      </c>
      <c r="F244" s="8">
        <f t="shared" si="10"/>
        <v>-36.800000000000068</v>
      </c>
      <c r="H244" s="12">
        <f t="shared" si="11"/>
        <v>1.8501161709642349</v>
      </c>
    </row>
    <row r="245" spans="1:8" x14ac:dyDescent="0.25">
      <c r="A245" s="1">
        <v>44286</v>
      </c>
      <c r="B245" s="8">
        <v>3958.55</v>
      </c>
      <c r="C245" s="2">
        <v>752.8</v>
      </c>
      <c r="E245" s="8">
        <f t="shared" si="9"/>
        <v>14.339999999999691</v>
      </c>
      <c r="F245" s="8">
        <f t="shared" si="10"/>
        <v>-4.7999999999999545</v>
      </c>
      <c r="H245" s="12">
        <f t="shared" si="11"/>
        <v>1.817218539268892</v>
      </c>
    </row>
    <row r="246" spans="1:8" x14ac:dyDescent="0.25">
      <c r="A246" s="1">
        <v>44287</v>
      </c>
      <c r="B246" s="8">
        <v>3972.89</v>
      </c>
      <c r="C246" s="2">
        <v>748</v>
      </c>
      <c r="E246" s="8">
        <f t="shared" si="9"/>
        <v>46.980000000000018</v>
      </c>
      <c r="F246" s="8">
        <f t="shared" si="10"/>
        <v>-23.200000000000045</v>
      </c>
      <c r="H246" s="12">
        <f t="shared" si="11"/>
        <v>1.7574908715935811</v>
      </c>
    </row>
    <row r="247" spans="1:8" x14ac:dyDescent="0.25">
      <c r="A247" s="1">
        <v>44291</v>
      </c>
      <c r="B247" s="8">
        <v>4019.87</v>
      </c>
      <c r="C247" s="2">
        <v>724.8</v>
      </c>
      <c r="E247" s="8">
        <f t="shared" si="9"/>
        <v>58.039999999999964</v>
      </c>
      <c r="F247" s="8">
        <f t="shared" si="10"/>
        <v>-21.599999999999909</v>
      </c>
      <c r="H247" s="12">
        <f t="shared" si="11"/>
        <v>1.6843232013620189</v>
      </c>
    </row>
    <row r="248" spans="1:8" x14ac:dyDescent="0.25">
      <c r="A248" s="1">
        <v>44292</v>
      </c>
      <c r="B248" s="8">
        <v>4077.91</v>
      </c>
      <c r="C248" s="2">
        <v>703.2</v>
      </c>
      <c r="E248" s="8">
        <f t="shared" si="9"/>
        <v>-3.9699999999997999</v>
      </c>
      <c r="F248" s="8">
        <f t="shared" si="10"/>
        <v>6.3999999999999773</v>
      </c>
      <c r="H248" s="12">
        <f t="shared" si="11"/>
        <v>1.6259158046202022</v>
      </c>
    </row>
    <row r="249" spans="1:8" x14ac:dyDescent="0.25">
      <c r="A249" s="1">
        <v>44293</v>
      </c>
      <c r="B249" s="8">
        <v>4073.94</v>
      </c>
      <c r="C249" s="2">
        <v>709.6</v>
      </c>
      <c r="E249" s="8">
        <f t="shared" si="9"/>
        <v>6.0099999999997635</v>
      </c>
      <c r="F249" s="8">
        <f t="shared" si="10"/>
        <v>-21.600000000000023</v>
      </c>
      <c r="H249" s="12">
        <f t="shared" si="11"/>
        <v>1.6047948748001468</v>
      </c>
    </row>
    <row r="250" spans="1:8" x14ac:dyDescent="0.25">
      <c r="A250" s="1">
        <v>44294</v>
      </c>
      <c r="B250" s="8">
        <v>4079.95</v>
      </c>
      <c r="C250" s="2">
        <v>688</v>
      </c>
      <c r="E250" s="8">
        <f t="shared" si="9"/>
        <v>17.220000000000255</v>
      </c>
      <c r="F250" s="8">
        <f t="shared" si="10"/>
        <v>-10.399999999999977</v>
      </c>
      <c r="H250" s="12">
        <f t="shared" si="11"/>
        <v>1.5816102850394065</v>
      </c>
    </row>
    <row r="251" spans="1:8" x14ac:dyDescent="0.25">
      <c r="A251" s="1">
        <v>44295</v>
      </c>
      <c r="B251" s="8">
        <v>4097.17</v>
      </c>
      <c r="C251" s="2">
        <v>677.6</v>
      </c>
      <c r="E251" s="8">
        <f t="shared" si="9"/>
        <v>31.630000000000109</v>
      </c>
      <c r="F251" s="8">
        <f t="shared" si="10"/>
        <v>-1.6000000000000227</v>
      </c>
      <c r="H251" s="12">
        <f t="shared" si="11"/>
        <v>1.5504106536911006</v>
      </c>
    </row>
    <row r="252" spans="1:8" x14ac:dyDescent="0.25">
      <c r="A252" s="1">
        <v>44298</v>
      </c>
      <c r="B252" s="8">
        <v>4128.8</v>
      </c>
      <c r="C252" s="2">
        <v>676</v>
      </c>
      <c r="E252" s="8">
        <f t="shared" si="9"/>
        <v>-0.81000000000040018</v>
      </c>
      <c r="F252" s="8">
        <f t="shared" si="10"/>
        <v>-10.399999999999977</v>
      </c>
      <c r="H252" s="12">
        <f t="shared" si="11"/>
        <v>1.5274679710248398</v>
      </c>
    </row>
    <row r="253" spans="1:8" x14ac:dyDescent="0.25">
      <c r="A253" s="1">
        <v>44299</v>
      </c>
      <c r="B253" s="8">
        <v>4127.99</v>
      </c>
      <c r="C253" s="2">
        <v>665.6</v>
      </c>
      <c r="E253" s="8">
        <f t="shared" si="9"/>
        <v>13.600000000000364</v>
      </c>
      <c r="F253" s="8">
        <f t="shared" si="10"/>
        <v>-5.6000000000000227</v>
      </c>
      <c r="H253" s="12">
        <f t="shared" si="11"/>
        <v>1.5282780122980306</v>
      </c>
    </row>
    <row r="254" spans="1:8" x14ac:dyDescent="0.25">
      <c r="A254" s="1">
        <v>44300</v>
      </c>
      <c r="B254" s="8">
        <v>4141.59</v>
      </c>
      <c r="C254" s="2">
        <v>660</v>
      </c>
      <c r="E254" s="8">
        <f t="shared" si="9"/>
        <v>-16.930000000000291</v>
      </c>
      <c r="F254" s="8">
        <f t="shared" si="10"/>
        <v>15.200000000000045</v>
      </c>
      <c r="H254" s="12">
        <f t="shared" si="11"/>
        <v>1.5238147993587423</v>
      </c>
    </row>
    <row r="255" spans="1:8" x14ac:dyDescent="0.25">
      <c r="A255" s="1">
        <v>44301</v>
      </c>
      <c r="B255" s="8">
        <v>4124.66</v>
      </c>
      <c r="C255" s="2">
        <v>675.2</v>
      </c>
      <c r="E255" s="8">
        <f t="shared" si="9"/>
        <v>45.760000000000218</v>
      </c>
      <c r="F255" s="8">
        <f t="shared" si="10"/>
        <v>-22.400000000000091</v>
      </c>
      <c r="H255" s="12">
        <f t="shared" si="11"/>
        <v>1.5257931581020678</v>
      </c>
    </row>
    <row r="256" spans="1:8" x14ac:dyDescent="0.25">
      <c r="A256" s="1">
        <v>44302</v>
      </c>
      <c r="B256" s="8">
        <v>4170.42</v>
      </c>
      <c r="C256" s="2">
        <v>652.79999999999995</v>
      </c>
      <c r="E256" s="8">
        <f t="shared" si="9"/>
        <v>15.050000000000182</v>
      </c>
      <c r="F256" s="8">
        <f t="shared" si="10"/>
        <v>-10.399999999999977</v>
      </c>
      <c r="H256" s="12">
        <f t="shared" si="11"/>
        <v>1.5207893402331412</v>
      </c>
    </row>
    <row r="257" spans="1:8" x14ac:dyDescent="0.25">
      <c r="A257" s="1">
        <v>44305</v>
      </c>
      <c r="B257" s="8">
        <v>4185.47</v>
      </c>
      <c r="C257" s="2">
        <v>642.4</v>
      </c>
      <c r="E257" s="8">
        <f t="shared" si="9"/>
        <v>-22.210000000000036</v>
      </c>
      <c r="F257" s="8">
        <f t="shared" si="10"/>
        <v>22.399999999999977</v>
      </c>
      <c r="H257" s="12">
        <f t="shared" si="11"/>
        <v>1.5281703729067204</v>
      </c>
    </row>
    <row r="258" spans="1:8" x14ac:dyDescent="0.25">
      <c r="A258" s="1">
        <v>44306</v>
      </c>
      <c r="B258" s="8">
        <v>4163.26</v>
      </c>
      <c r="C258" s="2">
        <v>664.8</v>
      </c>
      <c r="E258" s="8">
        <f t="shared" si="9"/>
        <v>-28.320000000000618</v>
      </c>
      <c r="F258" s="8">
        <f t="shared" si="10"/>
        <v>15.200000000000045</v>
      </c>
      <c r="H258" s="12">
        <f t="shared" si="11"/>
        <v>1.532846900898547</v>
      </c>
    </row>
    <row r="259" spans="1:8" x14ac:dyDescent="0.25">
      <c r="A259" s="1">
        <v>44307</v>
      </c>
      <c r="B259" s="8">
        <v>4134.9399999999996</v>
      </c>
      <c r="C259" s="2">
        <v>680</v>
      </c>
      <c r="E259" s="8">
        <f t="shared" ref="E259:E322" si="12">B260-B259</f>
        <v>38.480000000000473</v>
      </c>
      <c r="F259" s="8">
        <f t="shared" ref="F259:F322" si="13">C260-C259</f>
        <v>-35.200000000000045</v>
      </c>
      <c r="H259" s="12">
        <f t="shared" ref="H259:H322" si="14">LOG(_xlfn.STDEV.P(B259:B289))</f>
        <v>1.5403488982453457</v>
      </c>
    </row>
    <row r="260" spans="1:8" x14ac:dyDescent="0.25">
      <c r="A260" s="1">
        <v>44308</v>
      </c>
      <c r="B260" s="8">
        <v>4173.42</v>
      </c>
      <c r="C260" s="2">
        <v>644.79999999999995</v>
      </c>
      <c r="E260" s="8">
        <f t="shared" si="12"/>
        <v>-38.440000000000509</v>
      </c>
      <c r="F260" s="8">
        <f t="shared" si="13"/>
        <v>44.800000000000068</v>
      </c>
      <c r="H260" s="12">
        <f t="shared" si="14"/>
        <v>1.5339748094095063</v>
      </c>
    </row>
    <row r="261" spans="1:8" x14ac:dyDescent="0.25">
      <c r="A261" s="1">
        <v>44309</v>
      </c>
      <c r="B261" s="8">
        <v>4134.9799999999996</v>
      </c>
      <c r="C261" s="2">
        <v>689.6</v>
      </c>
      <c r="E261" s="8">
        <f t="shared" si="12"/>
        <v>45.190000000000509</v>
      </c>
      <c r="F261" s="8">
        <f t="shared" si="13"/>
        <v>-31.200000000000045</v>
      </c>
      <c r="H261" s="12">
        <f t="shared" si="14"/>
        <v>1.551258525192772</v>
      </c>
    </row>
    <row r="262" spans="1:8" x14ac:dyDescent="0.25">
      <c r="A262" s="1">
        <v>44312</v>
      </c>
      <c r="B262" s="8">
        <v>4180.17</v>
      </c>
      <c r="C262" s="2">
        <v>658.4</v>
      </c>
      <c r="E262" s="8">
        <f t="shared" si="12"/>
        <v>7.4499999999998181</v>
      </c>
      <c r="F262" s="8">
        <f t="shared" si="13"/>
        <v>-4.7999999999999545</v>
      </c>
      <c r="H262" s="12">
        <f t="shared" si="14"/>
        <v>1.554574606718726</v>
      </c>
    </row>
    <row r="263" spans="1:8" x14ac:dyDescent="0.25">
      <c r="A263" s="1">
        <v>44313</v>
      </c>
      <c r="B263" s="8">
        <v>4187.62</v>
      </c>
      <c r="C263" s="2">
        <v>653.6</v>
      </c>
      <c r="E263" s="8">
        <f t="shared" si="12"/>
        <v>-0.8999999999996362</v>
      </c>
      <c r="F263" s="8">
        <f t="shared" si="13"/>
        <v>-14.399999999999977</v>
      </c>
      <c r="H263" s="12">
        <f t="shared" si="14"/>
        <v>1.5665662818690349</v>
      </c>
    </row>
    <row r="264" spans="1:8" x14ac:dyDescent="0.25">
      <c r="A264" s="1">
        <v>44314</v>
      </c>
      <c r="B264" s="8">
        <v>4186.72</v>
      </c>
      <c r="C264" s="2">
        <v>639.20000000000005</v>
      </c>
      <c r="E264" s="8">
        <f t="shared" si="12"/>
        <v>-3.5399999999999636</v>
      </c>
      <c r="F264" s="8">
        <f t="shared" si="13"/>
        <v>-2.4000000000000909</v>
      </c>
      <c r="H264" s="12">
        <f t="shared" si="14"/>
        <v>1.5738896677718481</v>
      </c>
    </row>
    <row r="265" spans="1:8" x14ac:dyDescent="0.25">
      <c r="A265" s="1">
        <v>44315</v>
      </c>
      <c r="B265" s="8">
        <v>4183.18</v>
      </c>
      <c r="C265" s="2">
        <v>636.79999999999995</v>
      </c>
      <c r="E265" s="8">
        <f t="shared" si="12"/>
        <v>28.289999999999964</v>
      </c>
      <c r="F265" s="8">
        <f t="shared" si="13"/>
        <v>-4</v>
      </c>
      <c r="H265" s="12">
        <f t="shared" si="14"/>
        <v>1.5893436674409989</v>
      </c>
    </row>
    <row r="266" spans="1:8" x14ac:dyDescent="0.25">
      <c r="A266" s="1">
        <v>44316</v>
      </c>
      <c r="B266" s="8">
        <v>4211.47</v>
      </c>
      <c r="C266" s="2">
        <v>632.79999999999995</v>
      </c>
      <c r="E266" s="8">
        <f t="shared" si="12"/>
        <v>-30.300000000000182</v>
      </c>
      <c r="F266" s="8">
        <f t="shared" si="13"/>
        <v>25.600000000000023</v>
      </c>
      <c r="H266" s="12">
        <f t="shared" si="14"/>
        <v>1.6071502352887488</v>
      </c>
    </row>
    <row r="267" spans="1:8" x14ac:dyDescent="0.25">
      <c r="A267" s="1">
        <v>44319</v>
      </c>
      <c r="B267" s="8">
        <v>4181.17</v>
      </c>
      <c r="C267" s="2">
        <v>658.4</v>
      </c>
      <c r="E267" s="8">
        <f t="shared" si="12"/>
        <v>11.489999999999782</v>
      </c>
      <c r="F267" s="8">
        <f t="shared" si="13"/>
        <v>-24.799999999999955</v>
      </c>
      <c r="H267" s="12">
        <f t="shared" si="14"/>
        <v>1.6241613495706433</v>
      </c>
    </row>
    <row r="268" spans="1:8" x14ac:dyDescent="0.25">
      <c r="A268" s="1">
        <v>44320</v>
      </c>
      <c r="B268" s="8">
        <v>4192.66</v>
      </c>
      <c r="C268" s="2">
        <v>633.6</v>
      </c>
      <c r="E268" s="8">
        <f t="shared" si="12"/>
        <v>-28</v>
      </c>
      <c r="F268" s="8">
        <f t="shared" si="13"/>
        <v>24</v>
      </c>
      <c r="H268" s="12">
        <f t="shared" si="14"/>
        <v>1.6372980470057854</v>
      </c>
    </row>
    <row r="269" spans="1:8" x14ac:dyDescent="0.25">
      <c r="A269" s="1">
        <v>44321</v>
      </c>
      <c r="B269" s="8">
        <v>4164.66</v>
      </c>
      <c r="C269" s="2">
        <v>657.6</v>
      </c>
      <c r="E269" s="8">
        <f t="shared" si="12"/>
        <v>2.930000000000291</v>
      </c>
      <c r="F269" s="8">
        <f t="shared" si="13"/>
        <v>-15.200000000000045</v>
      </c>
      <c r="H269" s="12">
        <f t="shared" si="14"/>
        <v>1.6416262177871508</v>
      </c>
    </row>
    <row r="270" spans="1:8" x14ac:dyDescent="0.25">
      <c r="A270" s="1">
        <v>44322</v>
      </c>
      <c r="B270" s="8">
        <v>4167.59</v>
      </c>
      <c r="C270" s="2">
        <v>642.4</v>
      </c>
      <c r="E270" s="8">
        <f t="shared" si="12"/>
        <v>34.029999999999745</v>
      </c>
      <c r="F270" s="8">
        <f t="shared" si="13"/>
        <v>-4</v>
      </c>
      <c r="H270" s="12">
        <f t="shared" si="14"/>
        <v>1.6426986064527103</v>
      </c>
    </row>
    <row r="271" spans="1:8" x14ac:dyDescent="0.25">
      <c r="A271" s="1">
        <v>44323</v>
      </c>
      <c r="B271" s="8">
        <v>4201.62</v>
      </c>
      <c r="C271" s="2">
        <v>638.4</v>
      </c>
      <c r="E271" s="8">
        <f t="shared" si="12"/>
        <v>30.980000000000473</v>
      </c>
      <c r="F271" s="8">
        <f t="shared" si="13"/>
        <v>-38.399999999999977</v>
      </c>
      <c r="H271" s="12">
        <f t="shared" si="14"/>
        <v>1.6429018933098249</v>
      </c>
    </row>
    <row r="272" spans="1:8" x14ac:dyDescent="0.25">
      <c r="A272" s="1">
        <v>44326</v>
      </c>
      <c r="B272" s="8">
        <v>4232.6000000000004</v>
      </c>
      <c r="C272" s="2">
        <v>600</v>
      </c>
      <c r="E272" s="8">
        <f t="shared" si="12"/>
        <v>-44.170000000000073</v>
      </c>
      <c r="F272" s="8">
        <f t="shared" si="13"/>
        <v>26.399999999999977</v>
      </c>
      <c r="H272" s="12">
        <f t="shared" si="14"/>
        <v>1.6464465842910729</v>
      </c>
    </row>
    <row r="273" spans="1:8" x14ac:dyDescent="0.25">
      <c r="A273" s="1">
        <v>44327</v>
      </c>
      <c r="B273" s="8">
        <v>4188.43</v>
      </c>
      <c r="C273" s="2">
        <v>626.4</v>
      </c>
      <c r="E273" s="8">
        <f t="shared" si="12"/>
        <v>-36.329999999999927</v>
      </c>
      <c r="F273" s="8">
        <f t="shared" si="13"/>
        <v>48.800000000000068</v>
      </c>
      <c r="H273" s="12">
        <f t="shared" si="14"/>
        <v>1.6510382456726804</v>
      </c>
    </row>
    <row r="274" spans="1:8" x14ac:dyDescent="0.25">
      <c r="A274" s="1">
        <v>44328</v>
      </c>
      <c r="B274" s="8">
        <v>4152.1000000000004</v>
      </c>
      <c r="C274" s="2">
        <v>675.2</v>
      </c>
      <c r="E274" s="8">
        <f t="shared" si="12"/>
        <v>-89.0600000000004</v>
      </c>
      <c r="F274" s="8">
        <f t="shared" si="13"/>
        <v>116</v>
      </c>
      <c r="H274" s="12">
        <f t="shared" si="14"/>
        <v>1.6589212049265336</v>
      </c>
    </row>
    <row r="275" spans="1:8" x14ac:dyDescent="0.25">
      <c r="A275" s="1">
        <v>44329</v>
      </c>
      <c r="B275" s="8">
        <v>4063.04</v>
      </c>
      <c r="C275" s="2">
        <v>791.2</v>
      </c>
      <c r="E275" s="8">
        <f t="shared" si="12"/>
        <v>49.460000000000036</v>
      </c>
      <c r="F275" s="8">
        <f t="shared" si="13"/>
        <v>-74.400000000000091</v>
      </c>
      <c r="H275" s="12">
        <f t="shared" si="14"/>
        <v>1.6686905307628601</v>
      </c>
    </row>
    <row r="276" spans="1:8" x14ac:dyDescent="0.25">
      <c r="A276" s="1">
        <v>44330</v>
      </c>
      <c r="B276" s="8">
        <v>4112.5</v>
      </c>
      <c r="C276" s="2">
        <v>716.8</v>
      </c>
      <c r="E276" s="8">
        <f t="shared" si="12"/>
        <v>61.350000000000364</v>
      </c>
      <c r="F276" s="8">
        <f t="shared" si="13"/>
        <v>-84</v>
      </c>
      <c r="H276" s="12">
        <f t="shared" si="14"/>
        <v>1.6222486967007421</v>
      </c>
    </row>
    <row r="277" spans="1:8" x14ac:dyDescent="0.25">
      <c r="A277" s="1">
        <v>44333</v>
      </c>
      <c r="B277" s="8">
        <v>4173.8500000000004</v>
      </c>
      <c r="C277" s="2">
        <v>632.79999999999995</v>
      </c>
      <c r="E277" s="8">
        <f t="shared" si="12"/>
        <v>-10.5600000000004</v>
      </c>
      <c r="F277" s="8">
        <f t="shared" si="13"/>
        <v>12.800000000000068</v>
      </c>
      <c r="H277" s="12">
        <f t="shared" si="14"/>
        <v>1.6127856299246046</v>
      </c>
    </row>
    <row r="278" spans="1:8" x14ac:dyDescent="0.25">
      <c r="A278" s="1">
        <v>44334</v>
      </c>
      <c r="B278" s="8">
        <v>4163.29</v>
      </c>
      <c r="C278" s="2">
        <v>645.6</v>
      </c>
      <c r="E278" s="8">
        <f t="shared" si="12"/>
        <v>-35.460000000000036</v>
      </c>
      <c r="F278" s="8">
        <f t="shared" si="13"/>
        <v>17.600000000000023</v>
      </c>
      <c r="H278" s="12">
        <f t="shared" si="14"/>
        <v>1.6315865945006964</v>
      </c>
    </row>
    <row r="279" spans="1:8" x14ac:dyDescent="0.25">
      <c r="A279" s="1">
        <v>44335</v>
      </c>
      <c r="B279" s="8">
        <v>4127.83</v>
      </c>
      <c r="C279" s="2">
        <v>663.2</v>
      </c>
      <c r="E279" s="8">
        <f t="shared" si="12"/>
        <v>-12.149999999999636</v>
      </c>
      <c r="F279" s="8">
        <f t="shared" si="13"/>
        <v>28.799999999999955</v>
      </c>
      <c r="H279" s="12">
        <f t="shared" si="14"/>
        <v>1.6449926536117683</v>
      </c>
    </row>
    <row r="280" spans="1:8" x14ac:dyDescent="0.25">
      <c r="A280" s="1">
        <v>44336</v>
      </c>
      <c r="B280" s="8">
        <v>4115.68</v>
      </c>
      <c r="C280" s="2">
        <v>692</v>
      </c>
      <c r="E280" s="8">
        <f t="shared" si="12"/>
        <v>43.4399999999996</v>
      </c>
      <c r="F280" s="8">
        <f t="shared" si="13"/>
        <v>-36.799999999999955</v>
      </c>
      <c r="H280" s="12">
        <f t="shared" si="14"/>
        <v>1.6473381026693736</v>
      </c>
    </row>
    <row r="281" spans="1:8" x14ac:dyDescent="0.25">
      <c r="A281" s="1">
        <v>44337</v>
      </c>
      <c r="B281" s="8">
        <v>4159.12</v>
      </c>
      <c r="C281" s="2">
        <v>655.20000000000005</v>
      </c>
      <c r="E281" s="8">
        <f t="shared" si="12"/>
        <v>-3.2600000000002183</v>
      </c>
      <c r="F281" s="8">
        <f t="shared" si="13"/>
        <v>-8.8000000000000682</v>
      </c>
      <c r="H281" s="12">
        <f t="shared" si="14"/>
        <v>1.6554569222779183</v>
      </c>
    </row>
    <row r="282" spans="1:8" x14ac:dyDescent="0.25">
      <c r="A282" s="1">
        <v>44340</v>
      </c>
      <c r="B282" s="8">
        <v>4155.8599999999997</v>
      </c>
      <c r="C282" s="2">
        <v>646.4</v>
      </c>
      <c r="E282" s="8">
        <f t="shared" si="12"/>
        <v>41.190000000000509</v>
      </c>
      <c r="F282" s="8">
        <f t="shared" si="13"/>
        <v>-29.600000000000023</v>
      </c>
      <c r="H282" s="12">
        <f t="shared" si="14"/>
        <v>1.6741346833995685</v>
      </c>
    </row>
    <row r="283" spans="1:8" x14ac:dyDescent="0.25">
      <c r="A283" s="1">
        <v>44341</v>
      </c>
      <c r="B283" s="8">
        <v>4197.05</v>
      </c>
      <c r="C283" s="2">
        <v>616.79999999999995</v>
      </c>
      <c r="E283" s="8">
        <f t="shared" si="12"/>
        <v>-8.9200000000000728</v>
      </c>
      <c r="F283" s="8">
        <f t="shared" si="13"/>
        <v>0</v>
      </c>
      <c r="H283" s="12">
        <f t="shared" si="14"/>
        <v>1.6922592458892951</v>
      </c>
    </row>
    <row r="284" spans="1:8" x14ac:dyDescent="0.25">
      <c r="A284" s="1">
        <v>44342</v>
      </c>
      <c r="B284" s="8">
        <v>4188.13</v>
      </c>
      <c r="C284" s="2">
        <v>616.79999999999995</v>
      </c>
      <c r="E284" s="8">
        <f t="shared" si="12"/>
        <v>7.8599999999996726</v>
      </c>
      <c r="F284" s="8">
        <f t="shared" si="13"/>
        <v>-29</v>
      </c>
      <c r="H284" s="12">
        <f t="shared" si="14"/>
        <v>1.7003720243360658</v>
      </c>
    </row>
    <row r="285" spans="1:8" x14ac:dyDescent="0.25">
      <c r="A285" s="1">
        <v>44343</v>
      </c>
      <c r="B285" s="8">
        <v>4195.99</v>
      </c>
      <c r="C285" s="2">
        <v>587.79999999999995</v>
      </c>
      <c r="E285" s="8">
        <f t="shared" si="12"/>
        <v>4.8900000000003274</v>
      </c>
      <c r="F285" s="8">
        <f t="shared" si="13"/>
        <v>-28.599999999999909</v>
      </c>
      <c r="H285" s="12">
        <f t="shared" si="14"/>
        <v>1.7256482155382864</v>
      </c>
    </row>
    <row r="286" spans="1:8" x14ac:dyDescent="0.25">
      <c r="A286" s="1">
        <v>44344</v>
      </c>
      <c r="B286" s="8">
        <v>4200.88</v>
      </c>
      <c r="C286" s="2">
        <v>559.20000000000005</v>
      </c>
      <c r="E286" s="8">
        <f t="shared" si="12"/>
        <v>3.2299999999995634</v>
      </c>
      <c r="F286" s="8">
        <f t="shared" si="13"/>
        <v>8</v>
      </c>
      <c r="H286" s="12">
        <f t="shared" si="14"/>
        <v>1.7537078488401476</v>
      </c>
    </row>
    <row r="287" spans="1:8" x14ac:dyDescent="0.25">
      <c r="A287" s="1">
        <v>44348</v>
      </c>
      <c r="B287" s="8">
        <v>4204.1099999999997</v>
      </c>
      <c r="C287" s="2">
        <v>567.20000000000005</v>
      </c>
      <c r="E287" s="8">
        <f t="shared" si="12"/>
        <v>-2.069999999999709</v>
      </c>
      <c r="F287" s="8">
        <f t="shared" si="13"/>
        <v>14.199999999999932</v>
      </c>
      <c r="H287" s="12">
        <f t="shared" si="14"/>
        <v>1.7685933668572105</v>
      </c>
    </row>
    <row r="288" spans="1:8" x14ac:dyDescent="0.25">
      <c r="A288" s="1">
        <v>44349</v>
      </c>
      <c r="B288" s="8">
        <v>4202.04</v>
      </c>
      <c r="C288" s="2">
        <v>581.4</v>
      </c>
      <c r="E288" s="8">
        <f t="shared" si="12"/>
        <v>6.0799999999999272</v>
      </c>
      <c r="F288" s="8">
        <f t="shared" si="13"/>
        <v>-14.199999999999932</v>
      </c>
      <c r="H288" s="12">
        <f t="shared" si="14"/>
        <v>1.7818277643160352</v>
      </c>
    </row>
    <row r="289" spans="1:8" x14ac:dyDescent="0.25">
      <c r="A289" s="1">
        <v>44350</v>
      </c>
      <c r="B289" s="8">
        <v>4208.12</v>
      </c>
      <c r="C289" s="2">
        <v>567.20000000000005</v>
      </c>
      <c r="E289" s="8">
        <f t="shared" si="12"/>
        <v>-15.269999999999527</v>
      </c>
      <c r="F289" s="8">
        <f t="shared" si="13"/>
        <v>10.399999999999977</v>
      </c>
      <c r="H289" s="12">
        <f t="shared" si="14"/>
        <v>1.7855755096059309</v>
      </c>
    </row>
    <row r="290" spans="1:8" x14ac:dyDescent="0.25">
      <c r="A290" s="1">
        <v>44351</v>
      </c>
      <c r="B290" s="8">
        <v>4192.8500000000004</v>
      </c>
      <c r="C290" s="2">
        <v>577.6</v>
      </c>
      <c r="E290" s="8">
        <f t="shared" si="12"/>
        <v>37.039999999999964</v>
      </c>
      <c r="F290" s="8">
        <f t="shared" si="13"/>
        <v>-30.600000000000023</v>
      </c>
      <c r="H290" s="12">
        <f t="shared" si="14"/>
        <v>1.7803149173493253</v>
      </c>
    </row>
    <row r="291" spans="1:8" x14ac:dyDescent="0.25">
      <c r="A291" s="1">
        <v>44354</v>
      </c>
      <c r="B291" s="8">
        <v>4229.8900000000003</v>
      </c>
      <c r="C291" s="2">
        <v>547</v>
      </c>
      <c r="E291" s="8">
        <f t="shared" si="12"/>
        <v>-3.3699999999998909</v>
      </c>
      <c r="F291" s="8">
        <f t="shared" si="13"/>
        <v>-9.7999999999999545</v>
      </c>
      <c r="H291" s="12">
        <f t="shared" si="14"/>
        <v>1.7655179993284951</v>
      </c>
    </row>
    <row r="292" spans="1:8" x14ac:dyDescent="0.25">
      <c r="A292" s="1">
        <v>44355</v>
      </c>
      <c r="B292" s="8">
        <v>4226.5200000000004</v>
      </c>
      <c r="C292" s="2">
        <v>537.20000000000005</v>
      </c>
      <c r="E292" s="8">
        <f t="shared" si="12"/>
        <v>0.73999999999978172</v>
      </c>
      <c r="F292" s="8">
        <f t="shared" si="13"/>
        <v>6.5999999999999091</v>
      </c>
      <c r="H292" s="12">
        <f t="shared" si="14"/>
        <v>1.7622989202472059</v>
      </c>
    </row>
    <row r="293" spans="1:8" x14ac:dyDescent="0.25">
      <c r="A293" s="1">
        <v>44356</v>
      </c>
      <c r="B293" s="8">
        <v>4227.26</v>
      </c>
      <c r="C293" s="2">
        <v>543.79999999999995</v>
      </c>
      <c r="E293" s="8">
        <f t="shared" si="12"/>
        <v>-7.7100000000000364</v>
      </c>
      <c r="F293" s="8">
        <f t="shared" si="13"/>
        <v>8.2000000000000455</v>
      </c>
      <c r="H293" s="12">
        <f t="shared" si="14"/>
        <v>1.764599821822292</v>
      </c>
    </row>
    <row r="294" spans="1:8" x14ac:dyDescent="0.25">
      <c r="A294" s="1">
        <v>44357</v>
      </c>
      <c r="B294" s="8">
        <v>4219.55</v>
      </c>
      <c r="C294" s="2">
        <v>552</v>
      </c>
      <c r="E294" s="8">
        <f t="shared" si="12"/>
        <v>19.630000000000109</v>
      </c>
      <c r="F294" s="8">
        <f t="shared" si="13"/>
        <v>-33.399999999999977</v>
      </c>
      <c r="H294" s="12">
        <f t="shared" si="14"/>
        <v>1.7672278446737928</v>
      </c>
    </row>
    <row r="295" spans="1:8" x14ac:dyDescent="0.25">
      <c r="A295" s="1">
        <v>44358</v>
      </c>
      <c r="B295" s="8">
        <v>4239.18</v>
      </c>
      <c r="C295" s="2">
        <v>518.6</v>
      </c>
      <c r="E295" s="8">
        <f t="shared" si="12"/>
        <v>8.2599999999993088</v>
      </c>
      <c r="F295" s="8">
        <f t="shared" si="13"/>
        <v>-14</v>
      </c>
      <c r="H295" s="12">
        <f t="shared" si="14"/>
        <v>1.7805689284001036</v>
      </c>
    </row>
    <row r="296" spans="1:8" x14ac:dyDescent="0.25">
      <c r="A296" s="1">
        <v>44361</v>
      </c>
      <c r="B296" s="8">
        <v>4247.4399999999996</v>
      </c>
      <c r="C296" s="2">
        <v>504.6</v>
      </c>
      <c r="E296" s="8">
        <f t="shared" si="12"/>
        <v>7.7100000000000364</v>
      </c>
      <c r="F296" s="8">
        <f t="shared" si="13"/>
        <v>3.7999999999999545</v>
      </c>
      <c r="H296" s="12">
        <f t="shared" si="14"/>
        <v>1.7984881492772344</v>
      </c>
    </row>
    <row r="297" spans="1:8" x14ac:dyDescent="0.25">
      <c r="A297" s="1">
        <v>44362</v>
      </c>
      <c r="B297" s="8">
        <v>4255.1499999999996</v>
      </c>
      <c r="C297" s="2">
        <v>508.4</v>
      </c>
      <c r="E297" s="8">
        <f t="shared" si="12"/>
        <v>-8.5599999999994907</v>
      </c>
      <c r="F297" s="8">
        <f t="shared" si="13"/>
        <v>11.5</v>
      </c>
      <c r="H297" s="12">
        <f t="shared" si="14"/>
        <v>1.806407643264077</v>
      </c>
    </row>
    <row r="298" spans="1:8" x14ac:dyDescent="0.25">
      <c r="A298" s="1">
        <v>44363</v>
      </c>
      <c r="B298" s="8">
        <v>4246.59</v>
      </c>
      <c r="C298" s="2">
        <v>519.9</v>
      </c>
      <c r="E298" s="8">
        <f t="shared" si="12"/>
        <v>-22.890000000000327</v>
      </c>
      <c r="F298" s="8">
        <f t="shared" si="13"/>
        <v>5.1000000000000227</v>
      </c>
      <c r="H298" s="12">
        <f t="shared" si="14"/>
        <v>1.8129648752930703</v>
      </c>
    </row>
    <row r="299" spans="1:8" x14ac:dyDescent="0.25">
      <c r="A299" s="1">
        <v>44364</v>
      </c>
      <c r="B299" s="8">
        <v>4223.7</v>
      </c>
      <c r="C299" s="2">
        <v>525</v>
      </c>
      <c r="E299" s="8">
        <f t="shared" si="12"/>
        <v>-1.8400000000001455</v>
      </c>
      <c r="F299" s="8">
        <f t="shared" si="13"/>
        <v>-3.2000000000000455</v>
      </c>
      <c r="H299" s="12">
        <f t="shared" si="14"/>
        <v>1.8204082804525366</v>
      </c>
    </row>
    <row r="300" spans="1:8" x14ac:dyDescent="0.25">
      <c r="A300" s="1">
        <v>44365</v>
      </c>
      <c r="B300" s="8">
        <v>4221.8599999999997</v>
      </c>
      <c r="C300" s="2">
        <v>521.79999999999995</v>
      </c>
      <c r="E300" s="8">
        <f t="shared" si="12"/>
        <v>-55.409999999999854</v>
      </c>
      <c r="F300" s="8">
        <f t="shared" si="13"/>
        <v>45.400000000000091</v>
      </c>
      <c r="H300" s="12">
        <f t="shared" si="14"/>
        <v>1.8116022885561998</v>
      </c>
    </row>
    <row r="301" spans="1:8" x14ac:dyDescent="0.25">
      <c r="A301" s="1">
        <v>44368</v>
      </c>
      <c r="B301" s="8">
        <v>4166.45</v>
      </c>
      <c r="C301" s="2">
        <v>567.20000000000005</v>
      </c>
      <c r="E301" s="8">
        <f t="shared" si="12"/>
        <v>58.340000000000146</v>
      </c>
      <c r="F301" s="8">
        <f t="shared" si="13"/>
        <v>-37.200000000000045</v>
      </c>
      <c r="H301" s="12">
        <f t="shared" si="14"/>
        <v>1.7967071917234105</v>
      </c>
    </row>
    <row r="302" spans="1:8" x14ac:dyDescent="0.25">
      <c r="A302" s="1">
        <v>44369</v>
      </c>
      <c r="B302" s="8">
        <v>4224.79</v>
      </c>
      <c r="C302" s="2">
        <v>530</v>
      </c>
      <c r="E302" s="8">
        <f t="shared" si="12"/>
        <v>21.649999999999636</v>
      </c>
      <c r="F302" s="8">
        <f t="shared" si="13"/>
        <v>-24.600000000000023</v>
      </c>
      <c r="H302" s="12">
        <f t="shared" si="14"/>
        <v>1.7536089565018582</v>
      </c>
    </row>
    <row r="303" spans="1:8" x14ac:dyDescent="0.25">
      <c r="A303" s="1">
        <v>44370</v>
      </c>
      <c r="B303" s="8">
        <v>4246.4399999999996</v>
      </c>
      <c r="C303" s="2">
        <v>505.4</v>
      </c>
      <c r="E303" s="8">
        <f t="shared" si="12"/>
        <v>-4.5999999999994543</v>
      </c>
      <c r="F303" s="8">
        <f t="shared" si="13"/>
        <v>-10</v>
      </c>
      <c r="H303" s="12">
        <f t="shared" si="14"/>
        <v>1.7284029639690472</v>
      </c>
    </row>
    <row r="304" spans="1:8" x14ac:dyDescent="0.25">
      <c r="A304" s="1">
        <v>44371</v>
      </c>
      <c r="B304" s="8">
        <v>4241.84</v>
      </c>
      <c r="C304" s="2">
        <v>495.4</v>
      </c>
      <c r="E304" s="8">
        <f t="shared" si="12"/>
        <v>24.649999999999636</v>
      </c>
      <c r="F304" s="8">
        <f t="shared" si="13"/>
        <v>-10.799999999999955</v>
      </c>
      <c r="H304" s="12">
        <f t="shared" si="14"/>
        <v>1.7169541372077171</v>
      </c>
    </row>
    <row r="305" spans="1:8" x14ac:dyDescent="0.25">
      <c r="A305" s="1">
        <v>44372</v>
      </c>
      <c r="B305" s="8">
        <v>4266.49</v>
      </c>
      <c r="C305" s="2">
        <v>484.6</v>
      </c>
      <c r="E305" s="8">
        <f t="shared" si="12"/>
        <v>14.210000000000036</v>
      </c>
      <c r="F305" s="8">
        <f t="shared" si="13"/>
        <v>-7.2000000000000455</v>
      </c>
      <c r="H305" s="12">
        <f t="shared" si="14"/>
        <v>1.6990069281039804</v>
      </c>
    </row>
    <row r="306" spans="1:8" x14ac:dyDescent="0.25">
      <c r="A306" s="1">
        <v>44375</v>
      </c>
      <c r="B306" s="8">
        <v>4280.7</v>
      </c>
      <c r="C306" s="2">
        <v>477.4</v>
      </c>
      <c r="E306" s="8">
        <f t="shared" si="12"/>
        <v>9.9099999999998545</v>
      </c>
      <c r="F306" s="8">
        <f t="shared" si="13"/>
        <v>0.80000000000001137</v>
      </c>
      <c r="H306" s="12">
        <f t="shared" si="14"/>
        <v>1.6868445528359941</v>
      </c>
    </row>
    <row r="307" spans="1:8" x14ac:dyDescent="0.25">
      <c r="A307" s="1">
        <v>44376</v>
      </c>
      <c r="B307" s="8">
        <v>4290.6099999999997</v>
      </c>
      <c r="C307" s="2">
        <v>478.2</v>
      </c>
      <c r="E307" s="8">
        <f t="shared" si="12"/>
        <v>1.1900000000005093</v>
      </c>
      <c r="F307" s="8">
        <f t="shared" si="13"/>
        <v>8.4000000000000341</v>
      </c>
      <c r="H307" s="12">
        <f t="shared" si="14"/>
        <v>1.6787283742070478</v>
      </c>
    </row>
    <row r="308" spans="1:8" x14ac:dyDescent="0.25">
      <c r="A308" s="1">
        <v>44377</v>
      </c>
      <c r="B308" s="8">
        <v>4291.8</v>
      </c>
      <c r="C308" s="2">
        <v>486.6</v>
      </c>
      <c r="E308" s="8">
        <f t="shared" si="12"/>
        <v>5.6999999999998181</v>
      </c>
      <c r="F308" s="8">
        <f t="shared" si="13"/>
        <v>-5</v>
      </c>
      <c r="H308" s="12">
        <f t="shared" si="14"/>
        <v>1.6732481792114877</v>
      </c>
    </row>
    <row r="309" spans="1:8" x14ac:dyDescent="0.25">
      <c r="A309" s="1">
        <v>44378</v>
      </c>
      <c r="B309" s="8">
        <v>4297.5</v>
      </c>
      <c r="C309" s="2">
        <v>481.6</v>
      </c>
      <c r="E309" s="8">
        <f t="shared" si="12"/>
        <v>22.4399999999996</v>
      </c>
      <c r="F309" s="8">
        <f t="shared" si="13"/>
        <v>-6.6000000000000227</v>
      </c>
      <c r="H309" s="12">
        <f t="shared" si="14"/>
        <v>1.6720021692555411</v>
      </c>
    </row>
    <row r="310" spans="1:8" x14ac:dyDescent="0.25">
      <c r="A310" s="1">
        <v>44379</v>
      </c>
      <c r="B310" s="8">
        <v>4319.9399999999996</v>
      </c>
      <c r="C310" s="2">
        <v>475</v>
      </c>
      <c r="E310" s="8">
        <f t="shared" si="12"/>
        <v>32.400000000000546</v>
      </c>
      <c r="F310" s="8">
        <f t="shared" si="13"/>
        <v>-2.3999999999999773</v>
      </c>
      <c r="H310" s="12">
        <f t="shared" si="14"/>
        <v>1.671778717189073</v>
      </c>
    </row>
    <row r="311" spans="1:8" x14ac:dyDescent="0.25">
      <c r="A311" s="1">
        <v>44383</v>
      </c>
      <c r="B311" s="8">
        <v>4352.34</v>
      </c>
      <c r="C311" s="2">
        <v>472.6</v>
      </c>
      <c r="E311" s="8">
        <f t="shared" si="12"/>
        <v>-8.8000000000001819</v>
      </c>
      <c r="F311" s="8">
        <f t="shared" si="13"/>
        <v>11.399999999999977</v>
      </c>
      <c r="H311" s="12">
        <f t="shared" si="14"/>
        <v>1.6831856800087048</v>
      </c>
    </row>
    <row r="312" spans="1:8" x14ac:dyDescent="0.25">
      <c r="A312" s="1">
        <v>44384</v>
      </c>
      <c r="B312" s="8">
        <v>4343.54</v>
      </c>
      <c r="C312" s="2">
        <v>484</v>
      </c>
      <c r="E312" s="8">
        <f t="shared" si="12"/>
        <v>14.590000000000146</v>
      </c>
      <c r="F312" s="8">
        <f t="shared" si="13"/>
        <v>1.1999999999999886</v>
      </c>
      <c r="H312" s="12">
        <f t="shared" si="14"/>
        <v>1.6876430584490216</v>
      </c>
    </row>
    <row r="313" spans="1:8" x14ac:dyDescent="0.25">
      <c r="A313" s="1">
        <v>44385</v>
      </c>
      <c r="B313" s="8">
        <v>4358.13</v>
      </c>
      <c r="C313" s="2">
        <v>485.2</v>
      </c>
      <c r="E313" s="8">
        <f t="shared" si="12"/>
        <v>-37.3100000000004</v>
      </c>
      <c r="F313" s="8">
        <f t="shared" si="13"/>
        <v>32.400000000000034</v>
      </c>
      <c r="H313" s="12">
        <f t="shared" si="14"/>
        <v>1.6798141328739393</v>
      </c>
    </row>
    <row r="314" spans="1:8" x14ac:dyDescent="0.25">
      <c r="A314" s="1">
        <v>44386</v>
      </c>
      <c r="B314" s="8">
        <v>4320.82</v>
      </c>
      <c r="C314" s="2">
        <v>517.6</v>
      </c>
      <c r="E314" s="8">
        <f t="shared" si="12"/>
        <v>48.730000000000473</v>
      </c>
      <c r="F314" s="8">
        <f t="shared" si="13"/>
        <v>-36.200000000000045</v>
      </c>
      <c r="H314" s="12">
        <f t="shared" si="14"/>
        <v>1.6755171483532472</v>
      </c>
    </row>
    <row r="315" spans="1:8" x14ac:dyDescent="0.25">
      <c r="A315" s="1">
        <v>44389</v>
      </c>
      <c r="B315" s="8">
        <v>4369.55</v>
      </c>
      <c r="C315" s="2">
        <v>481.4</v>
      </c>
      <c r="E315" s="8">
        <f t="shared" si="12"/>
        <v>15.079999999999927</v>
      </c>
      <c r="F315" s="8">
        <f t="shared" si="13"/>
        <v>-2.5999999999999659</v>
      </c>
      <c r="H315" s="12">
        <f t="shared" si="14"/>
        <v>1.6614770629474702</v>
      </c>
    </row>
    <row r="316" spans="1:8" x14ac:dyDescent="0.25">
      <c r="A316" s="1">
        <v>44390</v>
      </c>
      <c r="B316" s="8">
        <v>4384.63</v>
      </c>
      <c r="C316" s="2">
        <v>478.8</v>
      </c>
      <c r="E316" s="8">
        <f t="shared" si="12"/>
        <v>-15.420000000000073</v>
      </c>
      <c r="F316" s="8">
        <f t="shared" si="13"/>
        <v>6.1999999999999886</v>
      </c>
      <c r="H316" s="12">
        <f t="shared" si="14"/>
        <v>1.6767150768402881</v>
      </c>
    </row>
    <row r="317" spans="1:8" x14ac:dyDescent="0.25">
      <c r="A317" s="1">
        <v>44391</v>
      </c>
      <c r="B317" s="8">
        <v>4369.21</v>
      </c>
      <c r="C317" s="2">
        <v>485</v>
      </c>
      <c r="E317" s="8">
        <f t="shared" si="12"/>
        <v>5.0900000000001455</v>
      </c>
      <c r="F317" s="8">
        <f t="shared" si="13"/>
        <v>-11.399999999999977</v>
      </c>
      <c r="H317" s="12">
        <f t="shared" si="14"/>
        <v>1.6942949382039068</v>
      </c>
    </row>
    <row r="318" spans="1:8" x14ac:dyDescent="0.25">
      <c r="A318" s="1">
        <v>44392</v>
      </c>
      <c r="B318" s="8">
        <v>4374.3</v>
      </c>
      <c r="C318" s="2">
        <v>473.6</v>
      </c>
      <c r="E318" s="8">
        <f t="shared" si="12"/>
        <v>-14.270000000000437</v>
      </c>
      <c r="F318" s="8">
        <f t="shared" si="13"/>
        <v>7</v>
      </c>
      <c r="H318" s="12">
        <f t="shared" si="14"/>
        <v>1.7101424792188049</v>
      </c>
    </row>
    <row r="319" spans="1:8" x14ac:dyDescent="0.25">
      <c r="A319" s="1">
        <v>44393</v>
      </c>
      <c r="B319" s="8">
        <v>4360.03</v>
      </c>
      <c r="C319" s="2">
        <v>480.6</v>
      </c>
      <c r="E319" s="8">
        <f t="shared" si="12"/>
        <v>-32.869999999999891</v>
      </c>
      <c r="F319" s="8">
        <f t="shared" si="13"/>
        <v>18.399999999999977</v>
      </c>
      <c r="H319" s="12">
        <f t="shared" si="14"/>
        <v>1.7144148620309716</v>
      </c>
    </row>
    <row r="320" spans="1:8" x14ac:dyDescent="0.25">
      <c r="A320" s="1">
        <v>44396</v>
      </c>
      <c r="B320" s="8">
        <v>4327.16</v>
      </c>
      <c r="C320" s="2">
        <v>499</v>
      </c>
      <c r="E320" s="8">
        <f t="shared" si="12"/>
        <v>-68.670000000000073</v>
      </c>
      <c r="F320" s="8">
        <f t="shared" si="13"/>
        <v>72.200000000000045</v>
      </c>
      <c r="H320" s="12">
        <f t="shared" si="14"/>
        <v>1.727326395003993</v>
      </c>
    </row>
    <row r="321" spans="1:8" x14ac:dyDescent="0.25">
      <c r="A321" s="1">
        <v>44397</v>
      </c>
      <c r="B321" s="8">
        <v>4258.49</v>
      </c>
      <c r="C321" s="2">
        <v>571.20000000000005</v>
      </c>
      <c r="E321" s="8">
        <f t="shared" si="12"/>
        <v>64.570000000000618</v>
      </c>
      <c r="F321" s="8">
        <f t="shared" si="13"/>
        <v>-45.600000000000023</v>
      </c>
      <c r="H321" s="12">
        <f t="shared" si="14"/>
        <v>1.7319202613825786</v>
      </c>
    </row>
    <row r="322" spans="1:8" x14ac:dyDescent="0.25">
      <c r="A322" s="1">
        <v>44398</v>
      </c>
      <c r="B322" s="8">
        <v>4323.0600000000004</v>
      </c>
      <c r="C322" s="2">
        <v>525.6</v>
      </c>
      <c r="E322" s="8">
        <f t="shared" si="12"/>
        <v>35.6299999999992</v>
      </c>
      <c r="F322" s="8">
        <f t="shared" si="13"/>
        <v>-35.800000000000011</v>
      </c>
      <c r="H322" s="12">
        <f t="shared" si="14"/>
        <v>1.6735773050872207</v>
      </c>
    </row>
    <row r="323" spans="1:8" x14ac:dyDescent="0.25">
      <c r="A323" s="1">
        <v>44399</v>
      </c>
      <c r="B323" s="8">
        <v>4358.6899999999996</v>
      </c>
      <c r="C323" s="2">
        <v>489.8</v>
      </c>
      <c r="E323" s="8">
        <f t="shared" ref="E323:E386" si="15">B324-B323</f>
        <v>8.7899999999999636</v>
      </c>
      <c r="F323" s="8">
        <f t="shared" ref="F323:F386" si="16">C324-C323</f>
        <v>8.8000000000000114</v>
      </c>
      <c r="H323" s="12">
        <f t="shared" ref="H323:H386" si="17">LOG(_xlfn.STDEV.P(B323:B353))</f>
        <v>1.6540686482617102</v>
      </c>
    </row>
    <row r="324" spans="1:8" x14ac:dyDescent="0.25">
      <c r="A324" s="1">
        <v>44400</v>
      </c>
      <c r="B324" s="8">
        <v>4367.4799999999996</v>
      </c>
      <c r="C324" s="2">
        <v>498.6</v>
      </c>
      <c r="E324" s="8">
        <f t="shared" si="15"/>
        <v>44.3100000000004</v>
      </c>
      <c r="F324" s="8">
        <f t="shared" si="16"/>
        <v>-3.2000000000000455</v>
      </c>
      <c r="H324" s="12">
        <f t="shared" si="17"/>
        <v>1.6581969916298533</v>
      </c>
    </row>
    <row r="325" spans="1:8" x14ac:dyDescent="0.25">
      <c r="A325" s="1">
        <v>44403</v>
      </c>
      <c r="B325" s="8">
        <v>4411.79</v>
      </c>
      <c r="C325" s="2">
        <v>495.4</v>
      </c>
      <c r="E325" s="8">
        <f t="shared" si="15"/>
        <v>10.510000000000218</v>
      </c>
      <c r="F325" s="8">
        <f t="shared" si="16"/>
        <v>-6.5999999999999659</v>
      </c>
      <c r="H325" s="12">
        <f t="shared" si="17"/>
        <v>1.6598304292917272</v>
      </c>
    </row>
    <row r="326" spans="1:8" x14ac:dyDescent="0.25">
      <c r="A326" s="1">
        <v>44404</v>
      </c>
      <c r="B326" s="8">
        <v>4422.3</v>
      </c>
      <c r="C326" s="2">
        <v>488.8</v>
      </c>
      <c r="E326" s="8">
        <f t="shared" si="15"/>
        <v>-20.840000000000146</v>
      </c>
      <c r="F326" s="8">
        <f t="shared" si="16"/>
        <v>16.199999999999989</v>
      </c>
      <c r="H326" s="12">
        <f t="shared" si="17"/>
        <v>1.6679878300561803</v>
      </c>
    </row>
    <row r="327" spans="1:8" x14ac:dyDescent="0.25">
      <c r="A327" s="1">
        <v>44405</v>
      </c>
      <c r="B327" s="8">
        <v>4401.46</v>
      </c>
      <c r="C327" s="2">
        <v>505</v>
      </c>
      <c r="E327" s="8">
        <f t="shared" si="15"/>
        <v>-0.81999999999970896</v>
      </c>
      <c r="F327" s="8">
        <f t="shared" si="16"/>
        <v>-12.800000000000011</v>
      </c>
      <c r="H327" s="12">
        <f t="shared" si="17"/>
        <v>1.6741241213299136</v>
      </c>
    </row>
    <row r="328" spans="1:8" x14ac:dyDescent="0.25">
      <c r="A328" s="1">
        <v>44406</v>
      </c>
      <c r="B328" s="8">
        <v>4400.6400000000003</v>
      </c>
      <c r="C328" s="2">
        <v>492.2</v>
      </c>
      <c r="E328" s="8">
        <f t="shared" si="15"/>
        <v>18.509999999999309</v>
      </c>
      <c r="F328" s="8">
        <f t="shared" si="16"/>
        <v>-10</v>
      </c>
      <c r="H328" s="12">
        <f t="shared" si="17"/>
        <v>1.6663225353285889</v>
      </c>
    </row>
    <row r="329" spans="1:8" x14ac:dyDescent="0.25">
      <c r="A329" s="1">
        <v>44407</v>
      </c>
      <c r="B329" s="8">
        <v>4419.1499999999996</v>
      </c>
      <c r="C329" s="2">
        <v>482.2</v>
      </c>
      <c r="E329" s="8">
        <f t="shared" si="15"/>
        <v>-23.889999999999418</v>
      </c>
      <c r="F329" s="8">
        <f t="shared" si="16"/>
        <v>13.199999999999989</v>
      </c>
      <c r="H329" s="12">
        <f t="shared" si="17"/>
        <v>1.6533147335941427</v>
      </c>
    </row>
    <row r="330" spans="1:8" x14ac:dyDescent="0.25">
      <c r="A330" s="1">
        <v>44410</v>
      </c>
      <c r="B330" s="8">
        <v>4395.26</v>
      </c>
      <c r="C330" s="2">
        <v>495.4</v>
      </c>
      <c r="E330" s="8">
        <f t="shared" si="15"/>
        <v>-8.1000000000003638</v>
      </c>
      <c r="F330" s="8">
        <f t="shared" si="16"/>
        <v>18.200000000000045</v>
      </c>
      <c r="H330" s="12">
        <f t="shared" si="17"/>
        <v>1.6460416175485162</v>
      </c>
    </row>
    <row r="331" spans="1:8" x14ac:dyDescent="0.25">
      <c r="A331" s="1">
        <v>44411</v>
      </c>
      <c r="B331" s="8">
        <v>4387.16</v>
      </c>
      <c r="C331" s="2">
        <v>513.6</v>
      </c>
      <c r="E331" s="8">
        <f t="shared" si="15"/>
        <v>35.989999999999782</v>
      </c>
      <c r="F331" s="8">
        <f t="shared" si="16"/>
        <v>-25.600000000000023</v>
      </c>
      <c r="H331" s="12">
        <f t="shared" si="17"/>
        <v>1.6292750852734976</v>
      </c>
    </row>
    <row r="332" spans="1:8" x14ac:dyDescent="0.25">
      <c r="A332" s="1">
        <v>44412</v>
      </c>
      <c r="B332" s="8">
        <v>4423.1499999999996</v>
      </c>
      <c r="C332" s="2">
        <v>488</v>
      </c>
      <c r="E332" s="8">
        <f t="shared" si="15"/>
        <v>-20.489999999999782</v>
      </c>
      <c r="F332" s="8">
        <f t="shared" si="16"/>
        <v>-0.39999999999997726</v>
      </c>
      <c r="H332" s="12">
        <f t="shared" si="17"/>
        <v>1.6026145017233038</v>
      </c>
    </row>
    <row r="333" spans="1:8" x14ac:dyDescent="0.25">
      <c r="A333" s="1">
        <v>44413</v>
      </c>
      <c r="B333" s="8">
        <v>4402.66</v>
      </c>
      <c r="C333" s="2">
        <v>487.6</v>
      </c>
      <c r="E333" s="8">
        <f t="shared" si="15"/>
        <v>26.440000000000509</v>
      </c>
      <c r="F333" s="8">
        <f t="shared" si="16"/>
        <v>-12.800000000000011</v>
      </c>
      <c r="H333" s="12">
        <f t="shared" si="17"/>
        <v>1.5924237439583511</v>
      </c>
    </row>
    <row r="334" spans="1:8" x14ac:dyDescent="0.25">
      <c r="A334" s="1">
        <v>44414</v>
      </c>
      <c r="B334" s="8">
        <v>4429.1000000000004</v>
      </c>
      <c r="C334" s="2">
        <v>474.8</v>
      </c>
      <c r="E334" s="8">
        <f t="shared" si="15"/>
        <v>7.4200000000000728</v>
      </c>
      <c r="F334" s="8">
        <f t="shared" si="16"/>
        <v>-12</v>
      </c>
      <c r="H334" s="12">
        <f t="shared" si="17"/>
        <v>1.5767532222244345</v>
      </c>
    </row>
    <row r="335" spans="1:8" x14ac:dyDescent="0.25">
      <c r="A335" s="1">
        <v>44417</v>
      </c>
      <c r="B335" s="8">
        <v>4436.5200000000004</v>
      </c>
      <c r="C335" s="2">
        <v>462.8</v>
      </c>
      <c r="E335" s="8">
        <f t="shared" si="15"/>
        <v>-4.1700000000000728</v>
      </c>
      <c r="F335" s="8">
        <f t="shared" si="16"/>
        <v>-5.4000000000000341</v>
      </c>
      <c r="H335" s="12">
        <f t="shared" si="17"/>
        <v>1.6257081694150957</v>
      </c>
    </row>
    <row r="336" spans="1:8" x14ac:dyDescent="0.25">
      <c r="A336" s="1">
        <v>44418</v>
      </c>
      <c r="B336" s="8">
        <v>4432.3500000000004</v>
      </c>
      <c r="C336" s="2">
        <v>457.4</v>
      </c>
      <c r="E336" s="8">
        <f t="shared" si="15"/>
        <v>4.3999999999996362</v>
      </c>
      <c r="F336" s="8">
        <f t="shared" si="16"/>
        <v>-6.3999999999999773</v>
      </c>
      <c r="H336" s="12">
        <f t="shared" si="17"/>
        <v>1.6688309479735188</v>
      </c>
    </row>
    <row r="337" spans="1:8" x14ac:dyDescent="0.25">
      <c r="A337" s="1">
        <v>44419</v>
      </c>
      <c r="B337" s="8">
        <v>4436.75</v>
      </c>
      <c r="C337" s="2">
        <v>451</v>
      </c>
      <c r="E337" s="8">
        <f t="shared" si="15"/>
        <v>5.6599999999998545</v>
      </c>
      <c r="F337" s="8">
        <f t="shared" si="16"/>
        <v>-12.399999999999977</v>
      </c>
      <c r="H337" s="12">
        <f t="shared" si="17"/>
        <v>1.6810598909622236</v>
      </c>
    </row>
    <row r="338" spans="1:8" x14ac:dyDescent="0.25">
      <c r="A338" s="1">
        <v>44420</v>
      </c>
      <c r="B338" s="8">
        <v>4442.41</v>
      </c>
      <c r="C338" s="2">
        <v>438.6</v>
      </c>
      <c r="E338" s="8">
        <f t="shared" si="15"/>
        <v>18.420000000000073</v>
      </c>
      <c r="F338" s="8">
        <f t="shared" si="16"/>
        <v>-9.6000000000000227</v>
      </c>
      <c r="H338" s="12">
        <f t="shared" si="17"/>
        <v>1.6792691171687499</v>
      </c>
    </row>
    <row r="339" spans="1:8" x14ac:dyDescent="0.25">
      <c r="A339" s="1">
        <v>44421</v>
      </c>
      <c r="B339" s="8">
        <v>4460.83</v>
      </c>
      <c r="C339" s="2">
        <v>429</v>
      </c>
      <c r="E339" s="8">
        <f t="shared" si="15"/>
        <v>7.1700000000000728</v>
      </c>
      <c r="F339" s="8">
        <f t="shared" si="16"/>
        <v>0</v>
      </c>
      <c r="H339" s="12">
        <f t="shared" si="17"/>
        <v>1.677797331293196</v>
      </c>
    </row>
    <row r="340" spans="1:8" x14ac:dyDescent="0.25">
      <c r="A340" s="1">
        <v>44424</v>
      </c>
      <c r="B340" s="8">
        <v>4468</v>
      </c>
      <c r="C340" s="2">
        <v>429</v>
      </c>
      <c r="E340" s="8">
        <f t="shared" si="15"/>
        <v>11.710000000000036</v>
      </c>
      <c r="F340" s="8">
        <f t="shared" si="16"/>
        <v>2</v>
      </c>
      <c r="H340" s="12">
        <f t="shared" si="17"/>
        <v>1.6794538330145854</v>
      </c>
    </row>
    <row r="341" spans="1:8" x14ac:dyDescent="0.25">
      <c r="A341" s="1">
        <v>44425</v>
      </c>
      <c r="B341" s="8">
        <v>4479.71</v>
      </c>
      <c r="C341" s="2">
        <v>431</v>
      </c>
      <c r="E341" s="8">
        <f t="shared" si="15"/>
        <v>-31.630000000000109</v>
      </c>
      <c r="F341" s="8">
        <f t="shared" si="16"/>
        <v>14</v>
      </c>
      <c r="H341" s="12">
        <f t="shared" si="17"/>
        <v>1.7150573191782508</v>
      </c>
    </row>
    <row r="342" spans="1:8" x14ac:dyDescent="0.25">
      <c r="A342" s="1">
        <v>44426</v>
      </c>
      <c r="B342" s="8">
        <v>4448.08</v>
      </c>
      <c r="C342" s="2">
        <v>445</v>
      </c>
      <c r="E342" s="8">
        <f t="shared" si="15"/>
        <v>-47.809999999999491</v>
      </c>
      <c r="F342" s="8">
        <f t="shared" si="16"/>
        <v>30.399999999999977</v>
      </c>
      <c r="H342" s="12">
        <f t="shared" si="17"/>
        <v>1.739657959792495</v>
      </c>
    </row>
    <row r="343" spans="1:8" x14ac:dyDescent="0.25">
      <c r="A343" s="1">
        <v>44427</v>
      </c>
      <c r="B343" s="8">
        <v>4400.2700000000004</v>
      </c>
      <c r="C343" s="2">
        <v>475.4</v>
      </c>
      <c r="E343" s="8">
        <f t="shared" si="15"/>
        <v>5.5299999999997453</v>
      </c>
      <c r="F343" s="8">
        <f t="shared" si="16"/>
        <v>15.400000000000034</v>
      </c>
      <c r="H343" s="12">
        <f t="shared" si="17"/>
        <v>1.7860454792362292</v>
      </c>
    </row>
    <row r="344" spans="1:8" x14ac:dyDescent="0.25">
      <c r="A344" s="1">
        <v>44428</v>
      </c>
      <c r="B344" s="8">
        <v>4405.8</v>
      </c>
      <c r="C344" s="2">
        <v>490.8</v>
      </c>
      <c r="E344" s="8">
        <f t="shared" si="15"/>
        <v>35.869999999999891</v>
      </c>
      <c r="F344" s="8">
        <f t="shared" si="16"/>
        <v>-36.800000000000011</v>
      </c>
      <c r="H344" s="12">
        <f t="shared" si="17"/>
        <v>1.7979432483688222</v>
      </c>
    </row>
    <row r="345" spans="1:8" x14ac:dyDescent="0.25">
      <c r="A345" s="1">
        <v>44431</v>
      </c>
      <c r="B345" s="8">
        <v>4441.67</v>
      </c>
      <c r="C345" s="2">
        <v>454</v>
      </c>
      <c r="E345" s="8">
        <f t="shared" si="15"/>
        <v>37.859999999999673</v>
      </c>
      <c r="F345" s="8">
        <f t="shared" si="16"/>
        <v>-15.800000000000011</v>
      </c>
      <c r="H345" s="12">
        <f t="shared" si="17"/>
        <v>1.8319951520478395</v>
      </c>
    </row>
    <row r="346" spans="1:8" x14ac:dyDescent="0.25">
      <c r="A346" s="1">
        <v>44432</v>
      </c>
      <c r="B346" s="8">
        <v>4479.53</v>
      </c>
      <c r="C346" s="2">
        <v>438.2</v>
      </c>
      <c r="E346" s="8">
        <f t="shared" si="15"/>
        <v>6.6999999999998181</v>
      </c>
      <c r="F346" s="8">
        <f t="shared" si="16"/>
        <v>-1</v>
      </c>
      <c r="H346" s="12">
        <f t="shared" si="17"/>
        <v>1.847377748051624</v>
      </c>
    </row>
    <row r="347" spans="1:8" x14ac:dyDescent="0.25">
      <c r="A347" s="1">
        <v>44433</v>
      </c>
      <c r="B347" s="8">
        <v>4486.2299999999996</v>
      </c>
      <c r="C347" s="2">
        <v>437.2</v>
      </c>
      <c r="E347" s="8">
        <f t="shared" si="15"/>
        <v>9.9600000000000364</v>
      </c>
      <c r="F347" s="8">
        <f t="shared" si="16"/>
        <v>-10</v>
      </c>
      <c r="H347" s="12">
        <f t="shared" si="17"/>
        <v>1.8549366187845666</v>
      </c>
    </row>
    <row r="348" spans="1:8" x14ac:dyDescent="0.25">
      <c r="A348" s="1">
        <v>44434</v>
      </c>
      <c r="B348" s="8">
        <v>4496.1899999999996</v>
      </c>
      <c r="C348" s="2">
        <v>427.2</v>
      </c>
      <c r="E348" s="8">
        <f t="shared" si="15"/>
        <v>-26.1899999999996</v>
      </c>
      <c r="F348" s="8">
        <f t="shared" si="16"/>
        <v>18.600000000000023</v>
      </c>
      <c r="H348" s="12">
        <f t="shared" si="17"/>
        <v>1.8546342833217813</v>
      </c>
    </row>
    <row r="349" spans="1:8" x14ac:dyDescent="0.25">
      <c r="A349" s="1">
        <v>44435</v>
      </c>
      <c r="B349" s="8">
        <v>4470</v>
      </c>
      <c r="C349" s="2">
        <v>445.8</v>
      </c>
      <c r="E349" s="8">
        <f t="shared" si="15"/>
        <v>39.369999999999891</v>
      </c>
      <c r="F349" s="8">
        <f t="shared" si="16"/>
        <v>-23</v>
      </c>
      <c r="H349" s="12">
        <f t="shared" si="17"/>
        <v>1.8531561988512355</v>
      </c>
    </row>
    <row r="350" spans="1:8" x14ac:dyDescent="0.25">
      <c r="A350" s="1">
        <v>44438</v>
      </c>
      <c r="B350" s="8">
        <v>4509.37</v>
      </c>
      <c r="C350" s="2">
        <v>422.8</v>
      </c>
      <c r="E350" s="8">
        <f t="shared" si="15"/>
        <v>19.420000000000073</v>
      </c>
      <c r="F350" s="8">
        <f t="shared" si="16"/>
        <v>-4.4000000000000341</v>
      </c>
      <c r="H350" s="12">
        <f t="shared" si="17"/>
        <v>1.8589503803855465</v>
      </c>
    </row>
    <row r="351" spans="1:8" x14ac:dyDescent="0.25">
      <c r="A351" s="1">
        <v>44439</v>
      </c>
      <c r="B351" s="8">
        <v>4528.79</v>
      </c>
      <c r="C351" s="2">
        <v>418.4</v>
      </c>
      <c r="E351" s="8">
        <f t="shared" si="15"/>
        <v>-6.1099999999996726</v>
      </c>
      <c r="F351" s="8">
        <f t="shared" si="16"/>
        <v>-1.3999999999999773</v>
      </c>
      <c r="H351" s="12">
        <f t="shared" si="17"/>
        <v>1.8593159418642653</v>
      </c>
    </row>
    <row r="352" spans="1:8" x14ac:dyDescent="0.25">
      <c r="A352" s="1">
        <v>44440</v>
      </c>
      <c r="B352" s="8">
        <v>4522.68</v>
      </c>
      <c r="C352" s="2">
        <v>417</v>
      </c>
      <c r="E352" s="8">
        <f t="shared" si="15"/>
        <v>1.4099999999998545</v>
      </c>
      <c r="F352" s="8">
        <f t="shared" si="16"/>
        <v>-10.800000000000011</v>
      </c>
      <c r="H352" s="12">
        <f t="shared" si="17"/>
        <v>1.8499965707646593</v>
      </c>
    </row>
    <row r="353" spans="1:8" x14ac:dyDescent="0.25">
      <c r="A353" s="1">
        <v>44441</v>
      </c>
      <c r="B353" s="8">
        <v>4524.09</v>
      </c>
      <c r="C353" s="2">
        <v>406.2</v>
      </c>
      <c r="E353" s="8">
        <f t="shared" si="15"/>
        <v>12.859999999999673</v>
      </c>
      <c r="F353" s="8">
        <f t="shared" si="16"/>
        <v>-0.80000000000001137</v>
      </c>
      <c r="H353" s="12">
        <f t="shared" si="17"/>
        <v>1.8356465743194161</v>
      </c>
    </row>
    <row r="354" spans="1:8" x14ac:dyDescent="0.25">
      <c r="A354" s="1">
        <v>44442</v>
      </c>
      <c r="B354" s="8">
        <v>4536.95</v>
      </c>
      <c r="C354" s="2">
        <v>405.4</v>
      </c>
      <c r="E354" s="8">
        <f t="shared" si="15"/>
        <v>-1.5199999999995271</v>
      </c>
      <c r="F354" s="8">
        <f t="shared" si="16"/>
        <v>3.8000000000000114</v>
      </c>
      <c r="H354" s="12">
        <f t="shared" si="17"/>
        <v>1.8229528289218284</v>
      </c>
    </row>
    <row r="355" spans="1:8" x14ac:dyDescent="0.25">
      <c r="A355" s="1">
        <v>44446</v>
      </c>
      <c r="B355" s="8">
        <v>4535.43</v>
      </c>
      <c r="C355" s="2">
        <v>409.2</v>
      </c>
      <c r="E355" s="8">
        <f t="shared" si="15"/>
        <v>-15.400000000000546</v>
      </c>
      <c r="F355" s="8">
        <f t="shared" si="16"/>
        <v>9</v>
      </c>
      <c r="H355" s="12">
        <f t="shared" si="17"/>
        <v>1.8073889305157254</v>
      </c>
    </row>
    <row r="356" spans="1:8" x14ac:dyDescent="0.25">
      <c r="A356" s="1">
        <v>44447</v>
      </c>
      <c r="B356" s="8">
        <v>4520.03</v>
      </c>
      <c r="C356" s="2">
        <v>418.2</v>
      </c>
      <c r="E356" s="8">
        <f t="shared" si="15"/>
        <v>-5.9600000000000364</v>
      </c>
      <c r="F356" s="8">
        <f t="shared" si="16"/>
        <v>-0.59999999999996589</v>
      </c>
      <c r="H356" s="12">
        <f t="shared" si="17"/>
        <v>1.8013485375157905</v>
      </c>
    </row>
    <row r="357" spans="1:8" x14ac:dyDescent="0.25">
      <c r="A357" s="1">
        <v>44448</v>
      </c>
      <c r="B357" s="8">
        <v>4514.07</v>
      </c>
      <c r="C357" s="2">
        <v>417.6</v>
      </c>
      <c r="E357" s="8">
        <f t="shared" si="15"/>
        <v>-20.789999999999964</v>
      </c>
      <c r="F357" s="8">
        <f t="shared" si="16"/>
        <v>9.1999999999999886</v>
      </c>
      <c r="H357" s="12">
        <f t="shared" si="17"/>
        <v>1.807556159261771</v>
      </c>
    </row>
    <row r="358" spans="1:8" x14ac:dyDescent="0.25">
      <c r="A358" s="1">
        <v>44449</v>
      </c>
      <c r="B358" s="8">
        <v>4493.28</v>
      </c>
      <c r="C358" s="2">
        <v>426.8</v>
      </c>
      <c r="E358" s="8">
        <f t="shared" si="15"/>
        <v>-34.699999999999818</v>
      </c>
      <c r="F358" s="8">
        <f t="shared" si="16"/>
        <v>14.199999999999989</v>
      </c>
      <c r="H358" s="12">
        <f t="shared" si="17"/>
        <v>1.8210150356733676</v>
      </c>
    </row>
    <row r="359" spans="1:8" x14ac:dyDescent="0.25">
      <c r="A359" s="1">
        <v>44452</v>
      </c>
      <c r="B359" s="8">
        <v>4458.58</v>
      </c>
      <c r="C359" s="2">
        <v>441</v>
      </c>
      <c r="E359" s="8">
        <f t="shared" si="15"/>
        <v>10.149999999999636</v>
      </c>
      <c r="F359" s="8">
        <f t="shared" si="16"/>
        <v>-14.199999999999989</v>
      </c>
      <c r="H359" s="12">
        <f t="shared" si="17"/>
        <v>1.8369329766369429</v>
      </c>
    </row>
    <row r="360" spans="1:8" x14ac:dyDescent="0.25">
      <c r="A360" s="1">
        <v>44453</v>
      </c>
      <c r="B360" s="8">
        <v>4468.7299999999996</v>
      </c>
      <c r="C360" s="2">
        <v>426.8</v>
      </c>
      <c r="E360" s="8">
        <f t="shared" si="15"/>
        <v>-25.679999999999382</v>
      </c>
      <c r="F360" s="8">
        <f t="shared" si="16"/>
        <v>6.8000000000000114</v>
      </c>
      <c r="H360" s="12">
        <f t="shared" si="17"/>
        <v>1.864291934474255</v>
      </c>
    </row>
    <row r="361" spans="1:8" x14ac:dyDescent="0.25">
      <c r="A361" s="1">
        <v>44454</v>
      </c>
      <c r="B361" s="8">
        <v>4443.05</v>
      </c>
      <c r="C361" s="2">
        <v>433.6</v>
      </c>
      <c r="E361" s="8">
        <f t="shared" si="15"/>
        <v>37.649999999999636</v>
      </c>
      <c r="F361" s="8">
        <f t="shared" si="16"/>
        <v>-17.600000000000023</v>
      </c>
      <c r="H361" s="12">
        <f t="shared" si="17"/>
        <v>1.8896262807344284</v>
      </c>
    </row>
    <row r="362" spans="1:8" x14ac:dyDescent="0.25">
      <c r="A362" s="1">
        <v>44455</v>
      </c>
      <c r="B362" s="8">
        <v>4480.7</v>
      </c>
      <c r="C362" s="2">
        <v>416</v>
      </c>
      <c r="E362" s="8">
        <f t="shared" si="15"/>
        <v>-6.9499999999998181</v>
      </c>
      <c r="F362" s="8">
        <f t="shared" si="16"/>
        <v>-4.1999999999999886</v>
      </c>
      <c r="H362" s="12">
        <f t="shared" si="17"/>
        <v>1.9064047888970777</v>
      </c>
    </row>
    <row r="363" spans="1:8" x14ac:dyDescent="0.25">
      <c r="A363" s="1">
        <v>44456</v>
      </c>
      <c r="B363" s="8">
        <v>4473.75</v>
      </c>
      <c r="C363" s="2">
        <v>411.8</v>
      </c>
      <c r="E363" s="8">
        <f t="shared" si="15"/>
        <v>-40.760000000000218</v>
      </c>
      <c r="F363" s="8">
        <f t="shared" si="16"/>
        <v>27</v>
      </c>
      <c r="H363" s="12">
        <f t="shared" si="17"/>
        <v>1.9314750186824881</v>
      </c>
    </row>
    <row r="364" spans="1:8" x14ac:dyDescent="0.25">
      <c r="A364" s="1">
        <v>44459</v>
      </c>
      <c r="B364" s="8">
        <v>4432.99</v>
      </c>
      <c r="C364" s="2">
        <v>438.8</v>
      </c>
      <c r="E364" s="8">
        <f t="shared" si="15"/>
        <v>-75.260000000000218</v>
      </c>
      <c r="F364" s="8">
        <f t="shared" si="16"/>
        <v>47.800000000000011</v>
      </c>
      <c r="H364" s="12">
        <f t="shared" si="17"/>
        <v>1.9561913238767035</v>
      </c>
    </row>
    <row r="365" spans="1:8" x14ac:dyDescent="0.25">
      <c r="A365" s="1">
        <v>44460</v>
      </c>
      <c r="B365" s="8">
        <v>4357.7299999999996</v>
      </c>
      <c r="C365" s="2">
        <v>486.6</v>
      </c>
      <c r="E365" s="8">
        <f t="shared" si="15"/>
        <v>-3.5399999999999636</v>
      </c>
      <c r="F365" s="8">
        <f t="shared" si="16"/>
        <v>-18.200000000000045</v>
      </c>
      <c r="H365" s="12">
        <f t="shared" si="17"/>
        <v>1.9802828170803399</v>
      </c>
    </row>
    <row r="366" spans="1:8" x14ac:dyDescent="0.25">
      <c r="A366" s="1">
        <v>44461</v>
      </c>
      <c r="B366" s="8">
        <v>4354.1899999999996</v>
      </c>
      <c r="C366" s="2">
        <v>468.4</v>
      </c>
      <c r="E366" s="8">
        <f t="shared" si="15"/>
        <v>41.450000000000728</v>
      </c>
      <c r="F366" s="8">
        <f t="shared" si="16"/>
        <v>-26.399999999999977</v>
      </c>
      <c r="H366" s="12">
        <f t="shared" si="17"/>
        <v>1.9986632117644525</v>
      </c>
    </row>
    <row r="367" spans="1:8" x14ac:dyDescent="0.25">
      <c r="A367" s="1">
        <v>44462</v>
      </c>
      <c r="B367" s="8">
        <v>4395.6400000000003</v>
      </c>
      <c r="C367" s="2">
        <v>442</v>
      </c>
      <c r="E367" s="8">
        <f t="shared" si="15"/>
        <v>53.339999999999236</v>
      </c>
      <c r="F367" s="8">
        <f t="shared" si="16"/>
        <v>-27.399999999999977</v>
      </c>
      <c r="H367" s="12">
        <f t="shared" si="17"/>
        <v>2.0191149995561011</v>
      </c>
    </row>
    <row r="368" spans="1:8" x14ac:dyDescent="0.25">
      <c r="A368" s="1">
        <v>44463</v>
      </c>
      <c r="B368" s="8">
        <v>4448.9799999999996</v>
      </c>
      <c r="C368" s="2">
        <v>414.6</v>
      </c>
      <c r="E368" s="8">
        <f t="shared" si="15"/>
        <v>6.5</v>
      </c>
      <c r="F368" s="8">
        <f t="shared" si="16"/>
        <v>-12.600000000000023</v>
      </c>
      <c r="H368" s="12">
        <f t="shared" si="17"/>
        <v>2.0434582661176193</v>
      </c>
    </row>
    <row r="369" spans="1:8" x14ac:dyDescent="0.25">
      <c r="A369" s="1">
        <v>44466</v>
      </c>
      <c r="B369" s="8">
        <v>4455.4799999999996</v>
      </c>
      <c r="C369" s="2">
        <v>402</v>
      </c>
      <c r="E369" s="8">
        <f t="shared" si="15"/>
        <v>-12.369999999999891</v>
      </c>
      <c r="F369" s="8">
        <f t="shared" si="16"/>
        <v>3.6000000000000227</v>
      </c>
      <c r="H369" s="12">
        <f t="shared" si="17"/>
        <v>2.0695871599896067</v>
      </c>
    </row>
    <row r="370" spans="1:8" x14ac:dyDescent="0.25">
      <c r="A370" s="1">
        <v>44467</v>
      </c>
      <c r="B370" s="8">
        <v>4443.1099999999997</v>
      </c>
      <c r="C370" s="2">
        <v>405.6</v>
      </c>
      <c r="E370" s="8">
        <f t="shared" si="15"/>
        <v>-90.479999999999563</v>
      </c>
      <c r="F370" s="8">
        <f t="shared" si="16"/>
        <v>43.199999999999989</v>
      </c>
      <c r="H370" s="12">
        <f t="shared" si="17"/>
        <v>2.0921034183312148</v>
      </c>
    </row>
    <row r="371" spans="1:8" x14ac:dyDescent="0.25">
      <c r="A371" s="1">
        <v>44468</v>
      </c>
      <c r="B371" s="8">
        <v>4352.63</v>
      </c>
      <c r="C371" s="2">
        <v>448.8</v>
      </c>
      <c r="E371" s="8">
        <f t="shared" si="15"/>
        <v>6.8299999999999272</v>
      </c>
      <c r="F371" s="8">
        <f t="shared" si="16"/>
        <v>6</v>
      </c>
      <c r="H371" s="12">
        <f t="shared" si="17"/>
        <v>2.1076223592795342</v>
      </c>
    </row>
    <row r="372" spans="1:8" x14ac:dyDescent="0.25">
      <c r="A372" s="1">
        <v>44469</v>
      </c>
      <c r="B372" s="8">
        <v>4359.46</v>
      </c>
      <c r="C372" s="2">
        <v>454.8</v>
      </c>
      <c r="E372" s="8">
        <f t="shared" si="15"/>
        <v>-51.920000000000073</v>
      </c>
      <c r="F372" s="8">
        <f t="shared" si="16"/>
        <v>1.1999999999999886</v>
      </c>
      <c r="H372" s="12">
        <f t="shared" si="17"/>
        <v>2.1074508138369596</v>
      </c>
    </row>
    <row r="373" spans="1:8" x14ac:dyDescent="0.25">
      <c r="A373" s="1">
        <v>44470</v>
      </c>
      <c r="B373" s="8">
        <v>4307.54</v>
      </c>
      <c r="C373" s="2">
        <v>456</v>
      </c>
      <c r="E373" s="8">
        <f t="shared" si="15"/>
        <v>49.5</v>
      </c>
      <c r="F373" s="8">
        <f t="shared" si="16"/>
        <v>-17.399999999999977</v>
      </c>
      <c r="H373" s="12">
        <f t="shared" si="17"/>
        <v>2.1061085545521254</v>
      </c>
    </row>
    <row r="374" spans="1:8" x14ac:dyDescent="0.25">
      <c r="A374" s="1">
        <v>44473</v>
      </c>
      <c r="B374" s="8">
        <v>4357.04</v>
      </c>
      <c r="C374" s="2">
        <v>438.6</v>
      </c>
      <c r="E374" s="8">
        <f t="shared" si="15"/>
        <v>-56.579999999999927</v>
      </c>
      <c r="F374" s="8">
        <f t="shared" si="16"/>
        <v>12.599999999999966</v>
      </c>
      <c r="H374" s="12">
        <f t="shared" si="17"/>
        <v>2.0977895859970159</v>
      </c>
    </row>
    <row r="375" spans="1:8" x14ac:dyDescent="0.25">
      <c r="A375" s="1">
        <v>44474</v>
      </c>
      <c r="B375" s="8">
        <v>4300.46</v>
      </c>
      <c r="C375" s="2">
        <v>451.2</v>
      </c>
      <c r="E375" s="8">
        <f t="shared" si="15"/>
        <v>45.260000000000218</v>
      </c>
      <c r="F375" s="8">
        <f t="shared" si="16"/>
        <v>-16.599999999999966</v>
      </c>
      <c r="H375" s="12">
        <f t="shared" si="17"/>
        <v>2.0943041070885964</v>
      </c>
    </row>
    <row r="376" spans="1:8" x14ac:dyDescent="0.25">
      <c r="A376" s="1">
        <v>44475</v>
      </c>
      <c r="B376" s="8">
        <v>4345.72</v>
      </c>
      <c r="C376" s="2">
        <v>434.6</v>
      </c>
      <c r="E376" s="8">
        <f t="shared" si="15"/>
        <v>17.829999999999927</v>
      </c>
      <c r="F376" s="8">
        <f t="shared" si="16"/>
        <v>-5</v>
      </c>
      <c r="H376" s="12">
        <f t="shared" si="17"/>
        <v>2.0781514473533926</v>
      </c>
    </row>
    <row r="377" spans="1:8" x14ac:dyDescent="0.25">
      <c r="A377" s="1">
        <v>44476</v>
      </c>
      <c r="B377" s="8">
        <v>4363.55</v>
      </c>
      <c r="C377" s="2">
        <v>429.6</v>
      </c>
      <c r="E377" s="8">
        <f t="shared" si="15"/>
        <v>36.210000000000036</v>
      </c>
      <c r="F377" s="8">
        <f t="shared" si="16"/>
        <v>-16.200000000000045</v>
      </c>
      <c r="H377" s="12">
        <f t="shared" si="17"/>
        <v>2.0649116056962291</v>
      </c>
    </row>
    <row r="378" spans="1:8" x14ac:dyDescent="0.25">
      <c r="A378" s="1">
        <v>44477</v>
      </c>
      <c r="B378" s="8">
        <v>4399.76</v>
      </c>
      <c r="C378" s="2">
        <v>413.4</v>
      </c>
      <c r="E378" s="8">
        <f t="shared" si="15"/>
        <v>-8.4200000000000728</v>
      </c>
      <c r="F378" s="8">
        <f t="shared" si="16"/>
        <v>-7.7999999999999545</v>
      </c>
      <c r="H378" s="12">
        <f t="shared" si="17"/>
        <v>2.0530828484365546</v>
      </c>
    </row>
    <row r="379" spans="1:8" x14ac:dyDescent="0.25">
      <c r="A379" s="1">
        <v>44480</v>
      </c>
      <c r="B379" s="8">
        <v>4391.34</v>
      </c>
      <c r="C379" s="2">
        <v>405.6</v>
      </c>
      <c r="E379" s="8">
        <f t="shared" si="15"/>
        <v>-30.150000000000546</v>
      </c>
      <c r="F379" s="8">
        <f t="shared" si="16"/>
        <v>4.5999999999999659</v>
      </c>
      <c r="H379" s="12">
        <f t="shared" si="17"/>
        <v>2.0437268560783766</v>
      </c>
    </row>
    <row r="380" spans="1:8" x14ac:dyDescent="0.25">
      <c r="A380" s="1">
        <v>44481</v>
      </c>
      <c r="B380" s="8">
        <v>4361.1899999999996</v>
      </c>
      <c r="C380" s="2">
        <v>410.2</v>
      </c>
      <c r="E380" s="8">
        <f t="shared" si="15"/>
        <v>-10.539999999999964</v>
      </c>
      <c r="F380" s="8">
        <f t="shared" si="16"/>
        <v>-7.8000000000000114</v>
      </c>
      <c r="H380" s="12">
        <f t="shared" si="17"/>
        <v>2.0266303243398123</v>
      </c>
    </row>
    <row r="381" spans="1:8" x14ac:dyDescent="0.25">
      <c r="A381" s="1">
        <v>44482</v>
      </c>
      <c r="B381" s="8">
        <v>4350.6499999999996</v>
      </c>
      <c r="C381" s="2">
        <v>402.4</v>
      </c>
      <c r="E381" s="8">
        <f t="shared" si="15"/>
        <v>13.150000000000546</v>
      </c>
      <c r="F381" s="8">
        <f t="shared" si="16"/>
        <v>-7.5999999999999659</v>
      </c>
      <c r="H381" s="12">
        <f t="shared" si="17"/>
        <v>1.9957762240409493</v>
      </c>
    </row>
    <row r="382" spans="1:8" x14ac:dyDescent="0.25">
      <c r="A382" s="1">
        <v>44483</v>
      </c>
      <c r="B382" s="8">
        <v>4363.8</v>
      </c>
      <c r="C382" s="2">
        <v>394.8</v>
      </c>
      <c r="E382" s="8">
        <f t="shared" si="15"/>
        <v>74.460000000000036</v>
      </c>
      <c r="F382" s="8">
        <f t="shared" si="16"/>
        <v>-21.400000000000034</v>
      </c>
      <c r="H382" s="12">
        <f t="shared" si="17"/>
        <v>1.9506567201053284</v>
      </c>
    </row>
    <row r="383" spans="1:8" x14ac:dyDescent="0.25">
      <c r="A383" s="1">
        <v>44484</v>
      </c>
      <c r="B383" s="8">
        <v>4438.26</v>
      </c>
      <c r="C383" s="2">
        <v>373.4</v>
      </c>
      <c r="E383" s="8">
        <f t="shared" si="15"/>
        <v>33.109999999999673</v>
      </c>
      <c r="F383" s="8">
        <f t="shared" si="16"/>
        <v>-0.19999999999998863</v>
      </c>
      <c r="H383" s="12">
        <f t="shared" si="17"/>
        <v>1.8861379261992504</v>
      </c>
    </row>
    <row r="384" spans="1:8" x14ac:dyDescent="0.25">
      <c r="A384" s="1">
        <v>44487</v>
      </c>
      <c r="B384" s="8">
        <v>4471.37</v>
      </c>
      <c r="C384" s="2">
        <v>373.2</v>
      </c>
      <c r="E384" s="8">
        <f t="shared" si="15"/>
        <v>15.090000000000146</v>
      </c>
      <c r="F384" s="8">
        <f t="shared" si="16"/>
        <v>-7.5999999999999659</v>
      </c>
      <c r="H384" s="12">
        <f t="shared" si="17"/>
        <v>1.8423609614861189</v>
      </c>
    </row>
    <row r="385" spans="1:8" x14ac:dyDescent="0.25">
      <c r="A385" s="1">
        <v>44488</v>
      </c>
      <c r="B385" s="8">
        <v>4486.46</v>
      </c>
      <c r="C385" s="2">
        <v>365.6</v>
      </c>
      <c r="E385" s="8">
        <f t="shared" si="15"/>
        <v>33.170000000000073</v>
      </c>
      <c r="F385" s="8">
        <f t="shared" si="16"/>
        <v>-3.4000000000000341</v>
      </c>
      <c r="H385" s="12">
        <f t="shared" si="17"/>
        <v>1.809603994043977</v>
      </c>
    </row>
    <row r="386" spans="1:8" x14ac:dyDescent="0.25">
      <c r="A386" s="1">
        <v>44489</v>
      </c>
      <c r="B386" s="8">
        <v>4519.63</v>
      </c>
      <c r="C386" s="2">
        <v>362.2</v>
      </c>
      <c r="E386" s="8">
        <f t="shared" si="15"/>
        <v>16.559999999999491</v>
      </c>
      <c r="F386" s="8">
        <f t="shared" si="16"/>
        <v>-3</v>
      </c>
      <c r="H386" s="12">
        <f t="shared" si="17"/>
        <v>1.7975316560322245</v>
      </c>
    </row>
    <row r="387" spans="1:8" x14ac:dyDescent="0.25">
      <c r="A387" s="1">
        <v>44490</v>
      </c>
      <c r="B387" s="8">
        <v>4536.1899999999996</v>
      </c>
      <c r="C387" s="2">
        <v>359.2</v>
      </c>
      <c r="E387" s="8">
        <f t="shared" ref="E387:E450" si="18">B388-B387</f>
        <v>13.590000000000146</v>
      </c>
      <c r="F387" s="8">
        <f t="shared" ref="F387:F450" si="19">C388-C387</f>
        <v>-11.800000000000011</v>
      </c>
      <c r="H387" s="12">
        <f t="shared" ref="H387:H450" si="20">LOG(_xlfn.STDEV.P(B387:B417))</f>
        <v>1.7796398759882355</v>
      </c>
    </row>
    <row r="388" spans="1:8" x14ac:dyDescent="0.25">
      <c r="A388" s="1">
        <v>44491</v>
      </c>
      <c r="B388" s="8">
        <v>4549.78</v>
      </c>
      <c r="C388" s="2">
        <v>347.4</v>
      </c>
      <c r="E388" s="8">
        <f t="shared" si="18"/>
        <v>-4.8800000000001091</v>
      </c>
      <c r="F388" s="8">
        <f t="shared" si="19"/>
        <v>7</v>
      </c>
      <c r="H388" s="12">
        <f t="shared" si="20"/>
        <v>1.7788073354996734</v>
      </c>
    </row>
    <row r="389" spans="1:8" x14ac:dyDescent="0.25">
      <c r="A389" s="1">
        <v>44494</v>
      </c>
      <c r="B389" s="8">
        <v>4544.8999999999996</v>
      </c>
      <c r="C389" s="2">
        <v>354.4</v>
      </c>
      <c r="E389" s="8">
        <f t="shared" si="18"/>
        <v>21.579999999999927</v>
      </c>
      <c r="F389" s="8">
        <f t="shared" si="19"/>
        <v>-10.399999999999977</v>
      </c>
      <c r="H389" s="12">
        <f t="shared" si="20"/>
        <v>1.7682717707553446</v>
      </c>
    </row>
    <row r="390" spans="1:8" x14ac:dyDescent="0.25">
      <c r="A390" s="1">
        <v>44495</v>
      </c>
      <c r="B390" s="8">
        <v>4566.4799999999996</v>
      </c>
      <c r="C390" s="2">
        <v>344</v>
      </c>
      <c r="E390" s="8">
        <f t="shared" si="18"/>
        <v>8.3100000000004002</v>
      </c>
      <c r="F390" s="8">
        <f t="shared" si="19"/>
        <v>6.6000000000000227</v>
      </c>
      <c r="H390" s="12">
        <f t="shared" si="20"/>
        <v>1.7557017486972528</v>
      </c>
    </row>
    <row r="391" spans="1:8" x14ac:dyDescent="0.25">
      <c r="A391" s="1">
        <v>44496</v>
      </c>
      <c r="B391" s="8">
        <v>4574.79</v>
      </c>
      <c r="C391" s="2">
        <v>350.6</v>
      </c>
      <c r="E391" s="8">
        <f t="shared" si="18"/>
        <v>-23.109999999999673</v>
      </c>
      <c r="F391" s="8">
        <f t="shared" si="19"/>
        <v>8.1999999999999886</v>
      </c>
      <c r="H391" s="12">
        <f t="shared" si="20"/>
        <v>1.7512483578066045</v>
      </c>
    </row>
    <row r="392" spans="1:8" x14ac:dyDescent="0.25">
      <c r="A392" s="1">
        <v>44497</v>
      </c>
      <c r="B392" s="8">
        <v>4551.68</v>
      </c>
      <c r="C392" s="2">
        <v>358.8</v>
      </c>
      <c r="E392" s="8">
        <f t="shared" si="18"/>
        <v>44.739999999999782</v>
      </c>
      <c r="F392" s="8">
        <f t="shared" si="19"/>
        <v>-11.199999999999989</v>
      </c>
      <c r="H392" s="12">
        <f t="shared" si="20"/>
        <v>1.7412360063549241</v>
      </c>
    </row>
    <row r="393" spans="1:8" x14ac:dyDescent="0.25">
      <c r="A393" s="1">
        <v>44498</v>
      </c>
      <c r="B393" s="8">
        <v>4596.42</v>
      </c>
      <c r="C393" s="2">
        <v>347.6</v>
      </c>
      <c r="E393" s="8">
        <f t="shared" si="18"/>
        <v>8.9600000000000364</v>
      </c>
      <c r="F393" s="8">
        <f t="shared" si="19"/>
        <v>2.1999999999999886</v>
      </c>
      <c r="H393" s="12">
        <f t="shared" si="20"/>
        <v>1.7280290825340858</v>
      </c>
    </row>
    <row r="394" spans="1:8" x14ac:dyDescent="0.25">
      <c r="A394" s="1">
        <v>44501</v>
      </c>
      <c r="B394" s="8">
        <v>4605.38</v>
      </c>
      <c r="C394" s="2">
        <v>349.8</v>
      </c>
      <c r="E394" s="8">
        <f t="shared" si="18"/>
        <v>8.2899999999999636</v>
      </c>
      <c r="F394" s="8">
        <f t="shared" si="19"/>
        <v>-4.8000000000000114</v>
      </c>
      <c r="H394" s="12">
        <f t="shared" si="20"/>
        <v>1.7207104937969375</v>
      </c>
    </row>
    <row r="395" spans="1:8" x14ac:dyDescent="0.25">
      <c r="A395" s="1">
        <v>44502</v>
      </c>
      <c r="B395" s="8">
        <v>4613.67</v>
      </c>
      <c r="C395" s="2">
        <v>345</v>
      </c>
      <c r="E395" s="8">
        <f t="shared" si="18"/>
        <v>16.979999999999563</v>
      </c>
      <c r="F395" s="8">
        <f t="shared" si="19"/>
        <v>-9</v>
      </c>
      <c r="H395" s="12">
        <f t="shared" si="20"/>
        <v>1.7155806995295693</v>
      </c>
    </row>
    <row r="396" spans="1:8" x14ac:dyDescent="0.25">
      <c r="A396" s="1">
        <v>44503</v>
      </c>
      <c r="B396" s="8">
        <v>4630.6499999999996</v>
      </c>
      <c r="C396" s="2">
        <v>336</v>
      </c>
      <c r="E396" s="8">
        <f t="shared" si="18"/>
        <v>29.920000000000073</v>
      </c>
      <c r="F396" s="8">
        <f t="shared" si="19"/>
        <v>-12.199999999999989</v>
      </c>
      <c r="H396" s="12">
        <f t="shared" si="20"/>
        <v>1.7181523369904053</v>
      </c>
    </row>
    <row r="397" spans="1:8" x14ac:dyDescent="0.25">
      <c r="A397" s="1">
        <v>44504</v>
      </c>
      <c r="B397" s="8">
        <v>4660.57</v>
      </c>
      <c r="C397" s="2">
        <v>323.8</v>
      </c>
      <c r="E397" s="8">
        <f t="shared" si="18"/>
        <v>19.490000000000691</v>
      </c>
      <c r="F397" s="8">
        <f t="shared" si="19"/>
        <v>4.8000000000000114</v>
      </c>
      <c r="H397" s="12">
        <f t="shared" si="20"/>
        <v>1.7163734521371163</v>
      </c>
    </row>
    <row r="398" spans="1:8" x14ac:dyDescent="0.25">
      <c r="A398" s="1">
        <v>44505</v>
      </c>
      <c r="B398" s="8">
        <v>4680.0600000000004</v>
      </c>
      <c r="C398" s="2">
        <v>328.6</v>
      </c>
      <c r="E398" s="8">
        <f t="shared" si="18"/>
        <v>17.469999999999345</v>
      </c>
      <c r="F398" s="8">
        <f t="shared" si="19"/>
        <v>11.199999999999989</v>
      </c>
      <c r="H398" s="12">
        <f t="shared" si="20"/>
        <v>1.7200812708198483</v>
      </c>
    </row>
    <row r="399" spans="1:8" x14ac:dyDescent="0.25">
      <c r="A399" s="1">
        <v>44508</v>
      </c>
      <c r="B399" s="8">
        <v>4697.53</v>
      </c>
      <c r="C399" s="2">
        <v>339.8</v>
      </c>
      <c r="E399" s="8">
        <f t="shared" si="18"/>
        <v>4.1700000000000728</v>
      </c>
      <c r="F399" s="8">
        <f t="shared" si="19"/>
        <v>0.80000000000001137</v>
      </c>
      <c r="H399" s="12">
        <f t="shared" si="20"/>
        <v>1.7377024812939679</v>
      </c>
    </row>
    <row r="400" spans="1:8" x14ac:dyDescent="0.25">
      <c r="A400" s="1">
        <v>44509</v>
      </c>
      <c r="B400" s="8">
        <v>4701.7</v>
      </c>
      <c r="C400" s="2">
        <v>340.6</v>
      </c>
      <c r="E400" s="8">
        <f t="shared" si="18"/>
        <v>-16.449999999999818</v>
      </c>
      <c r="F400" s="8">
        <f t="shared" si="19"/>
        <v>5.5999999999999659</v>
      </c>
      <c r="H400" s="12">
        <f t="shared" si="20"/>
        <v>1.7331939152563107</v>
      </c>
    </row>
    <row r="401" spans="1:8" x14ac:dyDescent="0.25">
      <c r="A401" s="1">
        <v>44510</v>
      </c>
      <c r="B401" s="8">
        <v>4685.25</v>
      </c>
      <c r="C401" s="2">
        <v>346.2</v>
      </c>
      <c r="E401" s="8">
        <f t="shared" si="18"/>
        <v>-38.539999999999964</v>
      </c>
      <c r="F401" s="8">
        <f t="shared" si="19"/>
        <v>6</v>
      </c>
      <c r="H401" s="12">
        <f t="shared" si="20"/>
        <v>1.7320513572244354</v>
      </c>
    </row>
    <row r="402" spans="1:8" x14ac:dyDescent="0.25">
      <c r="A402" s="1">
        <v>44511</v>
      </c>
      <c r="B402" s="8">
        <v>4646.71</v>
      </c>
      <c r="C402" s="2">
        <v>352.2</v>
      </c>
      <c r="E402" s="8">
        <f t="shared" si="18"/>
        <v>2.5600000000004002</v>
      </c>
      <c r="F402" s="8">
        <f t="shared" si="19"/>
        <v>-6.8000000000000114</v>
      </c>
      <c r="H402" s="12">
        <f t="shared" si="20"/>
        <v>1.7419908078355175</v>
      </c>
    </row>
    <row r="403" spans="1:8" x14ac:dyDescent="0.25">
      <c r="A403" s="1">
        <v>44512</v>
      </c>
      <c r="B403" s="8">
        <v>4649.2700000000004</v>
      </c>
      <c r="C403" s="2">
        <v>345.4</v>
      </c>
      <c r="E403" s="8">
        <f t="shared" si="18"/>
        <v>33.579999999999927</v>
      </c>
      <c r="F403" s="8">
        <f t="shared" si="19"/>
        <v>-11.799999999999955</v>
      </c>
      <c r="H403" s="12">
        <f t="shared" si="20"/>
        <v>1.7800195444787232</v>
      </c>
    </row>
    <row r="404" spans="1:8" x14ac:dyDescent="0.25">
      <c r="A404" s="1">
        <v>44515</v>
      </c>
      <c r="B404" s="8">
        <v>4682.8500000000004</v>
      </c>
      <c r="C404" s="2">
        <v>333.6</v>
      </c>
      <c r="E404" s="8">
        <f t="shared" si="18"/>
        <v>-5.0000000000181899E-2</v>
      </c>
      <c r="F404" s="8">
        <f t="shared" si="19"/>
        <v>-4.6000000000000227</v>
      </c>
      <c r="H404" s="12">
        <f t="shared" si="20"/>
        <v>1.8082023836975378</v>
      </c>
    </row>
    <row r="405" spans="1:8" x14ac:dyDescent="0.25">
      <c r="A405" s="1">
        <v>44516</v>
      </c>
      <c r="B405" s="8">
        <v>4682.8</v>
      </c>
      <c r="C405" s="2">
        <v>329</v>
      </c>
      <c r="E405" s="8">
        <f t="shared" si="18"/>
        <v>18.099999999999454</v>
      </c>
      <c r="F405" s="8">
        <f t="shared" si="19"/>
        <v>0.80000000000001137</v>
      </c>
      <c r="H405" s="12">
        <f t="shared" si="20"/>
        <v>1.8339030968546881</v>
      </c>
    </row>
    <row r="406" spans="1:8" x14ac:dyDescent="0.25">
      <c r="A406" s="1">
        <v>44517</v>
      </c>
      <c r="B406" s="8">
        <v>4700.8999999999996</v>
      </c>
      <c r="C406" s="2">
        <v>329.8</v>
      </c>
      <c r="E406" s="8">
        <f t="shared" si="18"/>
        <v>-12.229999999999563</v>
      </c>
      <c r="F406" s="8">
        <f t="shared" si="19"/>
        <v>6</v>
      </c>
      <c r="H406" s="12">
        <f t="shared" si="20"/>
        <v>1.8512522211048699</v>
      </c>
    </row>
    <row r="407" spans="1:8" x14ac:dyDescent="0.25">
      <c r="A407" s="1">
        <v>44518</v>
      </c>
      <c r="B407" s="8">
        <v>4688.67</v>
      </c>
      <c r="C407" s="2">
        <v>335.8</v>
      </c>
      <c r="E407" s="8">
        <f t="shared" si="18"/>
        <v>15.869999999999891</v>
      </c>
      <c r="F407" s="8">
        <f t="shared" si="19"/>
        <v>2.3999999999999773</v>
      </c>
      <c r="H407" s="12">
        <f t="shared" si="20"/>
        <v>1.8623425519578436</v>
      </c>
    </row>
    <row r="408" spans="1:8" x14ac:dyDescent="0.25">
      <c r="A408" s="1">
        <v>44519</v>
      </c>
      <c r="B408" s="8">
        <v>4704.54</v>
      </c>
      <c r="C408" s="2">
        <v>338.2</v>
      </c>
      <c r="E408" s="8">
        <f t="shared" si="18"/>
        <v>-6.5799999999999272</v>
      </c>
      <c r="F408" s="8">
        <f t="shared" si="19"/>
        <v>4.6000000000000227</v>
      </c>
      <c r="H408" s="12">
        <f t="shared" si="20"/>
        <v>1.8811618935777172</v>
      </c>
    </row>
    <row r="409" spans="1:8" x14ac:dyDescent="0.25">
      <c r="A409" s="1">
        <v>44522</v>
      </c>
      <c r="B409" s="8">
        <v>4697.96</v>
      </c>
      <c r="C409" s="2">
        <v>342.8</v>
      </c>
      <c r="E409" s="8">
        <f t="shared" si="18"/>
        <v>-15.020000000000437</v>
      </c>
      <c r="F409" s="8">
        <f t="shared" si="19"/>
        <v>5.5999999999999659</v>
      </c>
      <c r="H409" s="12">
        <f t="shared" si="20"/>
        <v>1.896199900002133</v>
      </c>
    </row>
    <row r="410" spans="1:8" x14ac:dyDescent="0.25">
      <c r="A410" s="1">
        <v>44523</v>
      </c>
      <c r="B410" s="8">
        <v>4682.9399999999996</v>
      </c>
      <c r="C410" s="2">
        <v>348.4</v>
      </c>
      <c r="E410" s="8">
        <f t="shared" si="18"/>
        <v>7.7600000000002183</v>
      </c>
      <c r="F410" s="8">
        <f t="shared" si="19"/>
        <v>-7.5999999999999659</v>
      </c>
      <c r="H410" s="12">
        <f t="shared" si="20"/>
        <v>1.8963241870240035</v>
      </c>
    </row>
    <row r="411" spans="1:8" x14ac:dyDescent="0.25">
      <c r="A411" s="1">
        <v>44524</v>
      </c>
      <c r="B411" s="8">
        <v>4690.7</v>
      </c>
      <c r="C411" s="2">
        <v>340.8</v>
      </c>
      <c r="E411" s="8">
        <f t="shared" si="18"/>
        <v>10.760000000000218</v>
      </c>
      <c r="F411" s="8">
        <f t="shared" si="19"/>
        <v>-5</v>
      </c>
      <c r="H411" s="12">
        <f t="shared" si="20"/>
        <v>1.8966487677972046</v>
      </c>
    </row>
    <row r="412" spans="1:8" x14ac:dyDescent="0.25">
      <c r="A412" s="1">
        <v>44526</v>
      </c>
      <c r="B412" s="8">
        <v>4701.46</v>
      </c>
      <c r="C412" s="2">
        <v>335.8</v>
      </c>
      <c r="E412" s="8">
        <f t="shared" si="18"/>
        <v>-106.84000000000015</v>
      </c>
      <c r="F412" s="8">
        <f t="shared" si="19"/>
        <v>84</v>
      </c>
      <c r="H412" s="12">
        <f t="shared" si="20"/>
        <v>1.8964837750972166</v>
      </c>
    </row>
    <row r="413" spans="1:8" x14ac:dyDescent="0.25">
      <c r="A413" s="1">
        <v>44529</v>
      </c>
      <c r="B413" s="8">
        <v>4594.62</v>
      </c>
      <c r="C413" s="2">
        <v>419.8</v>
      </c>
      <c r="E413" s="8">
        <f t="shared" si="18"/>
        <v>60.650000000000546</v>
      </c>
      <c r="F413" s="8">
        <f t="shared" si="19"/>
        <v>-56.800000000000011</v>
      </c>
      <c r="H413" s="12">
        <f t="shared" si="20"/>
        <v>1.8959144235968206</v>
      </c>
    </row>
    <row r="414" spans="1:8" x14ac:dyDescent="0.25">
      <c r="A414" s="1">
        <v>44530</v>
      </c>
      <c r="B414" s="8">
        <v>4655.2700000000004</v>
      </c>
      <c r="C414" s="2">
        <v>363</v>
      </c>
      <c r="E414" s="8">
        <f t="shared" si="18"/>
        <v>-88.270000000000437</v>
      </c>
      <c r="F414" s="8">
        <f t="shared" si="19"/>
        <v>51</v>
      </c>
      <c r="H414" s="12">
        <f t="shared" si="20"/>
        <v>1.8890111013795079</v>
      </c>
    </row>
    <row r="415" spans="1:8" x14ac:dyDescent="0.25">
      <c r="A415" s="1">
        <v>44531</v>
      </c>
      <c r="B415" s="8">
        <v>4567</v>
      </c>
      <c r="C415" s="2">
        <v>414</v>
      </c>
      <c r="E415" s="8">
        <f t="shared" si="18"/>
        <v>-53.960000000000036</v>
      </c>
      <c r="F415" s="8">
        <f t="shared" si="19"/>
        <v>31.800000000000011</v>
      </c>
      <c r="H415" s="12">
        <f t="shared" si="20"/>
        <v>1.890426603860401</v>
      </c>
    </row>
    <row r="416" spans="1:8" x14ac:dyDescent="0.25">
      <c r="A416" s="1">
        <v>44532</v>
      </c>
      <c r="B416" s="8">
        <v>4513.04</v>
      </c>
      <c r="C416" s="2">
        <v>445.8</v>
      </c>
      <c r="E416" s="8">
        <f t="shared" si="18"/>
        <v>64.0600000000004</v>
      </c>
      <c r="F416" s="8">
        <f t="shared" si="19"/>
        <v>-24.800000000000011</v>
      </c>
      <c r="H416" s="12">
        <f t="shared" si="20"/>
        <v>1.8745090416595751</v>
      </c>
    </row>
    <row r="417" spans="1:8" x14ac:dyDescent="0.25">
      <c r="A417" s="1">
        <v>44533</v>
      </c>
      <c r="B417" s="8">
        <v>4577.1000000000004</v>
      </c>
      <c r="C417" s="2">
        <v>421</v>
      </c>
      <c r="E417" s="8">
        <f t="shared" si="18"/>
        <v>-38.670000000000073</v>
      </c>
      <c r="F417" s="8">
        <f t="shared" si="19"/>
        <v>36.800000000000011</v>
      </c>
      <c r="H417" s="12">
        <f t="shared" si="20"/>
        <v>1.8330743688311095</v>
      </c>
    </row>
    <row r="418" spans="1:8" x14ac:dyDescent="0.25">
      <c r="A418" s="1">
        <v>44536</v>
      </c>
      <c r="B418" s="8">
        <v>4538.43</v>
      </c>
      <c r="C418" s="2">
        <v>457.8</v>
      </c>
      <c r="E418" s="8">
        <f t="shared" si="18"/>
        <v>53.239999999999782</v>
      </c>
      <c r="F418" s="8">
        <f t="shared" si="19"/>
        <v>-37</v>
      </c>
      <c r="H418" s="12">
        <f t="shared" si="20"/>
        <v>1.8330709209041216</v>
      </c>
    </row>
    <row r="419" spans="1:8" x14ac:dyDescent="0.25">
      <c r="A419" s="1">
        <v>44537</v>
      </c>
      <c r="B419" s="8">
        <v>4591.67</v>
      </c>
      <c r="C419" s="2">
        <v>420.8</v>
      </c>
      <c r="E419" s="8">
        <f t="shared" si="18"/>
        <v>95.079999999999927</v>
      </c>
      <c r="F419" s="8">
        <f t="shared" si="19"/>
        <v>-45.400000000000034</v>
      </c>
      <c r="H419" s="12">
        <f t="shared" si="20"/>
        <v>1.8357193706337533</v>
      </c>
    </row>
    <row r="420" spans="1:8" x14ac:dyDescent="0.25">
      <c r="A420" s="1">
        <v>44538</v>
      </c>
      <c r="B420" s="8">
        <v>4686.75</v>
      </c>
      <c r="C420" s="2">
        <v>375.4</v>
      </c>
      <c r="E420" s="8">
        <f t="shared" si="18"/>
        <v>14.460000000000036</v>
      </c>
      <c r="F420" s="8">
        <f t="shared" si="19"/>
        <v>-22</v>
      </c>
      <c r="H420" s="12">
        <f t="shared" si="20"/>
        <v>1.8802729125441298</v>
      </c>
    </row>
    <row r="421" spans="1:8" x14ac:dyDescent="0.25">
      <c r="A421" s="1">
        <v>44539</v>
      </c>
      <c r="B421" s="8">
        <v>4701.21</v>
      </c>
      <c r="C421" s="2">
        <v>353.4</v>
      </c>
      <c r="E421" s="8">
        <f t="shared" si="18"/>
        <v>-33.760000000000218</v>
      </c>
      <c r="F421" s="8">
        <f t="shared" si="19"/>
        <v>9.8000000000000114</v>
      </c>
      <c r="H421" s="12">
        <f t="shared" si="20"/>
        <v>1.9616122949784738</v>
      </c>
    </row>
    <row r="422" spans="1:8" x14ac:dyDescent="0.25">
      <c r="A422" s="1">
        <v>44540</v>
      </c>
      <c r="B422" s="8">
        <v>4667.45</v>
      </c>
      <c r="C422" s="2">
        <v>363.2</v>
      </c>
      <c r="E422" s="8">
        <f t="shared" si="18"/>
        <v>44.570000000000618</v>
      </c>
      <c r="F422" s="8">
        <f t="shared" si="19"/>
        <v>-23.599999999999966</v>
      </c>
      <c r="H422" s="12">
        <f t="shared" si="20"/>
        <v>2.0124953759276627</v>
      </c>
    </row>
    <row r="423" spans="1:8" x14ac:dyDescent="0.25">
      <c r="A423" s="1">
        <v>44543</v>
      </c>
      <c r="B423" s="8">
        <v>4712.0200000000004</v>
      </c>
      <c r="C423" s="2">
        <v>339.6</v>
      </c>
      <c r="E423" s="8">
        <f t="shared" si="18"/>
        <v>-43.050000000000182</v>
      </c>
      <c r="F423" s="8">
        <f t="shared" si="19"/>
        <v>13.599999999999966</v>
      </c>
      <c r="H423" s="12">
        <f t="shared" si="20"/>
        <v>2.0673880452346665</v>
      </c>
    </row>
    <row r="424" spans="1:8" x14ac:dyDescent="0.25">
      <c r="A424" s="1">
        <v>44544</v>
      </c>
      <c r="B424" s="8">
        <v>4668.97</v>
      </c>
      <c r="C424" s="2">
        <v>353.2</v>
      </c>
      <c r="E424" s="8">
        <f t="shared" si="18"/>
        <v>-34.880000000000109</v>
      </c>
      <c r="F424" s="8">
        <f t="shared" si="19"/>
        <v>6.1999999999999886</v>
      </c>
      <c r="H424" s="12">
        <f t="shared" si="20"/>
        <v>2.1085800886820318</v>
      </c>
    </row>
    <row r="425" spans="1:8" x14ac:dyDescent="0.25">
      <c r="A425" s="1">
        <v>44545</v>
      </c>
      <c r="B425" s="8">
        <v>4634.09</v>
      </c>
      <c r="C425" s="2">
        <v>359.4</v>
      </c>
      <c r="E425" s="8">
        <f t="shared" si="18"/>
        <v>75.760000000000218</v>
      </c>
      <c r="F425" s="8">
        <f t="shared" si="19"/>
        <v>-25.799999999999955</v>
      </c>
      <c r="H425" s="12">
        <f t="shared" si="20"/>
        <v>2.1468512875597674</v>
      </c>
    </row>
    <row r="426" spans="1:8" x14ac:dyDescent="0.25">
      <c r="A426" s="1">
        <v>44546</v>
      </c>
      <c r="B426" s="8">
        <v>4709.8500000000004</v>
      </c>
      <c r="C426" s="2">
        <v>333.6</v>
      </c>
      <c r="E426" s="8">
        <f t="shared" si="18"/>
        <v>-41.180000000000291</v>
      </c>
      <c r="F426" s="8">
        <f t="shared" si="19"/>
        <v>14.399999999999977</v>
      </c>
      <c r="H426" s="12">
        <f t="shared" si="20"/>
        <v>2.1607751176363656</v>
      </c>
    </row>
    <row r="427" spans="1:8" x14ac:dyDescent="0.25">
      <c r="A427" s="1">
        <v>44547</v>
      </c>
      <c r="B427" s="8">
        <v>4668.67</v>
      </c>
      <c r="C427" s="2">
        <v>348</v>
      </c>
      <c r="E427" s="8">
        <f t="shared" si="18"/>
        <v>-48.029999999999745</v>
      </c>
      <c r="F427" s="8">
        <f t="shared" si="19"/>
        <v>11.199999999999989</v>
      </c>
      <c r="H427" s="12">
        <f t="shared" si="20"/>
        <v>2.1625442622356683</v>
      </c>
    </row>
    <row r="428" spans="1:8" x14ac:dyDescent="0.25">
      <c r="A428" s="1">
        <v>44550</v>
      </c>
      <c r="B428" s="8">
        <v>4620.6400000000003</v>
      </c>
      <c r="C428" s="2">
        <v>359.2</v>
      </c>
      <c r="E428" s="8">
        <f t="shared" si="18"/>
        <v>-52.619999999999891</v>
      </c>
      <c r="F428" s="8">
        <f t="shared" si="19"/>
        <v>12.400000000000034</v>
      </c>
      <c r="H428" s="12">
        <f t="shared" si="20"/>
        <v>2.1636482492453104</v>
      </c>
    </row>
    <row r="429" spans="1:8" x14ac:dyDescent="0.25">
      <c r="A429" s="1">
        <v>44551</v>
      </c>
      <c r="B429" s="8">
        <v>4568.0200000000004</v>
      </c>
      <c r="C429" s="2">
        <v>371.6</v>
      </c>
      <c r="E429" s="8">
        <f t="shared" si="18"/>
        <v>81.209999999999127</v>
      </c>
      <c r="F429" s="8">
        <f t="shared" si="19"/>
        <v>-17.800000000000011</v>
      </c>
      <c r="H429" s="12">
        <f t="shared" si="20"/>
        <v>2.163932412446278</v>
      </c>
    </row>
    <row r="430" spans="1:8" x14ac:dyDescent="0.25">
      <c r="A430" s="1">
        <v>44552</v>
      </c>
      <c r="B430" s="8">
        <v>4649.2299999999996</v>
      </c>
      <c r="C430" s="2">
        <v>353.8</v>
      </c>
      <c r="E430" s="8">
        <f t="shared" si="18"/>
        <v>47.330000000000837</v>
      </c>
      <c r="F430" s="8">
        <f t="shared" si="19"/>
        <v>-20</v>
      </c>
      <c r="H430" s="12">
        <f t="shared" si="20"/>
        <v>2.1694745014337196</v>
      </c>
    </row>
    <row r="431" spans="1:8" x14ac:dyDescent="0.25">
      <c r="A431" s="1">
        <v>44553</v>
      </c>
      <c r="B431" s="8">
        <v>4696.5600000000004</v>
      </c>
      <c r="C431" s="2">
        <v>333.8</v>
      </c>
      <c r="E431" s="8">
        <f t="shared" si="18"/>
        <v>29.229999999999563</v>
      </c>
      <c r="F431" s="8">
        <f t="shared" si="19"/>
        <v>-4.1999999999999886</v>
      </c>
      <c r="H431" s="12">
        <f t="shared" si="20"/>
        <v>2.1730811921912223</v>
      </c>
    </row>
    <row r="432" spans="1:8" x14ac:dyDescent="0.25">
      <c r="A432" s="1">
        <v>44557</v>
      </c>
      <c r="B432" s="8">
        <v>4725.79</v>
      </c>
      <c r="C432" s="2">
        <v>329.6</v>
      </c>
      <c r="E432" s="8">
        <f t="shared" si="18"/>
        <v>65.399999999999636</v>
      </c>
      <c r="F432" s="8">
        <f t="shared" si="19"/>
        <v>-7.6000000000000227</v>
      </c>
      <c r="H432" s="12">
        <f t="shared" si="20"/>
        <v>2.1753436570589129</v>
      </c>
    </row>
    <row r="433" spans="1:8" x14ac:dyDescent="0.25">
      <c r="A433" s="1">
        <v>44558</v>
      </c>
      <c r="B433" s="8">
        <v>4791.1899999999996</v>
      </c>
      <c r="C433" s="2">
        <v>322</v>
      </c>
      <c r="E433" s="8">
        <f t="shared" si="18"/>
        <v>-4.839999999999236</v>
      </c>
      <c r="F433" s="8">
        <f t="shared" si="19"/>
        <v>-8.1999999999999886</v>
      </c>
      <c r="H433" s="12">
        <f t="shared" si="20"/>
        <v>2.1723577673553991</v>
      </c>
    </row>
    <row r="434" spans="1:8" x14ac:dyDescent="0.25">
      <c r="A434" s="1">
        <v>44559</v>
      </c>
      <c r="B434" s="8">
        <v>4786.3500000000004</v>
      </c>
      <c r="C434" s="2">
        <v>313.8</v>
      </c>
      <c r="E434" s="8">
        <f t="shared" si="18"/>
        <v>6.7100000000000364</v>
      </c>
      <c r="F434" s="8">
        <f t="shared" si="19"/>
        <v>-7.8000000000000114</v>
      </c>
      <c r="H434" s="12">
        <f t="shared" si="20"/>
        <v>2.1596734224295857</v>
      </c>
    </row>
    <row r="435" spans="1:8" x14ac:dyDescent="0.25">
      <c r="A435" s="1">
        <v>44560</v>
      </c>
      <c r="B435" s="8">
        <v>4793.0600000000004</v>
      </c>
      <c r="C435" s="2">
        <v>306</v>
      </c>
      <c r="E435" s="8">
        <f t="shared" si="18"/>
        <v>-14.330000000000837</v>
      </c>
      <c r="F435" s="8">
        <f t="shared" si="19"/>
        <v>-0.19999999999998863</v>
      </c>
      <c r="H435" s="12">
        <f t="shared" si="20"/>
        <v>2.1481481161561828</v>
      </c>
    </row>
    <row r="436" spans="1:8" x14ac:dyDescent="0.25">
      <c r="A436" s="1">
        <v>44561</v>
      </c>
      <c r="B436" s="8">
        <v>4778.7299999999996</v>
      </c>
      <c r="C436" s="2">
        <v>305.8</v>
      </c>
      <c r="E436" s="8">
        <f t="shared" si="18"/>
        <v>-12.549999999999272</v>
      </c>
      <c r="F436" s="8">
        <f t="shared" si="19"/>
        <v>-2.4000000000000341</v>
      </c>
      <c r="H436" s="12">
        <f t="shared" si="20"/>
        <v>2.1399225366679828</v>
      </c>
    </row>
    <row r="437" spans="1:8" x14ac:dyDescent="0.25">
      <c r="A437" s="1">
        <v>44564</v>
      </c>
      <c r="B437" s="8">
        <v>4766.18</v>
      </c>
      <c r="C437" s="2">
        <v>303.39999999999998</v>
      </c>
      <c r="E437" s="8">
        <f t="shared" si="18"/>
        <v>30.380000000000109</v>
      </c>
      <c r="F437" s="8">
        <f t="shared" si="19"/>
        <v>-11</v>
      </c>
      <c r="H437" s="12">
        <f t="shared" si="20"/>
        <v>2.1323275571796554</v>
      </c>
    </row>
    <row r="438" spans="1:8" x14ac:dyDescent="0.25">
      <c r="A438" s="1">
        <v>44565</v>
      </c>
      <c r="B438" s="8">
        <v>4796.5600000000004</v>
      </c>
      <c r="C438" s="2">
        <v>292.39999999999998</v>
      </c>
      <c r="E438" s="8">
        <f t="shared" si="18"/>
        <v>-3.0200000000004366</v>
      </c>
      <c r="F438" s="8">
        <f t="shared" si="19"/>
        <v>-0.19999999999998863</v>
      </c>
      <c r="H438" s="12">
        <f t="shared" si="20"/>
        <v>2.1169178400098398</v>
      </c>
    </row>
    <row r="439" spans="1:8" x14ac:dyDescent="0.25">
      <c r="A439" s="1">
        <v>44566</v>
      </c>
      <c r="B439" s="8">
        <v>4793.54</v>
      </c>
      <c r="C439" s="2">
        <v>292.2</v>
      </c>
      <c r="E439" s="8">
        <f t="shared" si="18"/>
        <v>-92.960000000000036</v>
      </c>
      <c r="F439" s="8">
        <f t="shared" si="19"/>
        <v>22.400000000000034</v>
      </c>
      <c r="H439" s="12">
        <f t="shared" si="20"/>
        <v>2.0908912234793782</v>
      </c>
    </row>
    <row r="440" spans="1:8" x14ac:dyDescent="0.25">
      <c r="A440" s="1">
        <v>44567</v>
      </c>
      <c r="B440" s="8">
        <v>4700.58</v>
      </c>
      <c r="C440" s="2">
        <v>314.60000000000002</v>
      </c>
      <c r="E440" s="8">
        <f t="shared" si="18"/>
        <v>-4.5299999999997453</v>
      </c>
      <c r="F440" s="8">
        <f t="shared" si="19"/>
        <v>2.1999999999999886</v>
      </c>
      <c r="H440" s="12">
        <f t="shared" si="20"/>
        <v>2.0683282067917474</v>
      </c>
    </row>
    <row r="441" spans="1:8" x14ac:dyDescent="0.25">
      <c r="A441" s="1">
        <v>44568</v>
      </c>
      <c r="B441" s="8">
        <v>4696.05</v>
      </c>
      <c r="C441" s="2">
        <v>316.8</v>
      </c>
      <c r="E441" s="8">
        <f t="shared" si="18"/>
        <v>-19.020000000000437</v>
      </c>
      <c r="F441" s="8">
        <f t="shared" si="19"/>
        <v>-9.1999999999999886</v>
      </c>
      <c r="H441" s="12">
        <f t="shared" si="20"/>
        <v>2.0660077996962274</v>
      </c>
    </row>
    <row r="442" spans="1:8" x14ac:dyDescent="0.25">
      <c r="A442" s="1">
        <v>44571</v>
      </c>
      <c r="B442" s="8">
        <v>4677.03</v>
      </c>
      <c r="C442" s="2">
        <v>307.60000000000002</v>
      </c>
      <c r="E442" s="8">
        <f t="shared" si="18"/>
        <v>-6.7399999999997817</v>
      </c>
      <c r="F442" s="8">
        <f t="shared" si="19"/>
        <v>-5.8000000000000114</v>
      </c>
      <c r="H442" s="12">
        <f t="shared" si="20"/>
        <v>2.0683891336170608</v>
      </c>
    </row>
    <row r="443" spans="1:8" x14ac:dyDescent="0.25">
      <c r="A443" s="1">
        <v>44572</v>
      </c>
      <c r="B443" s="8">
        <v>4670.29</v>
      </c>
      <c r="C443" s="2">
        <v>301.8</v>
      </c>
      <c r="E443" s="8">
        <f t="shared" si="18"/>
        <v>42.779999999999745</v>
      </c>
      <c r="F443" s="8">
        <f t="shared" si="19"/>
        <v>-10.400000000000034</v>
      </c>
      <c r="H443" s="12">
        <f t="shared" si="20"/>
        <v>2.0867353171077148</v>
      </c>
    </row>
    <row r="444" spans="1:8" x14ac:dyDescent="0.25">
      <c r="A444" s="1">
        <v>44573</v>
      </c>
      <c r="B444" s="8">
        <v>4713.07</v>
      </c>
      <c r="C444" s="2">
        <v>291.39999999999998</v>
      </c>
      <c r="E444" s="8">
        <f t="shared" si="18"/>
        <v>13.280000000000655</v>
      </c>
      <c r="F444" s="8">
        <f t="shared" si="19"/>
        <v>-3</v>
      </c>
      <c r="H444" s="12">
        <f t="shared" si="20"/>
        <v>2.0866630168925138</v>
      </c>
    </row>
    <row r="445" spans="1:8" x14ac:dyDescent="0.25">
      <c r="A445" s="1">
        <v>44574</v>
      </c>
      <c r="B445" s="8">
        <v>4726.3500000000004</v>
      </c>
      <c r="C445" s="2">
        <v>288.39999999999998</v>
      </c>
      <c r="E445" s="8">
        <f t="shared" si="18"/>
        <v>-67.320000000000618</v>
      </c>
      <c r="F445" s="8">
        <f t="shared" si="19"/>
        <v>18.200000000000045</v>
      </c>
      <c r="H445" s="12">
        <f t="shared" si="20"/>
        <v>2.0600918891048248</v>
      </c>
    </row>
    <row r="446" spans="1:8" x14ac:dyDescent="0.25">
      <c r="A446" s="1">
        <v>44575</v>
      </c>
      <c r="B446" s="8">
        <v>4659.03</v>
      </c>
      <c r="C446" s="2">
        <v>306.60000000000002</v>
      </c>
      <c r="E446" s="8">
        <f t="shared" si="18"/>
        <v>3.8200000000006185</v>
      </c>
      <c r="F446" s="8">
        <f t="shared" si="19"/>
        <v>-5</v>
      </c>
      <c r="H446" s="12">
        <f t="shared" si="20"/>
        <v>2.0220192357019329</v>
      </c>
    </row>
    <row r="447" spans="1:8" x14ac:dyDescent="0.25">
      <c r="A447" s="1">
        <v>44579</v>
      </c>
      <c r="B447" s="8">
        <v>4662.8500000000004</v>
      </c>
      <c r="C447" s="2">
        <v>301.60000000000002</v>
      </c>
      <c r="E447" s="8">
        <f t="shared" si="18"/>
        <v>-85.740000000000691</v>
      </c>
      <c r="F447" s="8">
        <f t="shared" si="19"/>
        <v>23.199999999999989</v>
      </c>
      <c r="H447" s="12">
        <f t="shared" si="20"/>
        <v>2.0047576830353582</v>
      </c>
    </row>
    <row r="448" spans="1:8" x14ac:dyDescent="0.25">
      <c r="A448" s="1">
        <v>44580</v>
      </c>
      <c r="B448" s="8">
        <v>4577.1099999999997</v>
      </c>
      <c r="C448" s="2">
        <v>324.8</v>
      </c>
      <c r="E448" s="8">
        <f t="shared" si="18"/>
        <v>-44.349999999999454</v>
      </c>
      <c r="F448" s="8">
        <f t="shared" si="19"/>
        <v>8</v>
      </c>
      <c r="H448" s="12">
        <f t="shared" si="20"/>
        <v>1.9679711131997117</v>
      </c>
    </row>
    <row r="449" spans="1:8" x14ac:dyDescent="0.25">
      <c r="A449" s="1">
        <v>44581</v>
      </c>
      <c r="B449" s="8">
        <v>4532.76</v>
      </c>
      <c r="C449" s="2">
        <v>332.8</v>
      </c>
      <c r="E449" s="8">
        <f t="shared" si="18"/>
        <v>-50.030000000000655</v>
      </c>
      <c r="F449" s="8">
        <f t="shared" si="19"/>
        <v>14.199999999999989</v>
      </c>
      <c r="H449" s="12">
        <f t="shared" si="20"/>
        <v>1.9525717617961487</v>
      </c>
    </row>
    <row r="450" spans="1:8" x14ac:dyDescent="0.25">
      <c r="A450" s="1">
        <v>44582</v>
      </c>
      <c r="B450" s="8">
        <v>4482.7299999999996</v>
      </c>
      <c r="C450" s="2">
        <v>347</v>
      </c>
      <c r="E450" s="8">
        <f t="shared" si="18"/>
        <v>-84.789999999999964</v>
      </c>
      <c r="F450" s="8">
        <f t="shared" si="19"/>
        <v>32.199999999999989</v>
      </c>
      <c r="H450" s="12">
        <f t="shared" si="20"/>
        <v>1.9489486156455194</v>
      </c>
    </row>
    <row r="451" spans="1:8" x14ac:dyDescent="0.25">
      <c r="A451" s="1">
        <v>44585</v>
      </c>
      <c r="B451" s="8">
        <v>4397.9399999999996</v>
      </c>
      <c r="C451" s="2">
        <v>379.2</v>
      </c>
      <c r="E451" s="8">
        <f t="shared" ref="E451:E514" si="21">B452-B451</f>
        <v>12.190000000000509</v>
      </c>
      <c r="F451" s="8">
        <f t="shared" ref="F451:F514" si="22">C452-C451</f>
        <v>8.1999999999999886</v>
      </c>
      <c r="H451" s="12">
        <f t="shared" ref="H451:H514" si="23">LOG(_xlfn.STDEV.P(B451:B481))</f>
        <v>1.9817601459421714</v>
      </c>
    </row>
    <row r="452" spans="1:8" x14ac:dyDescent="0.25">
      <c r="A452" s="1">
        <v>44586</v>
      </c>
      <c r="B452" s="8">
        <v>4410.13</v>
      </c>
      <c r="C452" s="2">
        <v>387.4</v>
      </c>
      <c r="E452" s="8">
        <f t="shared" si="21"/>
        <v>-53.680000000000291</v>
      </c>
      <c r="F452" s="8">
        <f t="shared" si="22"/>
        <v>3.2000000000000455</v>
      </c>
      <c r="H452" s="12">
        <f t="shared" si="23"/>
        <v>2.0198789649755109</v>
      </c>
    </row>
    <row r="453" spans="1:8" x14ac:dyDescent="0.25">
      <c r="A453" s="1">
        <v>44587</v>
      </c>
      <c r="B453" s="8">
        <v>4356.45</v>
      </c>
      <c r="C453" s="2">
        <v>390.6</v>
      </c>
      <c r="E453" s="8">
        <f t="shared" si="21"/>
        <v>-6.5199999999995271</v>
      </c>
      <c r="F453" s="8">
        <f t="shared" si="22"/>
        <v>6.1999999999999886</v>
      </c>
      <c r="H453" s="12">
        <f t="shared" si="23"/>
        <v>2.028961709324502</v>
      </c>
    </row>
    <row r="454" spans="1:8" x14ac:dyDescent="0.25">
      <c r="A454" s="1">
        <v>44588</v>
      </c>
      <c r="B454" s="8">
        <v>4349.93</v>
      </c>
      <c r="C454" s="2">
        <v>396.8</v>
      </c>
      <c r="E454" s="8">
        <f t="shared" si="21"/>
        <v>-23.420000000000073</v>
      </c>
      <c r="F454" s="8">
        <f t="shared" si="22"/>
        <v>3.3999999999999773</v>
      </c>
      <c r="H454" s="12">
        <f t="shared" si="23"/>
        <v>2.0390831159731895</v>
      </c>
    </row>
    <row r="455" spans="1:8" x14ac:dyDescent="0.25">
      <c r="A455" s="1">
        <v>44589</v>
      </c>
      <c r="B455" s="8">
        <v>4326.51</v>
      </c>
      <c r="C455" s="2">
        <v>400.2</v>
      </c>
      <c r="E455" s="8">
        <f t="shared" si="21"/>
        <v>105.34000000000015</v>
      </c>
      <c r="F455" s="8">
        <f t="shared" si="22"/>
        <v>-25.599999999999966</v>
      </c>
      <c r="H455" s="12">
        <f t="shared" si="23"/>
        <v>2.0577103660500007</v>
      </c>
    </row>
    <row r="456" spans="1:8" x14ac:dyDescent="0.25">
      <c r="A456" s="1">
        <v>44592</v>
      </c>
      <c r="B456" s="8">
        <v>4431.8500000000004</v>
      </c>
      <c r="C456" s="2">
        <v>374.6</v>
      </c>
      <c r="E456" s="8">
        <f t="shared" si="21"/>
        <v>83.699999999999818</v>
      </c>
      <c r="F456" s="8">
        <f t="shared" si="22"/>
        <v>-25</v>
      </c>
      <c r="H456" s="12">
        <f t="shared" si="23"/>
        <v>2.0791277092234295</v>
      </c>
    </row>
    <row r="457" spans="1:8" x14ac:dyDescent="0.25">
      <c r="A457" s="1">
        <v>44593</v>
      </c>
      <c r="B457" s="8">
        <v>4515.55</v>
      </c>
      <c r="C457" s="2">
        <v>349.6</v>
      </c>
      <c r="E457" s="8">
        <f t="shared" si="21"/>
        <v>30.989999999999782</v>
      </c>
      <c r="F457" s="8">
        <f t="shared" si="22"/>
        <v>-25.800000000000011</v>
      </c>
      <c r="H457" s="12">
        <f t="shared" si="23"/>
        <v>2.0846740898799228</v>
      </c>
    </row>
    <row r="458" spans="1:8" x14ac:dyDescent="0.25">
      <c r="A458" s="1">
        <v>44594</v>
      </c>
      <c r="B458" s="8">
        <v>4546.54</v>
      </c>
      <c r="C458" s="2">
        <v>323.8</v>
      </c>
      <c r="E458" s="8">
        <f t="shared" si="21"/>
        <v>42.840000000000146</v>
      </c>
      <c r="F458" s="8">
        <f t="shared" si="22"/>
        <v>-6.4000000000000341</v>
      </c>
      <c r="H458" s="12">
        <f t="shared" si="23"/>
        <v>2.0753911339284339</v>
      </c>
    </row>
    <row r="459" spans="1:8" x14ac:dyDescent="0.25">
      <c r="A459" s="1">
        <v>44595</v>
      </c>
      <c r="B459" s="8">
        <v>4589.38</v>
      </c>
      <c r="C459" s="2">
        <v>317.39999999999998</v>
      </c>
      <c r="E459" s="8">
        <f t="shared" si="21"/>
        <v>-111.94000000000051</v>
      </c>
      <c r="F459" s="8">
        <f t="shared" si="22"/>
        <v>38.200000000000045</v>
      </c>
      <c r="H459" s="12">
        <f t="shared" si="23"/>
        <v>2.060488071672494</v>
      </c>
    </row>
    <row r="460" spans="1:8" x14ac:dyDescent="0.25">
      <c r="A460" s="1">
        <v>44596</v>
      </c>
      <c r="B460" s="8">
        <v>4477.4399999999996</v>
      </c>
      <c r="C460" s="2">
        <v>355.6</v>
      </c>
      <c r="E460" s="8">
        <f t="shared" si="21"/>
        <v>23.090000000000146</v>
      </c>
      <c r="F460" s="8">
        <f t="shared" si="22"/>
        <v>-12.400000000000034</v>
      </c>
      <c r="H460" s="12">
        <f t="shared" si="23"/>
        <v>2.0380506215185914</v>
      </c>
    </row>
    <row r="461" spans="1:8" x14ac:dyDescent="0.25">
      <c r="A461" s="1">
        <v>44599</v>
      </c>
      <c r="B461" s="8">
        <v>4500.53</v>
      </c>
      <c r="C461" s="2">
        <v>343.2</v>
      </c>
      <c r="E461" s="8">
        <f t="shared" si="21"/>
        <v>-16.659999999999854</v>
      </c>
      <c r="F461" s="8">
        <f t="shared" si="22"/>
        <v>-9.1999999999999886</v>
      </c>
      <c r="H461" s="12">
        <f t="shared" si="23"/>
        <v>2.0360418902126809</v>
      </c>
    </row>
    <row r="462" spans="1:8" x14ac:dyDescent="0.25">
      <c r="A462" s="1">
        <v>44600</v>
      </c>
      <c r="B462" s="8">
        <v>4483.87</v>
      </c>
      <c r="C462" s="2">
        <v>334</v>
      </c>
      <c r="E462" s="8">
        <f t="shared" si="21"/>
        <v>37.670000000000073</v>
      </c>
      <c r="F462" s="8">
        <f t="shared" si="22"/>
        <v>-15.399999999999977</v>
      </c>
      <c r="H462" s="12">
        <f t="shared" si="23"/>
        <v>2.0378935669270049</v>
      </c>
    </row>
    <row r="463" spans="1:8" x14ac:dyDescent="0.25">
      <c r="A463" s="1">
        <v>44601</v>
      </c>
      <c r="B463" s="8">
        <v>4521.54</v>
      </c>
      <c r="C463" s="2">
        <v>318.60000000000002</v>
      </c>
      <c r="E463" s="8">
        <f t="shared" si="21"/>
        <v>65.640000000000327</v>
      </c>
      <c r="F463" s="8">
        <f t="shared" si="22"/>
        <v>-12.200000000000045</v>
      </c>
      <c r="H463" s="12">
        <f t="shared" si="23"/>
        <v>2.0344304030977316</v>
      </c>
    </row>
    <row r="464" spans="1:8" x14ac:dyDescent="0.25">
      <c r="A464" s="1">
        <v>44602</v>
      </c>
      <c r="B464" s="8">
        <v>4587.18</v>
      </c>
      <c r="C464" s="2">
        <v>306.39999999999998</v>
      </c>
      <c r="E464" s="8">
        <f t="shared" si="21"/>
        <v>-83.100000000000364</v>
      </c>
      <c r="F464" s="8">
        <f t="shared" si="22"/>
        <v>28.400000000000034</v>
      </c>
      <c r="H464" s="12">
        <f t="shared" si="23"/>
        <v>2.0341713163428294</v>
      </c>
    </row>
    <row r="465" spans="1:8" x14ac:dyDescent="0.25">
      <c r="A465" s="1">
        <v>44603</v>
      </c>
      <c r="B465" s="8">
        <v>4504.08</v>
      </c>
      <c r="C465" s="2">
        <v>334.8</v>
      </c>
      <c r="E465" s="8">
        <f t="shared" si="21"/>
        <v>-85.4399999999996</v>
      </c>
      <c r="F465" s="8">
        <f t="shared" si="22"/>
        <v>44.399999999999977</v>
      </c>
      <c r="H465" s="12">
        <f t="shared" si="23"/>
        <v>2.0232356575889194</v>
      </c>
    </row>
    <row r="466" spans="1:8" x14ac:dyDescent="0.25">
      <c r="A466" s="1">
        <v>44606</v>
      </c>
      <c r="B466" s="8">
        <v>4418.6400000000003</v>
      </c>
      <c r="C466" s="2">
        <v>379.2</v>
      </c>
      <c r="E466" s="8">
        <f t="shared" si="21"/>
        <v>-16.970000000000255</v>
      </c>
      <c r="F466" s="8">
        <f t="shared" si="22"/>
        <v>0</v>
      </c>
      <c r="H466" s="12">
        <f t="shared" si="23"/>
        <v>2.0385283925317061</v>
      </c>
    </row>
    <row r="467" spans="1:8" x14ac:dyDescent="0.25">
      <c r="A467" s="1">
        <v>44607</v>
      </c>
      <c r="B467" s="8">
        <v>4401.67</v>
      </c>
      <c r="C467" s="2">
        <v>379.2</v>
      </c>
      <c r="E467" s="8">
        <f t="shared" si="21"/>
        <v>69.399999999999636</v>
      </c>
      <c r="F467" s="8">
        <f t="shared" si="22"/>
        <v>-30.199999999999989</v>
      </c>
      <c r="H467" s="12">
        <f t="shared" si="23"/>
        <v>2.0745699165411362</v>
      </c>
    </row>
    <row r="468" spans="1:8" x14ac:dyDescent="0.25">
      <c r="A468" s="1">
        <v>44608</v>
      </c>
      <c r="B468" s="8">
        <v>4471.07</v>
      </c>
      <c r="C468" s="2">
        <v>349</v>
      </c>
      <c r="E468" s="8">
        <f t="shared" si="21"/>
        <v>3.9400000000005093</v>
      </c>
      <c r="F468" s="8">
        <f t="shared" si="22"/>
        <v>-13.600000000000023</v>
      </c>
      <c r="H468" s="12">
        <f t="shared" si="23"/>
        <v>2.0985706500941874</v>
      </c>
    </row>
    <row r="469" spans="1:8" x14ac:dyDescent="0.25">
      <c r="A469" s="1">
        <v>44609</v>
      </c>
      <c r="B469" s="8">
        <v>4475.01</v>
      </c>
      <c r="C469" s="2">
        <v>335.4</v>
      </c>
      <c r="E469" s="8">
        <f t="shared" si="21"/>
        <v>-94.75</v>
      </c>
      <c r="F469" s="8">
        <f t="shared" si="22"/>
        <v>38.600000000000023</v>
      </c>
      <c r="H469" s="12">
        <f t="shared" si="23"/>
        <v>2.1049016418928752</v>
      </c>
    </row>
    <row r="470" spans="1:8" x14ac:dyDescent="0.25">
      <c r="A470" s="1">
        <v>44610</v>
      </c>
      <c r="B470" s="8">
        <v>4380.26</v>
      </c>
      <c r="C470" s="2">
        <v>374</v>
      </c>
      <c r="E470" s="8">
        <f t="shared" si="21"/>
        <v>-31.390000000000327</v>
      </c>
      <c r="F470" s="8">
        <f t="shared" si="22"/>
        <v>9.8000000000000114</v>
      </c>
      <c r="H470" s="12">
        <f t="shared" si="23"/>
        <v>2.1126757187457819</v>
      </c>
    </row>
    <row r="471" spans="1:8" x14ac:dyDescent="0.25">
      <c r="A471" s="1">
        <v>44614</v>
      </c>
      <c r="B471" s="8">
        <v>4348.87</v>
      </c>
      <c r="C471" s="2">
        <v>383.8</v>
      </c>
      <c r="E471" s="8">
        <f t="shared" si="21"/>
        <v>-44.109999999999673</v>
      </c>
      <c r="F471" s="8">
        <f t="shared" si="22"/>
        <v>-2</v>
      </c>
      <c r="H471" s="12">
        <f t="shared" si="23"/>
        <v>2.1282800668094706</v>
      </c>
    </row>
    <row r="472" spans="1:8" x14ac:dyDescent="0.25">
      <c r="A472" s="1">
        <v>44615</v>
      </c>
      <c r="B472" s="8">
        <v>4304.76</v>
      </c>
      <c r="C472" s="2">
        <v>381.8</v>
      </c>
      <c r="E472" s="8">
        <f t="shared" si="21"/>
        <v>-79.260000000000218</v>
      </c>
      <c r="F472" s="8">
        <f t="shared" si="22"/>
        <v>21.199999999999989</v>
      </c>
      <c r="H472" s="12">
        <f t="shared" si="23"/>
        <v>2.1343907321972631</v>
      </c>
    </row>
    <row r="473" spans="1:8" x14ac:dyDescent="0.25">
      <c r="A473" s="1">
        <v>44616</v>
      </c>
      <c r="B473" s="8">
        <v>4225.5</v>
      </c>
      <c r="C473" s="2">
        <v>403</v>
      </c>
      <c r="E473" s="8">
        <f t="shared" si="21"/>
        <v>63.199999999999818</v>
      </c>
      <c r="F473" s="8">
        <f t="shared" si="22"/>
        <v>-12.600000000000023</v>
      </c>
      <c r="H473" s="12">
        <f t="shared" si="23"/>
        <v>2.1338024060526215</v>
      </c>
    </row>
    <row r="474" spans="1:8" x14ac:dyDescent="0.25">
      <c r="A474" s="1">
        <v>44617</v>
      </c>
      <c r="B474" s="8">
        <v>4288.7</v>
      </c>
      <c r="C474" s="2">
        <v>390.4</v>
      </c>
      <c r="E474" s="8">
        <f t="shared" si="21"/>
        <v>95.949999999999818</v>
      </c>
      <c r="F474" s="8">
        <f t="shared" si="22"/>
        <v>-16</v>
      </c>
      <c r="H474" s="12">
        <f t="shared" si="23"/>
        <v>2.1249389174615412</v>
      </c>
    </row>
    <row r="475" spans="1:8" x14ac:dyDescent="0.25">
      <c r="A475" s="1">
        <v>44620</v>
      </c>
      <c r="B475" s="8">
        <v>4384.6499999999996</v>
      </c>
      <c r="C475" s="2">
        <v>374.4</v>
      </c>
      <c r="E475" s="8">
        <f t="shared" si="21"/>
        <v>-10.710000000000036</v>
      </c>
      <c r="F475" s="8">
        <f t="shared" si="22"/>
        <v>18.600000000000023</v>
      </c>
      <c r="H475" s="12">
        <f t="shared" si="23"/>
        <v>2.1211622389345206</v>
      </c>
    </row>
    <row r="476" spans="1:8" x14ac:dyDescent="0.25">
      <c r="A476" s="1">
        <v>44621</v>
      </c>
      <c r="B476" s="8">
        <v>4373.9399999999996</v>
      </c>
      <c r="C476" s="2">
        <v>393</v>
      </c>
      <c r="E476" s="8">
        <f t="shared" si="21"/>
        <v>-67.679999999999382</v>
      </c>
      <c r="F476" s="8">
        <f t="shared" si="22"/>
        <v>42.199999999999989</v>
      </c>
      <c r="H476" s="12">
        <f t="shared" si="23"/>
        <v>2.1207734765218764</v>
      </c>
    </row>
    <row r="477" spans="1:8" x14ac:dyDescent="0.25">
      <c r="A477" s="1">
        <v>44622</v>
      </c>
      <c r="B477" s="8">
        <v>4306.26</v>
      </c>
      <c r="C477" s="2">
        <v>435.2</v>
      </c>
      <c r="E477" s="8">
        <f t="shared" si="21"/>
        <v>80.279999999999745</v>
      </c>
      <c r="F477" s="8">
        <f t="shared" si="22"/>
        <v>-27.199999999999989</v>
      </c>
      <c r="H477" s="12">
        <f t="shared" si="23"/>
        <v>2.1201853786350013</v>
      </c>
    </row>
    <row r="478" spans="1:8" x14ac:dyDescent="0.25">
      <c r="A478" s="1">
        <v>44623</v>
      </c>
      <c r="B478" s="8">
        <v>4386.54</v>
      </c>
      <c r="C478" s="2">
        <v>408</v>
      </c>
      <c r="E478" s="8">
        <f t="shared" si="21"/>
        <v>-23.050000000000182</v>
      </c>
      <c r="F478" s="8">
        <f t="shared" si="22"/>
        <v>2</v>
      </c>
      <c r="H478" s="12">
        <f t="shared" si="23"/>
        <v>2.115268540595149</v>
      </c>
    </row>
    <row r="479" spans="1:8" x14ac:dyDescent="0.25">
      <c r="A479" s="1">
        <v>44624</v>
      </c>
      <c r="B479" s="8">
        <v>4363.49</v>
      </c>
      <c r="C479" s="2">
        <v>410</v>
      </c>
      <c r="E479" s="8">
        <f t="shared" si="21"/>
        <v>-34.619999999999891</v>
      </c>
      <c r="F479" s="8">
        <f t="shared" si="22"/>
        <v>17</v>
      </c>
      <c r="H479" s="12">
        <f t="shared" si="23"/>
        <v>2.1151078155099312</v>
      </c>
    </row>
    <row r="480" spans="1:8" x14ac:dyDescent="0.25">
      <c r="A480" s="1">
        <v>44627</v>
      </c>
      <c r="B480" s="8">
        <v>4328.87</v>
      </c>
      <c r="C480" s="2">
        <v>427</v>
      </c>
      <c r="E480" s="8">
        <f t="shared" si="21"/>
        <v>-127.77999999999975</v>
      </c>
      <c r="F480" s="8">
        <f t="shared" si="22"/>
        <v>37.800000000000011</v>
      </c>
      <c r="H480" s="12">
        <f t="shared" si="23"/>
        <v>2.114064586647403</v>
      </c>
    </row>
    <row r="481" spans="1:8" x14ac:dyDescent="0.25">
      <c r="A481" s="1">
        <v>44628</v>
      </c>
      <c r="B481" s="8">
        <v>4201.09</v>
      </c>
      <c r="C481" s="2">
        <v>464.8</v>
      </c>
      <c r="E481" s="8">
        <f t="shared" si="21"/>
        <v>-30.390000000000327</v>
      </c>
      <c r="F481" s="8">
        <f t="shared" si="22"/>
        <v>-4.6000000000000227</v>
      </c>
      <c r="H481" s="12">
        <f t="shared" si="23"/>
        <v>2.1107905348824882</v>
      </c>
    </row>
    <row r="482" spans="1:8" x14ac:dyDescent="0.25">
      <c r="A482" s="1">
        <v>44629</v>
      </c>
      <c r="B482" s="8">
        <v>4170.7</v>
      </c>
      <c r="C482" s="2">
        <v>460.2</v>
      </c>
      <c r="E482" s="8">
        <f t="shared" si="21"/>
        <v>107.18000000000029</v>
      </c>
      <c r="F482" s="8">
        <f t="shared" si="22"/>
        <v>-18.800000000000011</v>
      </c>
      <c r="H482" s="12">
        <f t="shared" si="23"/>
        <v>2.0876522731914631</v>
      </c>
    </row>
    <row r="483" spans="1:8" x14ac:dyDescent="0.25">
      <c r="A483" s="1">
        <v>44630</v>
      </c>
      <c r="B483" s="8">
        <v>4277.88</v>
      </c>
      <c r="C483" s="2">
        <v>441.4</v>
      </c>
      <c r="E483" s="8">
        <f t="shared" si="21"/>
        <v>-18.359999999999673</v>
      </c>
      <c r="F483" s="8">
        <f t="shared" si="22"/>
        <v>-19.199999999999989</v>
      </c>
      <c r="H483" s="12">
        <f t="shared" si="23"/>
        <v>2.0521848610388487</v>
      </c>
    </row>
    <row r="484" spans="1:8" x14ac:dyDescent="0.25">
      <c r="A484" s="1">
        <v>44631</v>
      </c>
      <c r="B484" s="8">
        <v>4259.5200000000004</v>
      </c>
      <c r="C484" s="2">
        <v>422.2</v>
      </c>
      <c r="E484" s="8">
        <f t="shared" si="21"/>
        <v>-55.210000000000036</v>
      </c>
      <c r="F484" s="8">
        <f t="shared" si="22"/>
        <v>8</v>
      </c>
      <c r="H484" s="12">
        <f t="shared" si="23"/>
        <v>2.053308947134417</v>
      </c>
    </row>
    <row r="485" spans="1:8" x14ac:dyDescent="0.25">
      <c r="A485" s="1">
        <v>44634</v>
      </c>
      <c r="B485" s="8">
        <v>4204.3100000000004</v>
      </c>
      <c r="C485" s="2">
        <v>430.2</v>
      </c>
      <c r="E485" s="8">
        <f t="shared" si="21"/>
        <v>-31.200000000000728</v>
      </c>
      <c r="F485" s="8">
        <f t="shared" si="22"/>
        <v>13.800000000000011</v>
      </c>
      <c r="H485" s="12">
        <f t="shared" si="23"/>
        <v>2.0465788373693261</v>
      </c>
    </row>
    <row r="486" spans="1:8" x14ac:dyDescent="0.25">
      <c r="A486" s="1">
        <v>44635</v>
      </c>
      <c r="B486" s="8">
        <v>4173.1099999999997</v>
      </c>
      <c r="C486" s="2">
        <v>444</v>
      </c>
      <c r="E486" s="8">
        <f t="shared" si="21"/>
        <v>89.340000000000146</v>
      </c>
      <c r="F486" s="8">
        <f t="shared" si="22"/>
        <v>-14.600000000000023</v>
      </c>
      <c r="H486" s="12">
        <f t="shared" si="23"/>
        <v>2.0547614126322147</v>
      </c>
    </row>
    <row r="487" spans="1:8" x14ac:dyDescent="0.25">
      <c r="A487" s="1">
        <v>44636</v>
      </c>
      <c r="B487" s="8">
        <v>4262.45</v>
      </c>
      <c r="C487" s="2">
        <v>429.4</v>
      </c>
      <c r="E487" s="8">
        <f t="shared" si="21"/>
        <v>95.409999999999854</v>
      </c>
      <c r="F487" s="8">
        <f t="shared" si="22"/>
        <v>-44.199999999999989</v>
      </c>
      <c r="H487" s="12">
        <f t="shared" si="23"/>
        <v>2.0516166002354077</v>
      </c>
    </row>
    <row r="488" spans="1:8" x14ac:dyDescent="0.25">
      <c r="A488" s="1">
        <v>44637</v>
      </c>
      <c r="B488" s="8">
        <v>4357.8599999999997</v>
      </c>
      <c r="C488" s="2">
        <v>385.2</v>
      </c>
      <c r="E488" s="8">
        <f t="shared" si="21"/>
        <v>53.8100000000004</v>
      </c>
      <c r="F488" s="8">
        <f t="shared" si="22"/>
        <v>-6</v>
      </c>
      <c r="H488" s="12">
        <f t="shared" si="23"/>
        <v>2.0469048141325707</v>
      </c>
    </row>
    <row r="489" spans="1:8" x14ac:dyDescent="0.25">
      <c r="A489" s="1">
        <v>44638</v>
      </c>
      <c r="B489" s="8">
        <v>4411.67</v>
      </c>
      <c r="C489" s="2">
        <v>379.2</v>
      </c>
      <c r="E489" s="8">
        <f t="shared" si="21"/>
        <v>51.449999999999818</v>
      </c>
      <c r="F489" s="8">
        <f t="shared" si="22"/>
        <v>-17.800000000000011</v>
      </c>
      <c r="H489" s="12">
        <f t="shared" si="23"/>
        <v>2.0917450152581742</v>
      </c>
    </row>
    <row r="490" spans="1:8" x14ac:dyDescent="0.25">
      <c r="A490" s="1">
        <v>44641</v>
      </c>
      <c r="B490" s="8">
        <v>4463.12</v>
      </c>
      <c r="C490" s="2">
        <v>361.4</v>
      </c>
      <c r="E490" s="8">
        <f t="shared" si="21"/>
        <v>-1.9399999999995998</v>
      </c>
      <c r="F490" s="8">
        <f t="shared" si="22"/>
        <v>-3.7999999999999545</v>
      </c>
      <c r="H490" s="12">
        <f t="shared" si="23"/>
        <v>2.1242265708646992</v>
      </c>
    </row>
    <row r="491" spans="1:8" x14ac:dyDescent="0.25">
      <c r="A491" s="1">
        <v>44642</v>
      </c>
      <c r="B491" s="8">
        <v>4461.18</v>
      </c>
      <c r="C491" s="2">
        <v>357.6</v>
      </c>
      <c r="E491" s="8">
        <f t="shared" si="21"/>
        <v>50.429999999999382</v>
      </c>
      <c r="F491" s="8">
        <f t="shared" si="22"/>
        <v>-6.6000000000000227</v>
      </c>
      <c r="H491" s="12">
        <f t="shared" si="23"/>
        <v>2.1467458443815177</v>
      </c>
    </row>
    <row r="492" spans="1:8" x14ac:dyDescent="0.25">
      <c r="A492" s="1">
        <v>44643</v>
      </c>
      <c r="B492" s="8">
        <v>4511.6099999999997</v>
      </c>
      <c r="C492" s="2">
        <v>351</v>
      </c>
      <c r="E492" s="8">
        <f t="shared" si="21"/>
        <v>-55.369999999999891</v>
      </c>
      <c r="F492" s="8">
        <f t="shared" si="22"/>
        <v>-0.60000000000002274</v>
      </c>
      <c r="H492" s="12">
        <f t="shared" si="23"/>
        <v>2.1508077418869638</v>
      </c>
    </row>
    <row r="493" spans="1:8" x14ac:dyDescent="0.25">
      <c r="A493" s="1">
        <v>44644</v>
      </c>
      <c r="B493" s="8">
        <v>4456.24</v>
      </c>
      <c r="C493" s="2">
        <v>350.4</v>
      </c>
      <c r="E493" s="8">
        <f t="shared" si="21"/>
        <v>63.920000000000073</v>
      </c>
      <c r="F493" s="8">
        <f t="shared" si="22"/>
        <v>-8</v>
      </c>
      <c r="H493" s="12">
        <f t="shared" si="23"/>
        <v>2.1700090863452628</v>
      </c>
    </row>
    <row r="494" spans="1:8" x14ac:dyDescent="0.25">
      <c r="A494" s="1">
        <v>44645</v>
      </c>
      <c r="B494" s="8">
        <v>4520.16</v>
      </c>
      <c r="C494" s="2">
        <v>342.4</v>
      </c>
      <c r="E494" s="8">
        <f t="shared" si="21"/>
        <v>22.900000000000546</v>
      </c>
      <c r="F494" s="8">
        <f t="shared" si="22"/>
        <v>-9.7999999999999545</v>
      </c>
      <c r="H494" s="12">
        <f t="shared" si="23"/>
        <v>2.1916748517662059</v>
      </c>
    </row>
    <row r="495" spans="1:8" x14ac:dyDescent="0.25">
      <c r="A495" s="1">
        <v>44648</v>
      </c>
      <c r="B495" s="8">
        <v>4543.0600000000004</v>
      </c>
      <c r="C495" s="2">
        <v>332.6</v>
      </c>
      <c r="E495" s="8">
        <f t="shared" si="21"/>
        <v>32.460000000000036</v>
      </c>
      <c r="F495" s="8">
        <f t="shared" si="22"/>
        <v>-5</v>
      </c>
      <c r="H495" s="12">
        <f t="shared" si="23"/>
        <v>2.2275002790268172</v>
      </c>
    </row>
    <row r="496" spans="1:8" x14ac:dyDescent="0.25">
      <c r="A496" s="1">
        <v>44649</v>
      </c>
      <c r="B496" s="8">
        <v>4575.5200000000004</v>
      </c>
      <c r="C496" s="2">
        <v>327.60000000000002</v>
      </c>
      <c r="E496" s="8">
        <f t="shared" si="21"/>
        <v>56.079999999999927</v>
      </c>
      <c r="F496" s="8">
        <f t="shared" si="22"/>
        <v>-15.200000000000045</v>
      </c>
      <c r="H496" s="12">
        <f t="shared" si="23"/>
        <v>2.2510616876580212</v>
      </c>
    </row>
    <row r="497" spans="1:8" x14ac:dyDescent="0.25">
      <c r="A497" s="1">
        <v>44650</v>
      </c>
      <c r="B497" s="8">
        <v>4631.6000000000004</v>
      </c>
      <c r="C497" s="2">
        <v>312.39999999999998</v>
      </c>
      <c r="E497" s="8">
        <f t="shared" si="21"/>
        <v>-29.150000000000546</v>
      </c>
      <c r="F497" s="8">
        <f t="shared" si="22"/>
        <v>3.4000000000000341</v>
      </c>
      <c r="H497" s="12">
        <f t="shared" si="23"/>
        <v>2.2753611196477137</v>
      </c>
    </row>
    <row r="498" spans="1:8" x14ac:dyDescent="0.25">
      <c r="A498" s="1">
        <v>44651</v>
      </c>
      <c r="B498" s="8">
        <v>4602.45</v>
      </c>
      <c r="C498" s="2">
        <v>315.8</v>
      </c>
      <c r="E498" s="8">
        <f t="shared" si="21"/>
        <v>-72.039999999999964</v>
      </c>
      <c r="F498" s="8">
        <f t="shared" si="22"/>
        <v>15.599999999999966</v>
      </c>
      <c r="H498" s="12">
        <f t="shared" si="23"/>
        <v>2.2871852849269669</v>
      </c>
    </row>
    <row r="499" spans="1:8" x14ac:dyDescent="0.25">
      <c r="A499" s="1">
        <v>44652</v>
      </c>
      <c r="B499" s="8">
        <v>4530.41</v>
      </c>
      <c r="C499" s="2">
        <v>331.4</v>
      </c>
      <c r="E499" s="8">
        <f t="shared" si="21"/>
        <v>15.449999999999818</v>
      </c>
      <c r="F499" s="8">
        <f t="shared" si="22"/>
        <v>-11.399999999999977</v>
      </c>
      <c r="H499" s="12">
        <f t="shared" si="23"/>
        <v>2.2852258822513969</v>
      </c>
    </row>
    <row r="500" spans="1:8" x14ac:dyDescent="0.25">
      <c r="A500" s="1">
        <v>44655</v>
      </c>
      <c r="B500" s="8">
        <v>4545.8599999999997</v>
      </c>
      <c r="C500" s="2">
        <v>320</v>
      </c>
      <c r="E500" s="8">
        <f t="shared" si="21"/>
        <v>36.780000000000655</v>
      </c>
      <c r="F500" s="8">
        <f t="shared" si="22"/>
        <v>-17.199999999999989</v>
      </c>
      <c r="H500" s="12">
        <f t="shared" si="23"/>
        <v>2.2885787131380644</v>
      </c>
    </row>
    <row r="501" spans="1:8" x14ac:dyDescent="0.25">
      <c r="A501" s="1">
        <v>44656</v>
      </c>
      <c r="B501" s="8">
        <v>4582.6400000000003</v>
      </c>
      <c r="C501" s="2">
        <v>302.8</v>
      </c>
      <c r="E501" s="8">
        <f t="shared" si="21"/>
        <v>-57.520000000000437</v>
      </c>
      <c r="F501" s="8">
        <f t="shared" si="22"/>
        <v>25.599999999999966</v>
      </c>
      <c r="H501" s="12">
        <f t="shared" si="23"/>
        <v>2.280502298013706</v>
      </c>
    </row>
    <row r="502" spans="1:8" x14ac:dyDescent="0.25">
      <c r="A502" s="1">
        <v>44657</v>
      </c>
      <c r="B502" s="8">
        <v>4525.12</v>
      </c>
      <c r="C502" s="2">
        <v>328.4</v>
      </c>
      <c r="E502" s="8">
        <f t="shared" si="21"/>
        <v>-43.970000000000255</v>
      </c>
      <c r="F502" s="8">
        <f t="shared" si="22"/>
        <v>7.6000000000000227</v>
      </c>
      <c r="H502" s="12">
        <f t="shared" si="23"/>
        <v>2.2803562632483456</v>
      </c>
    </row>
    <row r="503" spans="1:8" x14ac:dyDescent="0.25">
      <c r="A503" s="1">
        <v>44658</v>
      </c>
      <c r="B503" s="8">
        <v>4481.1499999999996</v>
      </c>
      <c r="C503" s="2">
        <v>336</v>
      </c>
      <c r="E503" s="8">
        <f t="shared" si="21"/>
        <v>19.0600000000004</v>
      </c>
      <c r="F503" s="8">
        <f t="shared" si="22"/>
        <v>-9.8000000000000114</v>
      </c>
      <c r="H503" s="12">
        <f t="shared" si="23"/>
        <v>2.2848622584353553</v>
      </c>
    </row>
    <row r="504" spans="1:8" x14ac:dyDescent="0.25">
      <c r="A504" s="1">
        <v>44659</v>
      </c>
      <c r="B504" s="8">
        <v>4500.21</v>
      </c>
      <c r="C504" s="2">
        <v>326.2</v>
      </c>
      <c r="E504" s="8">
        <f t="shared" si="21"/>
        <v>-11.930000000000291</v>
      </c>
      <c r="F504" s="8">
        <f t="shared" si="22"/>
        <v>0</v>
      </c>
      <c r="H504" s="12">
        <f t="shared" si="23"/>
        <v>2.289453290947935</v>
      </c>
    </row>
    <row r="505" spans="1:8" x14ac:dyDescent="0.25">
      <c r="A505" s="1">
        <v>44662</v>
      </c>
      <c r="B505" s="8">
        <v>4488.28</v>
      </c>
      <c r="C505" s="2">
        <v>326.2</v>
      </c>
      <c r="E505" s="8">
        <f t="shared" si="21"/>
        <v>-75.75</v>
      </c>
      <c r="F505" s="8">
        <f t="shared" si="22"/>
        <v>18.600000000000023</v>
      </c>
      <c r="H505" s="12">
        <f t="shared" si="23"/>
        <v>2.2810551079898116</v>
      </c>
    </row>
    <row r="506" spans="1:8" x14ac:dyDescent="0.25">
      <c r="A506" s="1">
        <v>44663</v>
      </c>
      <c r="B506" s="8">
        <v>4412.53</v>
      </c>
      <c r="C506" s="2">
        <v>344.8</v>
      </c>
      <c r="E506" s="8">
        <f t="shared" si="21"/>
        <v>-15.079999999999927</v>
      </c>
      <c r="F506" s="8">
        <f t="shared" si="22"/>
        <v>3.1999999999999886</v>
      </c>
      <c r="H506" s="12">
        <f t="shared" si="23"/>
        <v>2.2730203379221825</v>
      </c>
    </row>
    <row r="507" spans="1:8" x14ac:dyDescent="0.25">
      <c r="A507" s="1">
        <v>44664</v>
      </c>
      <c r="B507" s="8">
        <v>4397.45</v>
      </c>
      <c r="C507" s="2">
        <v>348</v>
      </c>
      <c r="E507" s="8">
        <f t="shared" si="21"/>
        <v>49.140000000000327</v>
      </c>
      <c r="F507" s="8">
        <f t="shared" si="22"/>
        <v>-23.399999999999977</v>
      </c>
      <c r="H507" s="12">
        <f t="shared" si="23"/>
        <v>2.2670385180906329</v>
      </c>
    </row>
    <row r="508" spans="1:8" x14ac:dyDescent="0.25">
      <c r="A508" s="1">
        <v>44665</v>
      </c>
      <c r="B508" s="8">
        <v>4446.59</v>
      </c>
      <c r="C508" s="2">
        <v>324.60000000000002</v>
      </c>
      <c r="E508" s="8">
        <f t="shared" si="21"/>
        <v>-54</v>
      </c>
      <c r="F508" s="8">
        <f t="shared" si="22"/>
        <v>7.7999999999999545</v>
      </c>
      <c r="H508" s="12">
        <f t="shared" si="23"/>
        <v>2.2558169455366643</v>
      </c>
    </row>
    <row r="509" spans="1:8" x14ac:dyDescent="0.25">
      <c r="A509" s="1">
        <v>44669</v>
      </c>
      <c r="B509" s="8">
        <v>4392.59</v>
      </c>
      <c r="C509" s="2">
        <v>332.4</v>
      </c>
      <c r="E509" s="8">
        <f t="shared" si="21"/>
        <v>-0.9000000000005457</v>
      </c>
      <c r="F509" s="8">
        <f t="shared" si="22"/>
        <v>-4.5999999999999659</v>
      </c>
      <c r="H509" s="12">
        <f t="shared" si="23"/>
        <v>2.2344637030010226</v>
      </c>
    </row>
    <row r="510" spans="1:8" x14ac:dyDescent="0.25">
      <c r="A510" s="1">
        <v>44670</v>
      </c>
      <c r="B510" s="8">
        <v>4391.6899999999996</v>
      </c>
      <c r="C510" s="2">
        <v>327.8</v>
      </c>
      <c r="E510" s="8">
        <f t="shared" si="21"/>
        <v>70.520000000000437</v>
      </c>
      <c r="F510" s="8">
        <f t="shared" si="22"/>
        <v>-16.199999999999989</v>
      </c>
      <c r="H510" s="12">
        <f t="shared" si="23"/>
        <v>2.2174108014831795</v>
      </c>
    </row>
    <row r="511" spans="1:8" x14ac:dyDescent="0.25">
      <c r="A511" s="1">
        <v>44671</v>
      </c>
      <c r="B511" s="8">
        <v>4462.21</v>
      </c>
      <c r="C511" s="2">
        <v>311.60000000000002</v>
      </c>
      <c r="E511" s="8">
        <f t="shared" si="21"/>
        <v>-2.7600000000002183</v>
      </c>
      <c r="F511" s="8">
        <f t="shared" si="22"/>
        <v>-7.2000000000000455</v>
      </c>
      <c r="H511" s="12">
        <f t="shared" si="23"/>
        <v>2.1978179099194906</v>
      </c>
    </row>
    <row r="512" spans="1:8" x14ac:dyDescent="0.25">
      <c r="A512" s="1">
        <v>44672</v>
      </c>
      <c r="B512" s="8">
        <v>4459.45</v>
      </c>
      <c r="C512" s="2">
        <v>304.39999999999998</v>
      </c>
      <c r="E512" s="8">
        <f t="shared" si="21"/>
        <v>-65.789999999999964</v>
      </c>
      <c r="F512" s="8">
        <f t="shared" si="22"/>
        <v>22</v>
      </c>
      <c r="H512" s="12">
        <f t="shared" si="23"/>
        <v>2.1615688883888815</v>
      </c>
    </row>
    <row r="513" spans="1:8" x14ac:dyDescent="0.25">
      <c r="A513" s="1">
        <v>44673</v>
      </c>
      <c r="B513" s="8">
        <v>4393.66</v>
      </c>
      <c r="C513" s="2">
        <v>326.39999999999998</v>
      </c>
      <c r="E513" s="8">
        <f t="shared" si="21"/>
        <v>-121.88000000000011</v>
      </c>
      <c r="F513" s="8">
        <f t="shared" si="22"/>
        <v>40.800000000000011</v>
      </c>
      <c r="H513" s="12">
        <f t="shared" si="23"/>
        <v>2.114139436519471</v>
      </c>
    </row>
    <row r="514" spans="1:8" x14ac:dyDescent="0.25">
      <c r="A514" s="1">
        <v>44676</v>
      </c>
      <c r="B514" s="8">
        <v>4271.78</v>
      </c>
      <c r="C514" s="2">
        <v>367.2</v>
      </c>
      <c r="E514" s="8">
        <f t="shared" si="21"/>
        <v>24.340000000000146</v>
      </c>
      <c r="F514" s="8">
        <f t="shared" si="22"/>
        <v>-8.5999999999999659</v>
      </c>
      <c r="H514" s="12">
        <f t="shared" si="23"/>
        <v>2.0730630318231329</v>
      </c>
    </row>
    <row r="515" spans="1:8" x14ac:dyDescent="0.25">
      <c r="A515" s="1">
        <v>44677</v>
      </c>
      <c r="B515" s="8">
        <v>4296.12</v>
      </c>
      <c r="C515" s="2">
        <v>358.6</v>
      </c>
      <c r="E515" s="8">
        <f t="shared" ref="E515:E578" si="24">B516-B515</f>
        <v>-120.92000000000007</v>
      </c>
      <c r="F515" s="8">
        <f t="shared" ref="F515:F578" si="25">C516-C515</f>
        <v>37.599999999999966</v>
      </c>
      <c r="H515" s="12">
        <f t="shared" ref="H515:H578" si="26">LOG(_xlfn.STDEV.P(B515:B545))</f>
        <v>2.0580044620158366</v>
      </c>
    </row>
    <row r="516" spans="1:8" x14ac:dyDescent="0.25">
      <c r="A516" s="1">
        <v>44678</v>
      </c>
      <c r="B516" s="8">
        <v>4175.2</v>
      </c>
      <c r="C516" s="2">
        <v>396.2</v>
      </c>
      <c r="E516" s="8">
        <f t="shared" si="24"/>
        <v>8.7600000000002183</v>
      </c>
      <c r="F516" s="8">
        <f t="shared" si="25"/>
        <v>8.1999999999999886</v>
      </c>
      <c r="H516" s="12">
        <f t="shared" si="26"/>
        <v>2.0323104361748725</v>
      </c>
    </row>
    <row r="517" spans="1:8" x14ac:dyDescent="0.25">
      <c r="A517" s="1">
        <v>44679</v>
      </c>
      <c r="B517" s="8">
        <v>4183.96</v>
      </c>
      <c r="C517" s="2">
        <v>404.4</v>
      </c>
      <c r="E517" s="8">
        <f t="shared" si="24"/>
        <v>103.53999999999996</v>
      </c>
      <c r="F517" s="8">
        <f t="shared" si="25"/>
        <v>-21</v>
      </c>
      <c r="H517" s="12">
        <f t="shared" si="26"/>
        <v>2.0282278937723048</v>
      </c>
    </row>
    <row r="518" spans="1:8" x14ac:dyDescent="0.25">
      <c r="A518" s="1">
        <v>44680</v>
      </c>
      <c r="B518" s="8">
        <v>4287.5</v>
      </c>
      <c r="C518" s="2">
        <v>383.4</v>
      </c>
      <c r="E518" s="8">
        <f t="shared" si="24"/>
        <v>-155.56999999999971</v>
      </c>
      <c r="F518" s="8">
        <f t="shared" si="25"/>
        <v>29.200000000000045</v>
      </c>
      <c r="H518" s="12">
        <f t="shared" si="26"/>
        <v>2.0370017206307667</v>
      </c>
    </row>
    <row r="519" spans="1:8" x14ac:dyDescent="0.25">
      <c r="A519" s="1">
        <v>44683</v>
      </c>
      <c r="B519" s="8">
        <v>4131.93</v>
      </c>
      <c r="C519" s="2">
        <v>412.6</v>
      </c>
      <c r="E519" s="8">
        <f t="shared" si="24"/>
        <v>23.449999999999818</v>
      </c>
      <c r="F519" s="8">
        <f t="shared" si="25"/>
        <v>-5.6000000000000227</v>
      </c>
      <c r="H519" s="12">
        <f t="shared" si="26"/>
        <v>2.0589317415064952</v>
      </c>
    </row>
    <row r="520" spans="1:8" x14ac:dyDescent="0.25">
      <c r="A520" s="1">
        <v>44684</v>
      </c>
      <c r="B520" s="8">
        <v>4155.38</v>
      </c>
      <c r="C520" s="2">
        <v>407</v>
      </c>
      <c r="E520" s="8">
        <f t="shared" si="24"/>
        <v>20.099999999999454</v>
      </c>
      <c r="F520" s="8">
        <f t="shared" si="25"/>
        <v>-24.600000000000023</v>
      </c>
      <c r="H520" s="12">
        <f t="shared" si="26"/>
        <v>2.099763958183122</v>
      </c>
    </row>
    <row r="521" spans="1:8" x14ac:dyDescent="0.25">
      <c r="A521" s="1">
        <v>44685</v>
      </c>
      <c r="B521" s="8">
        <v>4175.4799999999996</v>
      </c>
      <c r="C521" s="2">
        <v>382.4</v>
      </c>
      <c r="E521" s="8">
        <f t="shared" si="24"/>
        <v>124.69000000000051</v>
      </c>
      <c r="F521" s="8">
        <f t="shared" si="25"/>
        <v>-35</v>
      </c>
      <c r="H521" s="12">
        <f t="shared" si="26"/>
        <v>2.1168073346994958</v>
      </c>
    </row>
    <row r="522" spans="1:8" x14ac:dyDescent="0.25">
      <c r="A522" s="1">
        <v>44686</v>
      </c>
      <c r="B522" s="8">
        <v>4300.17</v>
      </c>
      <c r="C522" s="2">
        <v>347.4</v>
      </c>
      <c r="E522" s="8">
        <f t="shared" si="24"/>
        <v>-153.30000000000018</v>
      </c>
      <c r="F522" s="8">
        <f t="shared" si="25"/>
        <v>61.600000000000023</v>
      </c>
      <c r="H522" s="12">
        <f t="shared" si="26"/>
        <v>2.1521758082186837</v>
      </c>
    </row>
    <row r="523" spans="1:8" x14ac:dyDescent="0.25">
      <c r="A523" s="1">
        <v>44687</v>
      </c>
      <c r="B523" s="8">
        <v>4146.87</v>
      </c>
      <c r="C523" s="2">
        <v>409</v>
      </c>
      <c r="E523" s="8">
        <f t="shared" si="24"/>
        <v>-23.529999999999745</v>
      </c>
      <c r="F523" s="8">
        <f t="shared" si="25"/>
        <v>-5.3999999999999773</v>
      </c>
      <c r="H523" s="12">
        <f t="shared" si="26"/>
        <v>2.1554656277207775</v>
      </c>
    </row>
    <row r="524" spans="1:8" x14ac:dyDescent="0.25">
      <c r="A524" s="1">
        <v>44690</v>
      </c>
      <c r="B524" s="8">
        <v>4123.34</v>
      </c>
      <c r="C524" s="2">
        <v>403.6</v>
      </c>
      <c r="E524" s="8">
        <f t="shared" si="24"/>
        <v>-132.10000000000036</v>
      </c>
      <c r="F524" s="8">
        <f t="shared" si="25"/>
        <v>32.199999999999989</v>
      </c>
      <c r="H524" s="12">
        <f t="shared" si="26"/>
        <v>2.1614139871361484</v>
      </c>
    </row>
    <row r="525" spans="1:8" x14ac:dyDescent="0.25">
      <c r="A525" s="1">
        <v>44691</v>
      </c>
      <c r="B525" s="8">
        <v>3991.24</v>
      </c>
      <c r="C525" s="2">
        <v>435.8</v>
      </c>
      <c r="E525" s="8">
        <f t="shared" si="24"/>
        <v>9.8100000000004002</v>
      </c>
      <c r="F525" s="8">
        <f t="shared" si="25"/>
        <v>-14.400000000000034</v>
      </c>
      <c r="H525" s="12">
        <f t="shared" si="26"/>
        <v>2.1674414105853015</v>
      </c>
    </row>
    <row r="526" spans="1:8" x14ac:dyDescent="0.25">
      <c r="A526" s="1">
        <v>44692</v>
      </c>
      <c r="B526" s="8">
        <v>4001.05</v>
      </c>
      <c r="C526" s="2">
        <v>421.4</v>
      </c>
      <c r="E526" s="8">
        <f t="shared" si="24"/>
        <v>-65.870000000000346</v>
      </c>
      <c r="F526" s="8">
        <f t="shared" si="25"/>
        <v>-3.7999999999999545</v>
      </c>
      <c r="H526" s="12">
        <f t="shared" si="26"/>
        <v>2.1754448596517433</v>
      </c>
    </row>
    <row r="527" spans="1:8" x14ac:dyDescent="0.25">
      <c r="A527" s="1">
        <v>44693</v>
      </c>
      <c r="B527" s="8">
        <v>3935.18</v>
      </c>
      <c r="C527" s="2">
        <v>417.6</v>
      </c>
      <c r="E527" s="8">
        <f t="shared" si="24"/>
        <v>-5.0999999999999091</v>
      </c>
      <c r="F527" s="8">
        <f t="shared" si="25"/>
        <v>-7.4000000000000341</v>
      </c>
      <c r="H527" s="12">
        <f t="shared" si="26"/>
        <v>2.1752692800194273</v>
      </c>
    </row>
    <row r="528" spans="1:8" x14ac:dyDescent="0.25">
      <c r="A528" s="1">
        <v>44694</v>
      </c>
      <c r="B528" s="8">
        <v>3930.08</v>
      </c>
      <c r="C528" s="2">
        <v>410.2</v>
      </c>
      <c r="E528" s="8">
        <f t="shared" si="24"/>
        <v>93.809999999999945</v>
      </c>
      <c r="F528" s="8">
        <f t="shared" si="25"/>
        <v>-26.599999999999966</v>
      </c>
      <c r="H528" s="12">
        <f t="shared" si="26"/>
        <v>2.1760044473488112</v>
      </c>
    </row>
    <row r="529" spans="1:8" x14ac:dyDescent="0.25">
      <c r="A529" s="1">
        <v>44697</v>
      </c>
      <c r="B529" s="8">
        <v>4023.89</v>
      </c>
      <c r="C529" s="2">
        <v>383.6</v>
      </c>
      <c r="E529" s="8">
        <f t="shared" si="24"/>
        <v>-15.879999999999654</v>
      </c>
      <c r="F529" s="8">
        <f t="shared" si="25"/>
        <v>-15.800000000000011</v>
      </c>
      <c r="H529" s="12">
        <f t="shared" si="26"/>
        <v>2.1808915314029615</v>
      </c>
    </row>
    <row r="530" spans="1:8" x14ac:dyDescent="0.25">
      <c r="A530" s="1">
        <v>44698</v>
      </c>
      <c r="B530" s="8">
        <v>4008.01</v>
      </c>
      <c r="C530" s="2">
        <v>367.8</v>
      </c>
      <c r="E530" s="8">
        <f t="shared" si="24"/>
        <v>80.839999999999691</v>
      </c>
      <c r="F530" s="8">
        <f t="shared" si="25"/>
        <v>-9</v>
      </c>
      <c r="H530" s="12">
        <f t="shared" si="26"/>
        <v>2.1836844785563825</v>
      </c>
    </row>
    <row r="531" spans="1:8" x14ac:dyDescent="0.25">
      <c r="A531" s="1">
        <v>44699</v>
      </c>
      <c r="B531" s="8">
        <v>4088.85</v>
      </c>
      <c r="C531" s="2">
        <v>358.8</v>
      </c>
      <c r="E531" s="8">
        <f t="shared" si="24"/>
        <v>-165.17000000000007</v>
      </c>
      <c r="F531" s="8">
        <f t="shared" si="25"/>
        <v>52.599999999999966</v>
      </c>
      <c r="H531" s="12">
        <f t="shared" si="26"/>
        <v>2.1890096682673366</v>
      </c>
    </row>
    <row r="532" spans="1:8" x14ac:dyDescent="0.25">
      <c r="A532" s="1">
        <v>44700</v>
      </c>
      <c r="B532" s="8">
        <v>3923.68</v>
      </c>
      <c r="C532" s="2">
        <v>411.4</v>
      </c>
      <c r="E532" s="8">
        <f t="shared" si="24"/>
        <v>-22.889999999999873</v>
      </c>
      <c r="F532" s="8">
        <f t="shared" si="25"/>
        <v>-26.599999999999966</v>
      </c>
      <c r="H532" s="12">
        <f t="shared" si="26"/>
        <v>2.1846431703987834</v>
      </c>
    </row>
    <row r="533" spans="1:8" x14ac:dyDescent="0.25">
      <c r="A533" s="1">
        <v>44701</v>
      </c>
      <c r="B533" s="8">
        <v>3900.79</v>
      </c>
      <c r="C533" s="2">
        <v>384.8</v>
      </c>
      <c r="E533" s="8">
        <f t="shared" si="24"/>
        <v>0.57000000000016371</v>
      </c>
      <c r="F533" s="8">
        <f t="shared" si="25"/>
        <v>1.8000000000000114</v>
      </c>
      <c r="H533" s="12">
        <f t="shared" si="26"/>
        <v>2.1871617465255198</v>
      </c>
    </row>
    <row r="534" spans="1:8" x14ac:dyDescent="0.25">
      <c r="A534" s="1">
        <v>44704</v>
      </c>
      <c r="B534" s="8">
        <v>3901.36</v>
      </c>
      <c r="C534" s="2">
        <v>386.6</v>
      </c>
      <c r="E534" s="8">
        <f t="shared" si="24"/>
        <v>72.389999999999873</v>
      </c>
      <c r="F534" s="8">
        <f t="shared" si="25"/>
        <v>-6</v>
      </c>
      <c r="H534" s="12">
        <f t="shared" si="26"/>
        <v>2.1887404709313447</v>
      </c>
    </row>
    <row r="535" spans="1:8" x14ac:dyDescent="0.25">
      <c r="A535" s="1">
        <v>44705</v>
      </c>
      <c r="B535" s="8">
        <v>3973.75</v>
      </c>
      <c r="C535" s="2">
        <v>380.6</v>
      </c>
      <c r="E535" s="8">
        <f t="shared" si="24"/>
        <v>-32.269999999999982</v>
      </c>
      <c r="F535" s="8">
        <f t="shared" si="25"/>
        <v>1.7999999999999545</v>
      </c>
      <c r="H535" s="12">
        <f t="shared" si="26"/>
        <v>2.1887270484868977</v>
      </c>
    </row>
    <row r="536" spans="1:8" x14ac:dyDescent="0.25">
      <c r="A536" s="1">
        <v>44706</v>
      </c>
      <c r="B536" s="8">
        <v>3941.48</v>
      </c>
      <c r="C536" s="2">
        <v>382.4</v>
      </c>
      <c r="E536" s="8">
        <f t="shared" si="24"/>
        <v>37.25</v>
      </c>
      <c r="F536" s="8">
        <f t="shared" si="25"/>
        <v>-8.5999999999999659</v>
      </c>
      <c r="H536" s="12">
        <f t="shared" si="26"/>
        <v>2.187955905043617</v>
      </c>
    </row>
    <row r="537" spans="1:8" x14ac:dyDescent="0.25">
      <c r="A537" s="1">
        <v>44707</v>
      </c>
      <c r="B537" s="8">
        <v>3978.73</v>
      </c>
      <c r="C537" s="2">
        <v>373.8</v>
      </c>
      <c r="E537" s="8">
        <f t="shared" si="24"/>
        <v>79.110000000000127</v>
      </c>
      <c r="F537" s="8">
        <f t="shared" si="25"/>
        <v>-4</v>
      </c>
      <c r="H537" s="12">
        <f t="shared" si="26"/>
        <v>2.1888974547136759</v>
      </c>
    </row>
    <row r="538" spans="1:8" x14ac:dyDescent="0.25">
      <c r="A538" s="1">
        <v>44708</v>
      </c>
      <c r="B538" s="8">
        <v>4057.84</v>
      </c>
      <c r="C538" s="2">
        <v>369.8</v>
      </c>
      <c r="E538" s="8">
        <f t="shared" si="24"/>
        <v>100.39999999999964</v>
      </c>
      <c r="F538" s="8">
        <f t="shared" si="25"/>
        <v>-14</v>
      </c>
      <c r="H538" s="12">
        <f t="shared" si="26"/>
        <v>2.1901698064990676</v>
      </c>
    </row>
    <row r="539" spans="1:8" x14ac:dyDescent="0.25">
      <c r="A539" s="1">
        <v>44712</v>
      </c>
      <c r="B539" s="8">
        <v>4158.24</v>
      </c>
      <c r="C539" s="2">
        <v>355.8</v>
      </c>
      <c r="E539" s="8">
        <f t="shared" si="24"/>
        <v>-26.090000000000146</v>
      </c>
      <c r="F539" s="8">
        <f t="shared" si="25"/>
        <v>-6</v>
      </c>
      <c r="H539" s="12">
        <f t="shared" si="26"/>
        <v>2.1865291437878263</v>
      </c>
    </row>
    <row r="540" spans="1:8" x14ac:dyDescent="0.25">
      <c r="A540" s="1">
        <v>44713</v>
      </c>
      <c r="B540" s="8">
        <v>4132.1499999999996</v>
      </c>
      <c r="C540" s="2">
        <v>349.8</v>
      </c>
      <c r="E540" s="8">
        <f t="shared" si="24"/>
        <v>-30.920000000000073</v>
      </c>
      <c r="F540" s="8">
        <f t="shared" si="25"/>
        <v>-2.4000000000000341</v>
      </c>
      <c r="H540" s="12">
        <f t="shared" si="26"/>
        <v>2.1686256673026727</v>
      </c>
    </row>
    <row r="541" spans="1:8" x14ac:dyDescent="0.25">
      <c r="A541" s="1">
        <v>44714</v>
      </c>
      <c r="B541" s="8">
        <v>4101.2299999999996</v>
      </c>
      <c r="C541" s="2">
        <v>347.4</v>
      </c>
      <c r="E541" s="8">
        <f t="shared" si="24"/>
        <v>75.590000000000146</v>
      </c>
      <c r="F541" s="8">
        <f t="shared" si="25"/>
        <v>-7.1999999999999886</v>
      </c>
      <c r="H541" s="12">
        <f t="shared" si="26"/>
        <v>2.1482228616986609</v>
      </c>
    </row>
    <row r="542" spans="1:8" x14ac:dyDescent="0.25">
      <c r="A542" s="1">
        <v>44715</v>
      </c>
      <c r="B542" s="8">
        <v>4176.82</v>
      </c>
      <c r="C542" s="2">
        <v>340.2</v>
      </c>
      <c r="E542" s="8">
        <f t="shared" si="24"/>
        <v>-68.279999999999745</v>
      </c>
      <c r="F542" s="8">
        <f t="shared" si="25"/>
        <v>3.1999999999999886</v>
      </c>
      <c r="H542" s="12">
        <f t="shared" si="26"/>
        <v>2.1303941031492495</v>
      </c>
    </row>
    <row r="543" spans="1:8" x14ac:dyDescent="0.25">
      <c r="A543" s="1">
        <v>44718</v>
      </c>
      <c r="B543" s="8">
        <v>4108.54</v>
      </c>
      <c r="C543" s="2">
        <v>343.4</v>
      </c>
      <c r="E543" s="8">
        <f t="shared" si="24"/>
        <v>12.890000000000327</v>
      </c>
      <c r="F543" s="8">
        <f t="shared" si="25"/>
        <v>-4</v>
      </c>
      <c r="H543" s="12">
        <f t="shared" si="26"/>
        <v>2.0925118890968832</v>
      </c>
    </row>
    <row r="544" spans="1:8" x14ac:dyDescent="0.25">
      <c r="A544" s="1">
        <v>44719</v>
      </c>
      <c r="B544" s="8">
        <v>4121.43</v>
      </c>
      <c r="C544" s="2">
        <v>339.4</v>
      </c>
      <c r="E544" s="8">
        <f t="shared" si="24"/>
        <v>39.25</v>
      </c>
      <c r="F544" s="8">
        <f t="shared" si="25"/>
        <v>-9.3999999999999773</v>
      </c>
      <c r="H544" s="12">
        <f t="shared" si="26"/>
        <v>2.0677449088333666</v>
      </c>
    </row>
    <row r="545" spans="1:8" x14ac:dyDescent="0.25">
      <c r="A545" s="1">
        <v>44720</v>
      </c>
      <c r="B545" s="8">
        <v>4160.68</v>
      </c>
      <c r="C545" s="2">
        <v>330</v>
      </c>
      <c r="E545" s="8">
        <f t="shared" si="24"/>
        <v>-44.909999999999854</v>
      </c>
      <c r="F545" s="8">
        <f t="shared" si="25"/>
        <v>0</v>
      </c>
      <c r="H545" s="12">
        <f t="shared" si="26"/>
        <v>2.0406999067374869</v>
      </c>
    </row>
    <row r="546" spans="1:8" x14ac:dyDescent="0.25">
      <c r="A546" s="1">
        <v>44721</v>
      </c>
      <c r="B546" s="8">
        <v>4115.7700000000004</v>
      </c>
      <c r="C546" s="2">
        <v>330</v>
      </c>
      <c r="E546" s="8">
        <f t="shared" si="24"/>
        <v>-97.950000000000273</v>
      </c>
      <c r="F546" s="8">
        <f t="shared" si="25"/>
        <v>16</v>
      </c>
      <c r="H546" s="12">
        <f t="shared" si="26"/>
        <v>1.9861610577845861</v>
      </c>
    </row>
    <row r="547" spans="1:8" x14ac:dyDescent="0.25">
      <c r="A547" s="1">
        <v>44722</v>
      </c>
      <c r="B547" s="8">
        <v>4017.82</v>
      </c>
      <c r="C547" s="2">
        <v>346</v>
      </c>
      <c r="E547" s="8">
        <f t="shared" si="24"/>
        <v>-116.96000000000004</v>
      </c>
      <c r="F547" s="8">
        <f t="shared" si="25"/>
        <v>20.800000000000011</v>
      </c>
      <c r="H547" s="12">
        <f t="shared" si="26"/>
        <v>1.9379652242869172</v>
      </c>
    </row>
    <row r="548" spans="1:8" x14ac:dyDescent="0.25">
      <c r="A548" s="1">
        <v>44725</v>
      </c>
      <c r="B548" s="8">
        <v>3900.86</v>
      </c>
      <c r="C548" s="2">
        <v>366.8</v>
      </c>
      <c r="E548" s="8">
        <f t="shared" si="24"/>
        <v>-151.23000000000002</v>
      </c>
      <c r="F548" s="8">
        <f t="shared" si="25"/>
        <v>49.399999999999977</v>
      </c>
      <c r="H548" s="12">
        <f t="shared" si="26"/>
        <v>1.9138625792722344</v>
      </c>
    </row>
    <row r="549" spans="1:8" x14ac:dyDescent="0.25">
      <c r="A549" s="1">
        <v>44726</v>
      </c>
      <c r="B549" s="8">
        <v>3749.63</v>
      </c>
      <c r="C549" s="2">
        <v>416.2</v>
      </c>
      <c r="E549" s="8">
        <f t="shared" si="24"/>
        <v>-14.150000000000091</v>
      </c>
      <c r="F549" s="8">
        <f t="shared" si="25"/>
        <v>-12.599999999999966</v>
      </c>
      <c r="H549" s="12">
        <f t="shared" si="26"/>
        <v>1.9423028254918242</v>
      </c>
    </row>
    <row r="550" spans="1:8" x14ac:dyDescent="0.25">
      <c r="A550" s="1">
        <v>44727</v>
      </c>
      <c r="B550" s="8">
        <v>3735.48</v>
      </c>
      <c r="C550" s="2">
        <v>403.6</v>
      </c>
      <c r="E550" s="8">
        <f t="shared" si="24"/>
        <v>54.509999999999764</v>
      </c>
      <c r="F550" s="8">
        <f t="shared" si="25"/>
        <v>-24</v>
      </c>
      <c r="H550" s="12">
        <f t="shared" si="26"/>
        <v>1.9753176592251027</v>
      </c>
    </row>
    <row r="551" spans="1:8" x14ac:dyDescent="0.25">
      <c r="A551" s="1">
        <v>44728</v>
      </c>
      <c r="B551" s="8">
        <v>3789.99</v>
      </c>
      <c r="C551" s="2">
        <v>379.6</v>
      </c>
      <c r="E551" s="8">
        <f t="shared" si="24"/>
        <v>-123.2199999999998</v>
      </c>
      <c r="F551" s="8">
        <f t="shared" si="25"/>
        <v>24.199999999999989</v>
      </c>
      <c r="H551" s="12">
        <f t="shared" si="26"/>
        <v>2.0152424599107737</v>
      </c>
    </row>
    <row r="552" spans="1:8" x14ac:dyDescent="0.25">
      <c r="A552" s="1">
        <v>44729</v>
      </c>
      <c r="B552" s="8">
        <v>3666.77</v>
      </c>
      <c r="C552" s="2">
        <v>403.8</v>
      </c>
      <c r="E552" s="8">
        <f t="shared" si="24"/>
        <v>8.0700000000001637</v>
      </c>
      <c r="F552" s="8">
        <f t="shared" si="25"/>
        <v>-11.800000000000011</v>
      </c>
      <c r="H552" s="12">
        <f t="shared" si="26"/>
        <v>2.0472999210251159</v>
      </c>
    </row>
    <row r="553" spans="1:8" x14ac:dyDescent="0.25">
      <c r="A553" s="1">
        <v>44733</v>
      </c>
      <c r="B553" s="8">
        <v>3674.84</v>
      </c>
      <c r="C553" s="2">
        <v>392</v>
      </c>
      <c r="E553" s="8">
        <f t="shared" si="24"/>
        <v>89.949999999999818</v>
      </c>
      <c r="F553" s="8">
        <f t="shared" si="25"/>
        <v>-7.8000000000000114</v>
      </c>
      <c r="H553" s="12">
        <f t="shared" si="26"/>
        <v>2.0439313948909303</v>
      </c>
    </row>
    <row r="554" spans="1:8" x14ac:dyDescent="0.25">
      <c r="A554" s="1">
        <v>44734</v>
      </c>
      <c r="B554" s="8">
        <v>3764.79</v>
      </c>
      <c r="C554" s="2">
        <v>384.2</v>
      </c>
      <c r="E554" s="8">
        <f t="shared" si="24"/>
        <v>-4.9000000000000909</v>
      </c>
      <c r="F554" s="8">
        <f t="shared" si="25"/>
        <v>-15</v>
      </c>
      <c r="H554" s="12">
        <f t="shared" si="26"/>
        <v>2.0517283327631266</v>
      </c>
    </row>
    <row r="555" spans="1:8" x14ac:dyDescent="0.25">
      <c r="A555" s="1">
        <v>44735</v>
      </c>
      <c r="B555" s="8">
        <v>3759.89</v>
      </c>
      <c r="C555" s="2">
        <v>369.2</v>
      </c>
      <c r="E555" s="8">
        <f t="shared" si="24"/>
        <v>35.840000000000146</v>
      </c>
      <c r="F555" s="8">
        <f t="shared" si="25"/>
        <v>0</v>
      </c>
      <c r="H555" s="12">
        <f t="shared" si="26"/>
        <v>2.0696898390400009</v>
      </c>
    </row>
    <row r="556" spans="1:8" x14ac:dyDescent="0.25">
      <c r="A556" s="1">
        <v>44736</v>
      </c>
      <c r="B556" s="8">
        <v>3795.73</v>
      </c>
      <c r="C556" s="2">
        <v>369.2</v>
      </c>
      <c r="E556" s="8">
        <f t="shared" si="24"/>
        <v>116.00999999999976</v>
      </c>
      <c r="F556" s="8">
        <f t="shared" si="25"/>
        <v>-7.5999999999999659</v>
      </c>
      <c r="H556" s="12">
        <f t="shared" si="26"/>
        <v>2.0794629671310654</v>
      </c>
    </row>
    <row r="557" spans="1:8" x14ac:dyDescent="0.25">
      <c r="A557" s="1">
        <v>44739</v>
      </c>
      <c r="B557" s="8">
        <v>3911.74</v>
      </c>
      <c r="C557" s="2">
        <v>361.6</v>
      </c>
      <c r="E557" s="8">
        <f t="shared" si="24"/>
        <v>-11.629999999999654</v>
      </c>
      <c r="F557" s="8">
        <f t="shared" si="25"/>
        <v>-11.200000000000045</v>
      </c>
      <c r="H557" s="12">
        <f t="shared" si="26"/>
        <v>2.0889911154867047</v>
      </c>
    </row>
    <row r="558" spans="1:8" x14ac:dyDescent="0.25">
      <c r="A558" s="1">
        <v>44740</v>
      </c>
      <c r="B558" s="8">
        <v>3900.11</v>
      </c>
      <c r="C558" s="2">
        <v>350.4</v>
      </c>
      <c r="E558" s="8">
        <f t="shared" si="24"/>
        <v>-78.559999999999945</v>
      </c>
      <c r="F558" s="8">
        <f t="shared" si="25"/>
        <v>10.200000000000045</v>
      </c>
      <c r="H558" s="12">
        <f t="shared" si="26"/>
        <v>2.102176547880108</v>
      </c>
    </row>
    <row r="559" spans="1:8" x14ac:dyDescent="0.25">
      <c r="A559" s="1">
        <v>44741</v>
      </c>
      <c r="B559" s="8">
        <v>3821.55</v>
      </c>
      <c r="C559" s="2">
        <v>360.6</v>
      </c>
      <c r="E559" s="8">
        <f t="shared" si="24"/>
        <v>-2.7200000000002547</v>
      </c>
      <c r="F559" s="8">
        <f t="shared" si="25"/>
        <v>1</v>
      </c>
      <c r="H559" s="12">
        <f t="shared" si="26"/>
        <v>2.1275183291516249</v>
      </c>
    </row>
    <row r="560" spans="1:8" x14ac:dyDescent="0.25">
      <c r="A560" s="1">
        <v>44742</v>
      </c>
      <c r="B560" s="8">
        <v>3818.83</v>
      </c>
      <c r="C560" s="2">
        <v>361.6</v>
      </c>
      <c r="E560" s="8">
        <f t="shared" si="24"/>
        <v>-33.449999999999818</v>
      </c>
      <c r="F560" s="8">
        <f t="shared" si="25"/>
        <v>3.3999999999999773</v>
      </c>
      <c r="H560" s="12">
        <f t="shared" si="26"/>
        <v>2.1412104751199443</v>
      </c>
    </row>
    <row r="561" spans="1:8" x14ac:dyDescent="0.25">
      <c r="A561" s="1">
        <v>44743</v>
      </c>
      <c r="B561" s="8">
        <v>3785.38</v>
      </c>
      <c r="C561" s="2">
        <v>365</v>
      </c>
      <c r="E561" s="8">
        <f t="shared" si="24"/>
        <v>39.949999999999818</v>
      </c>
      <c r="F561" s="8">
        <f t="shared" si="25"/>
        <v>-9.3999999999999773</v>
      </c>
      <c r="H561" s="12">
        <f t="shared" si="26"/>
        <v>2.1631573445053753</v>
      </c>
    </row>
    <row r="562" spans="1:8" x14ac:dyDescent="0.25">
      <c r="A562" s="1">
        <v>44747</v>
      </c>
      <c r="B562" s="8">
        <v>3825.33</v>
      </c>
      <c r="C562" s="2">
        <v>355.6</v>
      </c>
      <c r="E562" s="8">
        <f t="shared" si="24"/>
        <v>6.0599999999999454</v>
      </c>
      <c r="F562" s="8">
        <f t="shared" si="25"/>
        <v>-0.20000000000004547</v>
      </c>
      <c r="H562" s="12">
        <f t="shared" si="26"/>
        <v>2.1777229252905159</v>
      </c>
    </row>
    <row r="563" spans="1:8" x14ac:dyDescent="0.25">
      <c r="A563" s="1">
        <v>44748</v>
      </c>
      <c r="B563" s="8">
        <v>3831.39</v>
      </c>
      <c r="C563" s="2">
        <v>355.4</v>
      </c>
      <c r="E563" s="8">
        <f t="shared" si="24"/>
        <v>13.690000000000055</v>
      </c>
      <c r="F563" s="8">
        <f t="shared" si="25"/>
        <v>-5.7999999999999545</v>
      </c>
      <c r="H563" s="12">
        <f t="shared" si="26"/>
        <v>2.1927746100131458</v>
      </c>
    </row>
    <row r="564" spans="1:8" x14ac:dyDescent="0.25">
      <c r="A564" s="1">
        <v>44749</v>
      </c>
      <c r="B564" s="8">
        <v>3845.08</v>
      </c>
      <c r="C564" s="2">
        <v>349.6</v>
      </c>
      <c r="E564" s="8">
        <f t="shared" si="24"/>
        <v>57.539999999999964</v>
      </c>
      <c r="F564" s="8">
        <f t="shared" si="25"/>
        <v>-3.8000000000000114</v>
      </c>
      <c r="H564" s="12">
        <f t="shared" si="26"/>
        <v>2.1990948710003417</v>
      </c>
    </row>
    <row r="565" spans="1:8" x14ac:dyDescent="0.25">
      <c r="A565" s="1">
        <v>44750</v>
      </c>
      <c r="B565" s="8">
        <v>3902.62</v>
      </c>
      <c r="C565" s="2">
        <v>345.8</v>
      </c>
      <c r="E565" s="8">
        <f t="shared" si="24"/>
        <v>-3.2399999999997817</v>
      </c>
      <c r="F565" s="8">
        <f t="shared" si="25"/>
        <v>-7.1999999999999886</v>
      </c>
      <c r="H565" s="12">
        <f t="shared" si="26"/>
        <v>2.2045790295576366</v>
      </c>
    </row>
    <row r="566" spans="1:8" x14ac:dyDescent="0.25">
      <c r="A566" s="1">
        <v>44753</v>
      </c>
      <c r="B566" s="8">
        <v>3899.38</v>
      </c>
      <c r="C566" s="2">
        <v>338.6</v>
      </c>
      <c r="E566" s="8">
        <f t="shared" si="24"/>
        <v>-44.950000000000273</v>
      </c>
      <c r="F566" s="8">
        <f t="shared" si="25"/>
        <v>9.5999999999999659</v>
      </c>
      <c r="H566" s="12">
        <f t="shared" si="26"/>
        <v>2.2066010747883942</v>
      </c>
    </row>
    <row r="567" spans="1:8" x14ac:dyDescent="0.25">
      <c r="A567" s="1">
        <v>44754</v>
      </c>
      <c r="B567" s="8">
        <v>3854.43</v>
      </c>
      <c r="C567" s="2">
        <v>348.2</v>
      </c>
      <c r="E567" s="8">
        <f t="shared" si="24"/>
        <v>-35.629999999999654</v>
      </c>
      <c r="F567" s="8">
        <f t="shared" si="25"/>
        <v>3.4000000000000341</v>
      </c>
      <c r="H567" s="12">
        <f t="shared" si="26"/>
        <v>2.2007719364652258</v>
      </c>
    </row>
    <row r="568" spans="1:8" x14ac:dyDescent="0.25">
      <c r="A568" s="1">
        <v>44755</v>
      </c>
      <c r="B568" s="8">
        <v>3818.8</v>
      </c>
      <c r="C568" s="2">
        <v>351.6</v>
      </c>
      <c r="E568" s="8">
        <f t="shared" si="24"/>
        <v>-17.019999999999982</v>
      </c>
      <c r="F568" s="8">
        <f t="shared" si="25"/>
        <v>-5.4000000000000341</v>
      </c>
      <c r="H568" s="12">
        <f t="shared" si="26"/>
        <v>2.1882318847180824</v>
      </c>
    </row>
    <row r="569" spans="1:8" x14ac:dyDescent="0.25">
      <c r="A569" s="1">
        <v>44756</v>
      </c>
      <c r="B569" s="8">
        <v>3801.78</v>
      </c>
      <c r="C569" s="2">
        <v>346.2</v>
      </c>
      <c r="E569" s="8">
        <f t="shared" si="24"/>
        <v>-11.400000000000091</v>
      </c>
      <c r="F569" s="8">
        <f t="shared" si="25"/>
        <v>0.60000000000002274</v>
      </c>
      <c r="H569" s="12">
        <f t="shared" si="26"/>
        <v>2.1681164635868009</v>
      </c>
    </row>
    <row r="570" spans="1:8" x14ac:dyDescent="0.25">
      <c r="A570" s="1">
        <v>44757</v>
      </c>
      <c r="B570" s="8">
        <v>3790.38</v>
      </c>
      <c r="C570" s="2">
        <v>346.8</v>
      </c>
      <c r="E570" s="8">
        <f t="shared" si="24"/>
        <v>72.779999999999745</v>
      </c>
      <c r="F570" s="8">
        <f t="shared" si="25"/>
        <v>-17.600000000000023</v>
      </c>
      <c r="H570" s="12">
        <f t="shared" si="26"/>
        <v>2.1430382590970996</v>
      </c>
    </row>
    <row r="571" spans="1:8" x14ac:dyDescent="0.25">
      <c r="A571" s="1">
        <v>44760</v>
      </c>
      <c r="B571" s="8">
        <v>3863.16</v>
      </c>
      <c r="C571" s="2">
        <v>329.2</v>
      </c>
      <c r="E571" s="8">
        <f t="shared" si="24"/>
        <v>-32.309999999999945</v>
      </c>
      <c r="F571" s="8">
        <f t="shared" si="25"/>
        <v>9.6000000000000227</v>
      </c>
      <c r="H571" s="12">
        <f t="shared" si="26"/>
        <v>2.105146217215708</v>
      </c>
    </row>
    <row r="572" spans="1:8" x14ac:dyDescent="0.25">
      <c r="A572" s="1">
        <v>44761</v>
      </c>
      <c r="B572" s="8">
        <v>3830.85</v>
      </c>
      <c r="C572" s="2">
        <v>338.8</v>
      </c>
      <c r="E572" s="8">
        <f t="shared" si="24"/>
        <v>105.84000000000015</v>
      </c>
      <c r="F572" s="8">
        <f t="shared" si="25"/>
        <v>-4.8000000000000114</v>
      </c>
      <c r="H572" s="12">
        <f t="shared" si="26"/>
        <v>2.0801122544114925</v>
      </c>
    </row>
    <row r="573" spans="1:8" x14ac:dyDescent="0.25">
      <c r="A573" s="1">
        <v>44762</v>
      </c>
      <c r="B573" s="8">
        <v>3936.69</v>
      </c>
      <c r="C573" s="2">
        <v>334</v>
      </c>
      <c r="E573" s="8">
        <f t="shared" si="24"/>
        <v>23.210000000000036</v>
      </c>
      <c r="F573" s="8">
        <f t="shared" si="25"/>
        <v>-7.3999999999999773</v>
      </c>
      <c r="H573" s="12">
        <f t="shared" si="26"/>
        <v>2.0464673966052302</v>
      </c>
    </row>
    <row r="574" spans="1:8" x14ac:dyDescent="0.25">
      <c r="A574" s="1">
        <v>44763</v>
      </c>
      <c r="B574" s="8">
        <v>3959.9</v>
      </c>
      <c r="C574" s="2">
        <v>326.60000000000002</v>
      </c>
      <c r="E574" s="8">
        <f t="shared" si="24"/>
        <v>39.049999999999727</v>
      </c>
      <c r="F574" s="8">
        <f t="shared" si="25"/>
        <v>-8.4000000000000341</v>
      </c>
      <c r="H574" s="12">
        <f t="shared" si="26"/>
        <v>2.0428626601117883</v>
      </c>
    </row>
    <row r="575" spans="1:8" x14ac:dyDescent="0.25">
      <c r="A575" s="1">
        <v>44764</v>
      </c>
      <c r="B575" s="8">
        <v>3998.95</v>
      </c>
      <c r="C575" s="2">
        <v>318.2</v>
      </c>
      <c r="E575" s="8">
        <f t="shared" si="24"/>
        <v>-37.319999999999709</v>
      </c>
      <c r="F575" s="8">
        <f t="shared" si="25"/>
        <v>-1.5999999999999659</v>
      </c>
      <c r="H575" s="12">
        <f t="shared" si="26"/>
        <v>2.0416162576403245</v>
      </c>
    </row>
    <row r="576" spans="1:8" x14ac:dyDescent="0.25">
      <c r="A576" s="1">
        <v>44767</v>
      </c>
      <c r="B576" s="8">
        <v>3961.63</v>
      </c>
      <c r="C576" s="2">
        <v>316.60000000000002</v>
      </c>
      <c r="E576" s="8">
        <f t="shared" si="24"/>
        <v>5.2100000000000364</v>
      </c>
      <c r="F576" s="8">
        <f t="shared" si="25"/>
        <v>-4</v>
      </c>
      <c r="H576" s="12">
        <f t="shared" si="26"/>
        <v>2.0547055381639314</v>
      </c>
    </row>
    <row r="577" spans="1:8" x14ac:dyDescent="0.25">
      <c r="A577" s="1">
        <v>44768</v>
      </c>
      <c r="B577" s="8">
        <v>3966.84</v>
      </c>
      <c r="C577" s="2">
        <v>312.60000000000002</v>
      </c>
      <c r="E577" s="8">
        <f t="shared" si="24"/>
        <v>-45.789999999999964</v>
      </c>
      <c r="F577" s="8">
        <f t="shared" si="25"/>
        <v>7.1999999999999886</v>
      </c>
      <c r="H577" s="12">
        <f t="shared" si="26"/>
        <v>2.0649803768270845</v>
      </c>
    </row>
    <row r="578" spans="1:8" x14ac:dyDescent="0.25">
      <c r="A578" s="1">
        <v>44769</v>
      </c>
      <c r="B578" s="8">
        <v>3921.05</v>
      </c>
      <c r="C578" s="2">
        <v>319.8</v>
      </c>
      <c r="E578" s="8">
        <f t="shared" si="24"/>
        <v>102.55999999999995</v>
      </c>
      <c r="F578" s="8">
        <f t="shared" si="25"/>
        <v>-9.8000000000000114</v>
      </c>
      <c r="H578" s="12">
        <f t="shared" si="26"/>
        <v>2.0630540556064103</v>
      </c>
    </row>
    <row r="579" spans="1:8" x14ac:dyDescent="0.25">
      <c r="A579" s="1">
        <v>44770</v>
      </c>
      <c r="B579" s="8">
        <v>4023.61</v>
      </c>
      <c r="C579" s="2">
        <v>310</v>
      </c>
      <c r="E579" s="8">
        <f t="shared" ref="E579:E642" si="27">B580-B579</f>
        <v>48.819999999999709</v>
      </c>
      <c r="F579" s="8">
        <f t="shared" ref="F579:F642" si="28">C580-C579</f>
        <v>-16</v>
      </c>
      <c r="H579" s="12">
        <f t="shared" ref="H579:H642" si="29">LOG(_xlfn.STDEV.P(B579:B609))</f>
        <v>2.0489545681434755</v>
      </c>
    </row>
    <row r="580" spans="1:8" x14ac:dyDescent="0.25">
      <c r="A580" s="1">
        <v>44771</v>
      </c>
      <c r="B580" s="8">
        <v>4072.43</v>
      </c>
      <c r="C580" s="2">
        <v>294</v>
      </c>
      <c r="E580" s="8">
        <f t="shared" si="27"/>
        <v>57.860000000000127</v>
      </c>
      <c r="F580" s="8">
        <f t="shared" si="28"/>
        <v>-2.8000000000000114</v>
      </c>
      <c r="H580" s="12">
        <f t="shared" si="29"/>
        <v>2.0453416885928233</v>
      </c>
    </row>
    <row r="581" spans="1:8" x14ac:dyDescent="0.25">
      <c r="A581" s="1">
        <v>44774</v>
      </c>
      <c r="B581" s="8">
        <v>4130.29</v>
      </c>
      <c r="C581" s="2">
        <v>291.2</v>
      </c>
      <c r="E581" s="8">
        <f t="shared" si="27"/>
        <v>-11.659999999999854</v>
      </c>
      <c r="F581" s="8">
        <f t="shared" si="28"/>
        <v>10.199999999999989</v>
      </c>
      <c r="H581" s="12">
        <f t="shared" si="29"/>
        <v>2.0441021318057873</v>
      </c>
    </row>
    <row r="582" spans="1:8" x14ac:dyDescent="0.25">
      <c r="A582" s="1">
        <v>44775</v>
      </c>
      <c r="B582" s="8">
        <v>4118.63</v>
      </c>
      <c r="C582" s="2">
        <v>301.39999999999998</v>
      </c>
      <c r="E582" s="8">
        <f t="shared" si="27"/>
        <v>-27.440000000000055</v>
      </c>
      <c r="F582" s="8">
        <f t="shared" si="28"/>
        <v>3</v>
      </c>
      <c r="H582" s="12">
        <f t="shared" si="29"/>
        <v>2.0627085113589159</v>
      </c>
    </row>
    <row r="583" spans="1:8" x14ac:dyDescent="0.25">
      <c r="A583" s="1">
        <v>44776</v>
      </c>
      <c r="B583" s="8">
        <v>4091.19</v>
      </c>
      <c r="C583" s="2">
        <v>304.39999999999998</v>
      </c>
      <c r="E583" s="8">
        <f t="shared" si="27"/>
        <v>63.980000000000018</v>
      </c>
      <c r="F583" s="8">
        <f t="shared" si="28"/>
        <v>-15.199999999999989</v>
      </c>
      <c r="H583" s="12">
        <f t="shared" si="29"/>
        <v>2.0765996600146091</v>
      </c>
    </row>
    <row r="584" spans="1:8" x14ac:dyDescent="0.25">
      <c r="A584" s="1">
        <v>44777</v>
      </c>
      <c r="B584" s="8">
        <v>4155.17</v>
      </c>
      <c r="C584" s="2">
        <v>289.2</v>
      </c>
      <c r="E584" s="8">
        <f t="shared" si="27"/>
        <v>-3.2300000000004729</v>
      </c>
      <c r="F584" s="8">
        <f t="shared" si="28"/>
        <v>1</v>
      </c>
      <c r="H584" s="12">
        <f t="shared" si="29"/>
        <v>2.0961373724594479</v>
      </c>
    </row>
    <row r="585" spans="1:8" x14ac:dyDescent="0.25">
      <c r="A585" s="1">
        <v>44778</v>
      </c>
      <c r="B585" s="8">
        <v>4151.9399999999996</v>
      </c>
      <c r="C585" s="2">
        <v>290.2</v>
      </c>
      <c r="E585" s="8">
        <f t="shared" si="27"/>
        <v>-6.75</v>
      </c>
      <c r="F585" s="8">
        <f t="shared" si="28"/>
        <v>-7.3999999999999773</v>
      </c>
      <c r="H585" s="12">
        <f t="shared" si="29"/>
        <v>2.116411146446096</v>
      </c>
    </row>
    <row r="586" spans="1:8" x14ac:dyDescent="0.25">
      <c r="A586" s="1">
        <v>44781</v>
      </c>
      <c r="B586" s="8">
        <v>4145.1899999999996</v>
      </c>
      <c r="C586" s="2">
        <v>282.8</v>
      </c>
      <c r="E586" s="8">
        <f t="shared" si="27"/>
        <v>-5.1299999999991996</v>
      </c>
      <c r="F586" s="8">
        <f t="shared" si="28"/>
        <v>1.5999999999999659</v>
      </c>
      <c r="H586" s="12">
        <f t="shared" si="29"/>
        <v>2.1291515673769634</v>
      </c>
    </row>
    <row r="587" spans="1:8" x14ac:dyDescent="0.25">
      <c r="A587" s="1">
        <v>44782</v>
      </c>
      <c r="B587" s="8">
        <v>4140.0600000000004</v>
      </c>
      <c r="C587" s="2">
        <v>284.39999999999998</v>
      </c>
      <c r="E587" s="8">
        <f t="shared" si="27"/>
        <v>-17.590000000000146</v>
      </c>
      <c r="F587" s="8">
        <f t="shared" si="28"/>
        <v>2</v>
      </c>
      <c r="H587" s="12">
        <f t="shared" si="29"/>
        <v>2.1463679178198332</v>
      </c>
    </row>
    <row r="588" spans="1:8" x14ac:dyDescent="0.25">
      <c r="A588" s="1">
        <v>44783</v>
      </c>
      <c r="B588" s="8">
        <v>4122.47</v>
      </c>
      <c r="C588" s="2">
        <v>286.39999999999998</v>
      </c>
      <c r="E588" s="8">
        <f t="shared" si="27"/>
        <v>87.769999999999527</v>
      </c>
      <c r="F588" s="8">
        <f t="shared" si="28"/>
        <v>-16.399999999999977</v>
      </c>
      <c r="H588" s="12">
        <f t="shared" si="29"/>
        <v>2.1712353383743088</v>
      </c>
    </row>
    <row r="589" spans="1:8" x14ac:dyDescent="0.25">
      <c r="A589" s="1">
        <v>44784</v>
      </c>
      <c r="B589" s="8">
        <v>4210.24</v>
      </c>
      <c r="C589" s="2">
        <v>270</v>
      </c>
      <c r="E589" s="8">
        <f t="shared" si="27"/>
        <v>-2.9699999999993452</v>
      </c>
      <c r="F589" s="8">
        <f t="shared" si="28"/>
        <v>2.1999999999999886</v>
      </c>
      <c r="H589" s="12">
        <f t="shared" si="29"/>
        <v>2.1971565506263113</v>
      </c>
    </row>
    <row r="590" spans="1:8" x14ac:dyDescent="0.25">
      <c r="A590" s="1">
        <v>44785</v>
      </c>
      <c r="B590" s="8">
        <v>4207.2700000000004</v>
      </c>
      <c r="C590" s="2">
        <v>272.2</v>
      </c>
      <c r="E590" s="8">
        <f t="shared" si="27"/>
        <v>72.8799999999992</v>
      </c>
      <c r="F590" s="8">
        <f t="shared" si="28"/>
        <v>-3.3999999999999773</v>
      </c>
      <c r="H590" s="12">
        <f t="shared" si="29"/>
        <v>2.2227335130993064</v>
      </c>
    </row>
    <row r="591" spans="1:8" x14ac:dyDescent="0.25">
      <c r="A591" s="1">
        <v>44788</v>
      </c>
      <c r="B591" s="8">
        <v>4280.1499999999996</v>
      </c>
      <c r="C591" s="2">
        <v>268.8</v>
      </c>
      <c r="E591" s="8">
        <f t="shared" si="27"/>
        <v>16.990000000000691</v>
      </c>
      <c r="F591" s="8">
        <f t="shared" si="28"/>
        <v>-4.1999999999999886</v>
      </c>
      <c r="H591" s="12">
        <f t="shared" si="29"/>
        <v>2.2479122501987359</v>
      </c>
    </row>
    <row r="592" spans="1:8" x14ac:dyDescent="0.25">
      <c r="A592" s="1">
        <v>44789</v>
      </c>
      <c r="B592" s="8">
        <v>4297.1400000000003</v>
      </c>
      <c r="C592" s="2">
        <v>264.60000000000002</v>
      </c>
      <c r="E592" s="8">
        <f t="shared" si="27"/>
        <v>8.0599999999994907</v>
      </c>
      <c r="F592" s="8">
        <f t="shared" si="28"/>
        <v>2</v>
      </c>
      <c r="H592" s="12">
        <f t="shared" si="29"/>
        <v>2.2601750646019476</v>
      </c>
    </row>
    <row r="593" spans="1:8" x14ac:dyDescent="0.25">
      <c r="A593" s="1">
        <v>44790</v>
      </c>
      <c r="B593" s="8">
        <v>4305.2</v>
      </c>
      <c r="C593" s="2">
        <v>266.60000000000002</v>
      </c>
      <c r="E593" s="8">
        <f t="shared" si="27"/>
        <v>-31.159999999999854</v>
      </c>
      <c r="F593" s="8">
        <f t="shared" si="28"/>
        <v>-1.2000000000000455</v>
      </c>
      <c r="H593" s="12">
        <f t="shared" si="29"/>
        <v>2.2553975807574358</v>
      </c>
    </row>
    <row r="594" spans="1:8" x14ac:dyDescent="0.25">
      <c r="A594" s="1">
        <v>44791</v>
      </c>
      <c r="B594" s="8">
        <v>4274.04</v>
      </c>
      <c r="C594" s="2">
        <v>265.39999999999998</v>
      </c>
      <c r="E594" s="8">
        <f t="shared" si="27"/>
        <v>9.6999999999998181</v>
      </c>
      <c r="F594" s="8">
        <f t="shared" si="28"/>
        <v>-4.1999999999999886</v>
      </c>
      <c r="H594" s="12">
        <f t="shared" si="29"/>
        <v>2.2542090689238417</v>
      </c>
    </row>
    <row r="595" spans="1:8" x14ac:dyDescent="0.25">
      <c r="A595" s="1">
        <v>44792</v>
      </c>
      <c r="B595" s="8">
        <v>4283.74</v>
      </c>
      <c r="C595" s="2">
        <v>261.2</v>
      </c>
      <c r="E595" s="8">
        <f t="shared" si="27"/>
        <v>-55.260000000000218</v>
      </c>
      <c r="F595" s="8">
        <f t="shared" si="28"/>
        <v>13</v>
      </c>
      <c r="H595" s="12">
        <f t="shared" si="29"/>
        <v>2.259251371139452</v>
      </c>
    </row>
    <row r="596" spans="1:8" x14ac:dyDescent="0.25">
      <c r="A596" s="1">
        <v>44795</v>
      </c>
      <c r="B596" s="8">
        <v>4228.4799999999996</v>
      </c>
      <c r="C596" s="2">
        <v>274.2</v>
      </c>
      <c r="E596" s="8">
        <f t="shared" si="27"/>
        <v>-90.489999999999782</v>
      </c>
      <c r="F596" s="8">
        <f t="shared" si="28"/>
        <v>17.800000000000011</v>
      </c>
      <c r="H596" s="12">
        <f t="shared" si="29"/>
        <v>2.2446179372049806</v>
      </c>
    </row>
    <row r="597" spans="1:8" x14ac:dyDescent="0.25">
      <c r="A597" s="1">
        <v>44796</v>
      </c>
      <c r="B597" s="8">
        <v>4137.99</v>
      </c>
      <c r="C597" s="2">
        <v>292</v>
      </c>
      <c r="E597" s="8">
        <f t="shared" si="27"/>
        <v>-9.2600000000002183</v>
      </c>
      <c r="F597" s="8">
        <f t="shared" si="28"/>
        <v>-5</v>
      </c>
      <c r="H597" s="12">
        <f t="shared" si="29"/>
        <v>2.2236672843170724</v>
      </c>
    </row>
    <row r="598" spans="1:8" x14ac:dyDescent="0.25">
      <c r="A598" s="1">
        <v>44797</v>
      </c>
      <c r="B598" s="8">
        <v>4128.7299999999996</v>
      </c>
      <c r="C598" s="2">
        <v>287</v>
      </c>
      <c r="E598" s="8">
        <f t="shared" si="27"/>
        <v>12.040000000000873</v>
      </c>
      <c r="F598" s="8">
        <f t="shared" si="28"/>
        <v>-9.3999999999999773</v>
      </c>
      <c r="H598" s="12">
        <f t="shared" si="29"/>
        <v>2.2119653634542713</v>
      </c>
    </row>
    <row r="599" spans="1:8" x14ac:dyDescent="0.25">
      <c r="A599" s="1">
        <v>44798</v>
      </c>
      <c r="B599" s="8">
        <v>4140.7700000000004</v>
      </c>
      <c r="C599" s="2">
        <v>277.60000000000002</v>
      </c>
      <c r="E599" s="8">
        <f t="shared" si="27"/>
        <v>58.349999999999454</v>
      </c>
      <c r="F599" s="8">
        <f t="shared" si="28"/>
        <v>-9.4000000000000341</v>
      </c>
      <c r="H599" s="12">
        <f t="shared" si="29"/>
        <v>2.201128735744776</v>
      </c>
    </row>
    <row r="600" spans="1:8" x14ac:dyDescent="0.25">
      <c r="A600" s="1">
        <v>44799</v>
      </c>
      <c r="B600" s="8">
        <v>4199.12</v>
      </c>
      <c r="C600" s="2">
        <v>268.2</v>
      </c>
      <c r="E600" s="8">
        <f t="shared" si="27"/>
        <v>-141.46000000000004</v>
      </c>
      <c r="F600" s="8">
        <f t="shared" si="28"/>
        <v>27.199999999999989</v>
      </c>
      <c r="H600" s="12">
        <f t="shared" si="29"/>
        <v>2.1954973626235899</v>
      </c>
    </row>
    <row r="601" spans="1:8" x14ac:dyDescent="0.25">
      <c r="A601" s="1">
        <v>44802</v>
      </c>
      <c r="B601" s="8">
        <v>4057.66</v>
      </c>
      <c r="C601" s="2">
        <v>295.39999999999998</v>
      </c>
      <c r="E601" s="8">
        <f t="shared" si="27"/>
        <v>-27.049999999999727</v>
      </c>
      <c r="F601" s="8">
        <f t="shared" si="28"/>
        <v>-2.7999999999999545</v>
      </c>
      <c r="H601" s="12">
        <f t="shared" si="29"/>
        <v>2.1769977451094826</v>
      </c>
    </row>
    <row r="602" spans="1:8" x14ac:dyDescent="0.25">
      <c r="A602" s="1">
        <v>44803</v>
      </c>
      <c r="B602" s="8">
        <v>4030.61</v>
      </c>
      <c r="C602" s="2">
        <v>292.60000000000002</v>
      </c>
      <c r="E602" s="8">
        <f t="shared" si="27"/>
        <v>-44.450000000000273</v>
      </c>
      <c r="F602" s="8">
        <f t="shared" si="28"/>
        <v>5</v>
      </c>
      <c r="H602" s="12">
        <f t="shared" si="29"/>
        <v>2.1805728291208957</v>
      </c>
    </row>
    <row r="603" spans="1:8" x14ac:dyDescent="0.25">
      <c r="A603" s="1">
        <v>44804</v>
      </c>
      <c r="B603" s="8">
        <v>3986.16</v>
      </c>
      <c r="C603" s="2">
        <v>297.60000000000002</v>
      </c>
      <c r="E603" s="8">
        <f t="shared" si="27"/>
        <v>-31.159999999999854</v>
      </c>
      <c r="F603" s="8">
        <f t="shared" si="28"/>
        <v>-5.8000000000000114</v>
      </c>
      <c r="H603" s="12">
        <f t="shared" si="29"/>
        <v>2.1852129210440028</v>
      </c>
    </row>
    <row r="604" spans="1:8" x14ac:dyDescent="0.25">
      <c r="A604" s="1">
        <v>44805</v>
      </c>
      <c r="B604" s="8">
        <v>3955</v>
      </c>
      <c r="C604" s="2">
        <v>291.8</v>
      </c>
      <c r="E604" s="8">
        <f t="shared" si="27"/>
        <v>11.849999999999909</v>
      </c>
      <c r="F604" s="8">
        <f t="shared" si="28"/>
        <v>-2.1999999999999886</v>
      </c>
      <c r="H604" s="12">
        <f t="shared" si="29"/>
        <v>2.1814652086895152</v>
      </c>
    </row>
    <row r="605" spans="1:8" x14ac:dyDescent="0.25">
      <c r="A605" s="1">
        <v>44806</v>
      </c>
      <c r="B605" s="8">
        <v>3966.85</v>
      </c>
      <c r="C605" s="2">
        <v>289.60000000000002</v>
      </c>
      <c r="E605" s="8">
        <f t="shared" si="27"/>
        <v>-42.589999999999691</v>
      </c>
      <c r="F605" s="8">
        <f t="shared" si="28"/>
        <v>2.5999999999999659</v>
      </c>
      <c r="H605" s="12">
        <f t="shared" si="29"/>
        <v>2.1877492074094671</v>
      </c>
    </row>
    <row r="606" spans="1:8" x14ac:dyDescent="0.25">
      <c r="A606" s="1">
        <v>44810</v>
      </c>
      <c r="B606" s="8">
        <v>3924.26</v>
      </c>
      <c r="C606" s="2">
        <v>292.2</v>
      </c>
      <c r="E606" s="8">
        <f t="shared" si="27"/>
        <v>-16.070000000000164</v>
      </c>
      <c r="F606" s="8">
        <f t="shared" si="28"/>
        <v>6.1999999999999886</v>
      </c>
      <c r="H606" s="12">
        <f t="shared" si="29"/>
        <v>2.1815582979732691</v>
      </c>
    </row>
    <row r="607" spans="1:8" x14ac:dyDescent="0.25">
      <c r="A607" s="1">
        <v>44811</v>
      </c>
      <c r="B607" s="8">
        <v>3908.19</v>
      </c>
      <c r="C607" s="2">
        <v>298.39999999999998</v>
      </c>
      <c r="E607" s="8">
        <f t="shared" si="27"/>
        <v>71.679999999999836</v>
      </c>
      <c r="F607" s="8">
        <f t="shared" si="28"/>
        <v>-16</v>
      </c>
      <c r="H607" s="12">
        <f t="shared" si="29"/>
        <v>2.1760977647668924</v>
      </c>
    </row>
    <row r="608" spans="1:8" x14ac:dyDescent="0.25">
      <c r="A608" s="1">
        <v>44812</v>
      </c>
      <c r="B608" s="8">
        <v>3979.87</v>
      </c>
      <c r="C608" s="2">
        <v>282.39999999999998</v>
      </c>
      <c r="E608" s="8">
        <f t="shared" si="27"/>
        <v>26.309999999999945</v>
      </c>
      <c r="F608" s="8">
        <f t="shared" si="28"/>
        <v>-4.3999999999999773</v>
      </c>
      <c r="H608" s="12">
        <f t="shared" si="29"/>
        <v>2.1721138359389971</v>
      </c>
    </row>
    <row r="609" spans="1:8" x14ac:dyDescent="0.25">
      <c r="A609" s="1">
        <v>44813</v>
      </c>
      <c r="B609" s="8">
        <v>4006.18</v>
      </c>
      <c r="C609" s="2">
        <v>278</v>
      </c>
      <c r="E609" s="8">
        <f t="shared" si="27"/>
        <v>61.180000000000291</v>
      </c>
      <c r="F609" s="8">
        <f t="shared" si="28"/>
        <v>-2.8000000000000114</v>
      </c>
      <c r="H609" s="12">
        <f t="shared" si="29"/>
        <v>2.1599449355807385</v>
      </c>
    </row>
    <row r="610" spans="1:8" x14ac:dyDescent="0.25">
      <c r="A610" s="1">
        <v>44816</v>
      </c>
      <c r="B610" s="8">
        <v>4067.36</v>
      </c>
      <c r="C610" s="2">
        <v>275.2</v>
      </c>
      <c r="E610" s="8">
        <f t="shared" si="27"/>
        <v>43.049999999999727</v>
      </c>
      <c r="F610" s="8">
        <f t="shared" si="28"/>
        <v>-1.3999999999999773</v>
      </c>
      <c r="H610" s="12">
        <f t="shared" si="29"/>
        <v>2.1375459464361399</v>
      </c>
    </row>
    <row r="611" spans="1:8" x14ac:dyDescent="0.25">
      <c r="A611" s="1">
        <v>44817</v>
      </c>
      <c r="B611" s="8">
        <v>4110.41</v>
      </c>
      <c r="C611" s="2">
        <v>273.8</v>
      </c>
      <c r="E611" s="8">
        <f t="shared" si="27"/>
        <v>-177.7199999999998</v>
      </c>
      <c r="F611" s="8">
        <f t="shared" si="28"/>
        <v>23.800000000000011</v>
      </c>
      <c r="H611" s="12">
        <f t="shared" si="29"/>
        <v>2.0964357110599154</v>
      </c>
    </row>
    <row r="612" spans="1:8" x14ac:dyDescent="0.25">
      <c r="A612" s="1">
        <v>44818</v>
      </c>
      <c r="B612" s="8">
        <v>3932.69</v>
      </c>
      <c r="C612" s="2">
        <v>297.60000000000002</v>
      </c>
      <c r="E612" s="8">
        <f t="shared" si="27"/>
        <v>13.320000000000164</v>
      </c>
      <c r="F612" s="8">
        <f t="shared" si="28"/>
        <v>-0.60000000000002274</v>
      </c>
      <c r="H612" s="12">
        <f t="shared" si="29"/>
        <v>2.0318652325002251</v>
      </c>
    </row>
    <row r="613" spans="1:8" x14ac:dyDescent="0.25">
      <c r="A613" s="1">
        <v>44819</v>
      </c>
      <c r="B613" s="8">
        <v>3946.01</v>
      </c>
      <c r="C613" s="2">
        <v>297</v>
      </c>
      <c r="E613" s="8">
        <f t="shared" si="27"/>
        <v>-44.660000000000309</v>
      </c>
      <c r="F613" s="8">
        <f t="shared" si="28"/>
        <v>-0.60000000000002274</v>
      </c>
      <c r="H613" s="12">
        <f t="shared" si="29"/>
        <v>2.0125098971132696</v>
      </c>
    </row>
    <row r="614" spans="1:8" x14ac:dyDescent="0.25">
      <c r="A614" s="1">
        <v>44820</v>
      </c>
      <c r="B614" s="8">
        <v>3901.35</v>
      </c>
      <c r="C614" s="2">
        <v>296.39999999999998</v>
      </c>
      <c r="E614" s="8">
        <f t="shared" si="27"/>
        <v>-28.019999999999982</v>
      </c>
      <c r="F614" s="8">
        <f t="shared" si="28"/>
        <v>0</v>
      </c>
      <c r="H614" s="12">
        <f t="shared" si="29"/>
        <v>1.9833315795302204</v>
      </c>
    </row>
    <row r="615" spans="1:8" x14ac:dyDescent="0.25">
      <c r="A615" s="1">
        <v>44823</v>
      </c>
      <c r="B615" s="8">
        <v>3873.33</v>
      </c>
      <c r="C615" s="2">
        <v>296.39999999999998</v>
      </c>
      <c r="E615" s="8">
        <f t="shared" si="27"/>
        <v>26.559999999999945</v>
      </c>
      <c r="F615" s="8">
        <f t="shared" si="28"/>
        <v>-9.3999999999999773</v>
      </c>
      <c r="H615" s="12">
        <f t="shared" si="29"/>
        <v>1.9832545211895249</v>
      </c>
    </row>
    <row r="616" spans="1:8" x14ac:dyDescent="0.25">
      <c r="A616" s="1">
        <v>44824</v>
      </c>
      <c r="B616" s="8">
        <v>3899.89</v>
      </c>
      <c r="C616" s="2">
        <v>287</v>
      </c>
      <c r="E616" s="8">
        <f t="shared" si="27"/>
        <v>-43.960000000000036</v>
      </c>
      <c r="F616" s="8">
        <f t="shared" si="28"/>
        <v>9.6000000000000227</v>
      </c>
      <c r="H616" s="12">
        <f t="shared" si="29"/>
        <v>1.9829538003261349</v>
      </c>
    </row>
    <row r="617" spans="1:8" x14ac:dyDescent="0.25">
      <c r="A617" s="1">
        <v>44825</v>
      </c>
      <c r="B617" s="8">
        <v>3855.93</v>
      </c>
      <c r="C617" s="2">
        <v>296.60000000000002</v>
      </c>
      <c r="E617" s="8">
        <f t="shared" si="27"/>
        <v>-66</v>
      </c>
      <c r="F617" s="8">
        <f t="shared" si="28"/>
        <v>9.5999999999999659</v>
      </c>
      <c r="H617" s="12">
        <f t="shared" si="29"/>
        <v>1.9725443254209123</v>
      </c>
    </row>
    <row r="618" spans="1:8" x14ac:dyDescent="0.25">
      <c r="A618" s="1">
        <v>44826</v>
      </c>
      <c r="B618" s="8">
        <v>3789.93</v>
      </c>
      <c r="C618" s="2">
        <v>306.2</v>
      </c>
      <c r="E618" s="8">
        <f t="shared" si="27"/>
        <v>-31.940000000000055</v>
      </c>
      <c r="F618" s="8">
        <f t="shared" si="28"/>
        <v>-1.8000000000000114</v>
      </c>
      <c r="H618" s="12">
        <f t="shared" si="29"/>
        <v>1.959094182797614</v>
      </c>
    </row>
    <row r="619" spans="1:8" x14ac:dyDescent="0.25">
      <c r="A619" s="1">
        <v>44827</v>
      </c>
      <c r="B619" s="8">
        <v>3757.99</v>
      </c>
      <c r="C619" s="2">
        <v>304.39999999999998</v>
      </c>
      <c r="E619" s="8">
        <f t="shared" si="27"/>
        <v>-64.759999999999764</v>
      </c>
      <c r="F619" s="8">
        <f t="shared" si="28"/>
        <v>18.600000000000023</v>
      </c>
      <c r="H619" s="12">
        <f t="shared" si="29"/>
        <v>1.9549049447764102</v>
      </c>
    </row>
    <row r="620" spans="1:8" x14ac:dyDescent="0.25">
      <c r="A620" s="1">
        <v>44830</v>
      </c>
      <c r="B620" s="8">
        <v>3693.23</v>
      </c>
      <c r="C620" s="2">
        <v>323</v>
      </c>
      <c r="E620" s="8">
        <f t="shared" si="27"/>
        <v>-38.190000000000055</v>
      </c>
      <c r="F620" s="8">
        <f t="shared" si="28"/>
        <v>11.199999999999989</v>
      </c>
      <c r="H620" s="12">
        <f t="shared" si="29"/>
        <v>1.9558840568565239</v>
      </c>
    </row>
    <row r="621" spans="1:8" x14ac:dyDescent="0.25">
      <c r="A621" s="1">
        <v>44831</v>
      </c>
      <c r="B621" s="8">
        <v>3655.04</v>
      </c>
      <c r="C621" s="2">
        <v>334.2</v>
      </c>
      <c r="E621" s="8">
        <f t="shared" si="27"/>
        <v>-7.75</v>
      </c>
      <c r="F621" s="8">
        <f t="shared" si="28"/>
        <v>5</v>
      </c>
      <c r="H621" s="12">
        <f t="shared" si="29"/>
        <v>1.961469427352351</v>
      </c>
    </row>
    <row r="622" spans="1:8" x14ac:dyDescent="0.25">
      <c r="A622" s="1">
        <v>44832</v>
      </c>
      <c r="B622" s="8">
        <v>3647.29</v>
      </c>
      <c r="C622" s="2">
        <v>339.2</v>
      </c>
      <c r="E622" s="8">
        <f t="shared" si="27"/>
        <v>71.75</v>
      </c>
      <c r="F622" s="8">
        <f t="shared" si="28"/>
        <v>-14</v>
      </c>
      <c r="H622" s="12">
        <f t="shared" si="29"/>
        <v>1.9660416968097942</v>
      </c>
    </row>
    <row r="623" spans="1:8" x14ac:dyDescent="0.25">
      <c r="A623" s="1">
        <v>44833</v>
      </c>
      <c r="B623" s="8">
        <v>3719.04</v>
      </c>
      <c r="C623" s="2">
        <v>325.2</v>
      </c>
      <c r="E623" s="8">
        <f t="shared" si="27"/>
        <v>-78.570000000000164</v>
      </c>
      <c r="F623" s="8">
        <f t="shared" si="28"/>
        <v>9.1999999999999886</v>
      </c>
      <c r="H623" s="12">
        <f t="shared" si="29"/>
        <v>1.9606478451627209</v>
      </c>
    </row>
    <row r="624" spans="1:8" x14ac:dyDescent="0.25">
      <c r="A624" s="1">
        <v>44834</v>
      </c>
      <c r="B624" s="8">
        <v>3640.47</v>
      </c>
      <c r="C624" s="2">
        <v>334.4</v>
      </c>
      <c r="E624" s="8">
        <f t="shared" si="27"/>
        <v>-54.849999999999909</v>
      </c>
      <c r="F624" s="8">
        <f t="shared" si="28"/>
        <v>7.6000000000000227</v>
      </c>
      <c r="H624" s="12">
        <f t="shared" si="29"/>
        <v>1.9979793285870069</v>
      </c>
    </row>
    <row r="625" spans="1:8" x14ac:dyDescent="0.25">
      <c r="A625" s="1">
        <v>44837</v>
      </c>
      <c r="B625" s="8">
        <v>3585.62</v>
      </c>
      <c r="C625" s="2">
        <v>342</v>
      </c>
      <c r="E625" s="8">
        <f t="shared" si="27"/>
        <v>92.809999999999945</v>
      </c>
      <c r="F625" s="8">
        <f t="shared" si="28"/>
        <v>-15.800000000000011</v>
      </c>
      <c r="H625" s="12">
        <f t="shared" si="29"/>
        <v>2.0310547889531927</v>
      </c>
    </row>
    <row r="626" spans="1:8" x14ac:dyDescent="0.25">
      <c r="A626" s="1">
        <v>44838</v>
      </c>
      <c r="B626" s="8">
        <v>3678.43</v>
      </c>
      <c r="C626" s="2">
        <v>326.2</v>
      </c>
      <c r="E626" s="8">
        <f t="shared" si="27"/>
        <v>112.5</v>
      </c>
      <c r="F626" s="8">
        <f t="shared" si="28"/>
        <v>-11.800000000000011</v>
      </c>
      <c r="H626" s="12">
        <f t="shared" si="29"/>
        <v>2.0376068994858776</v>
      </c>
    </row>
    <row r="627" spans="1:8" x14ac:dyDescent="0.25">
      <c r="A627" s="1">
        <v>44839</v>
      </c>
      <c r="B627" s="8">
        <v>3790.93</v>
      </c>
      <c r="C627" s="2">
        <v>314.39999999999998</v>
      </c>
      <c r="E627" s="8">
        <f t="shared" si="27"/>
        <v>-7.6499999999996362</v>
      </c>
      <c r="F627" s="8">
        <f t="shared" si="28"/>
        <v>2.4000000000000341</v>
      </c>
      <c r="H627" s="12">
        <f t="shared" si="29"/>
        <v>2.0611404746693611</v>
      </c>
    </row>
    <row r="628" spans="1:8" x14ac:dyDescent="0.25">
      <c r="A628" s="1">
        <v>44840</v>
      </c>
      <c r="B628" s="8">
        <v>3783.28</v>
      </c>
      <c r="C628" s="2">
        <v>316.8</v>
      </c>
      <c r="E628" s="8">
        <f t="shared" si="27"/>
        <v>-38.760000000000218</v>
      </c>
      <c r="F628" s="8">
        <f t="shared" si="28"/>
        <v>9.1999999999999886</v>
      </c>
      <c r="H628" s="12">
        <f t="shared" si="29"/>
        <v>2.0780928046984917</v>
      </c>
    </row>
    <row r="629" spans="1:8" x14ac:dyDescent="0.25">
      <c r="A629" s="1">
        <v>44841</v>
      </c>
      <c r="B629" s="8">
        <v>3744.52</v>
      </c>
      <c r="C629" s="2">
        <v>326</v>
      </c>
      <c r="E629" s="8">
        <f t="shared" si="27"/>
        <v>-104.86000000000013</v>
      </c>
      <c r="F629" s="8">
        <f t="shared" si="28"/>
        <v>13.399999999999977</v>
      </c>
      <c r="H629" s="12">
        <f t="shared" si="29"/>
        <v>2.0911172187616729</v>
      </c>
    </row>
    <row r="630" spans="1:8" x14ac:dyDescent="0.25">
      <c r="A630" s="1">
        <v>44844</v>
      </c>
      <c r="B630" s="8">
        <v>3639.66</v>
      </c>
      <c r="C630" s="2">
        <v>339.4</v>
      </c>
      <c r="E630" s="8">
        <f t="shared" si="27"/>
        <v>-27.269999999999982</v>
      </c>
      <c r="F630" s="8">
        <f t="shared" si="28"/>
        <v>8.2000000000000455</v>
      </c>
      <c r="H630" s="12">
        <f t="shared" si="29"/>
        <v>2.1045014012343191</v>
      </c>
    </row>
    <row r="631" spans="1:8" x14ac:dyDescent="0.25">
      <c r="A631" s="1">
        <v>44845</v>
      </c>
      <c r="B631" s="8">
        <v>3612.39</v>
      </c>
      <c r="C631" s="2">
        <v>347.6</v>
      </c>
      <c r="E631" s="8">
        <f t="shared" si="27"/>
        <v>-23.549999999999727</v>
      </c>
      <c r="F631" s="8">
        <f t="shared" si="28"/>
        <v>5.3999999999999773</v>
      </c>
      <c r="H631" s="12">
        <f t="shared" si="29"/>
        <v>2.1042852536868959</v>
      </c>
    </row>
    <row r="632" spans="1:8" x14ac:dyDescent="0.25">
      <c r="A632" s="1">
        <v>44846</v>
      </c>
      <c r="B632" s="8">
        <v>3588.84</v>
      </c>
      <c r="C632" s="2">
        <v>353</v>
      </c>
      <c r="E632" s="8">
        <f t="shared" si="27"/>
        <v>-11.809999999999945</v>
      </c>
      <c r="F632" s="8">
        <f t="shared" si="28"/>
        <v>-3.1999999999999886</v>
      </c>
      <c r="H632" s="12">
        <f t="shared" si="29"/>
        <v>2.1046466227222425</v>
      </c>
    </row>
    <row r="633" spans="1:8" x14ac:dyDescent="0.25">
      <c r="A633" s="1">
        <v>44847</v>
      </c>
      <c r="B633" s="8">
        <v>3577.03</v>
      </c>
      <c r="C633" s="2">
        <v>349.8</v>
      </c>
      <c r="E633" s="8">
        <f t="shared" si="27"/>
        <v>92.879999999999654</v>
      </c>
      <c r="F633" s="8">
        <f t="shared" si="28"/>
        <v>-10</v>
      </c>
      <c r="H633" s="12">
        <f t="shared" si="29"/>
        <v>2.0999497377209129</v>
      </c>
    </row>
    <row r="634" spans="1:8" x14ac:dyDescent="0.25">
      <c r="A634" s="1">
        <v>44848</v>
      </c>
      <c r="B634" s="8">
        <v>3669.91</v>
      </c>
      <c r="C634" s="2">
        <v>339.8</v>
      </c>
      <c r="E634" s="8">
        <f t="shared" si="27"/>
        <v>-86.839999999999691</v>
      </c>
      <c r="F634" s="8">
        <f t="shared" si="28"/>
        <v>7</v>
      </c>
      <c r="H634" s="12">
        <f t="shared" si="29"/>
        <v>2.0864184017773364</v>
      </c>
    </row>
    <row r="635" spans="1:8" x14ac:dyDescent="0.25">
      <c r="A635" s="1">
        <v>44851</v>
      </c>
      <c r="B635" s="8">
        <v>3583.07</v>
      </c>
      <c r="C635" s="2">
        <v>346.8</v>
      </c>
      <c r="E635" s="8">
        <f t="shared" si="27"/>
        <v>94.879999999999654</v>
      </c>
      <c r="F635" s="8">
        <f t="shared" si="28"/>
        <v>-8.8000000000000114</v>
      </c>
      <c r="H635" s="12">
        <f t="shared" si="29"/>
        <v>2.0780488190906881</v>
      </c>
    </row>
    <row r="636" spans="1:8" x14ac:dyDescent="0.25">
      <c r="A636" s="1">
        <v>44852</v>
      </c>
      <c r="B636" s="8">
        <v>3677.95</v>
      </c>
      <c r="C636" s="2">
        <v>338</v>
      </c>
      <c r="E636" s="8">
        <f t="shared" si="27"/>
        <v>42.0300000000002</v>
      </c>
      <c r="F636" s="8">
        <f t="shared" si="28"/>
        <v>-6.6000000000000227</v>
      </c>
      <c r="H636" s="12">
        <f t="shared" si="29"/>
        <v>2.0435698473843762</v>
      </c>
    </row>
    <row r="637" spans="1:8" x14ac:dyDescent="0.25">
      <c r="A637" s="1">
        <v>44853</v>
      </c>
      <c r="B637" s="8">
        <v>3719.98</v>
      </c>
      <c r="C637" s="2">
        <v>331.4</v>
      </c>
      <c r="E637" s="8">
        <f t="shared" si="27"/>
        <v>-24.820000000000164</v>
      </c>
      <c r="F637" s="8">
        <f t="shared" si="28"/>
        <v>2.4000000000000341</v>
      </c>
      <c r="H637" s="12">
        <f t="shared" si="29"/>
        <v>2.0477333647184093</v>
      </c>
    </row>
    <row r="638" spans="1:8" x14ac:dyDescent="0.25">
      <c r="A638" s="1">
        <v>44854</v>
      </c>
      <c r="B638" s="8">
        <v>3695.16</v>
      </c>
      <c r="C638" s="2">
        <v>333.8</v>
      </c>
      <c r="E638" s="8">
        <f t="shared" si="27"/>
        <v>-29.379999999999654</v>
      </c>
      <c r="F638" s="8">
        <f t="shared" si="28"/>
        <v>-4.1999999999999886</v>
      </c>
      <c r="H638" s="12">
        <f t="shared" si="29"/>
        <v>2.0541052465851499</v>
      </c>
    </row>
    <row r="639" spans="1:8" x14ac:dyDescent="0.25">
      <c r="A639" s="1">
        <v>44855</v>
      </c>
      <c r="B639" s="8">
        <v>3665.78</v>
      </c>
      <c r="C639" s="2">
        <v>329.6</v>
      </c>
      <c r="E639" s="8">
        <f t="shared" si="27"/>
        <v>86.9699999999998</v>
      </c>
      <c r="F639" s="8">
        <f t="shared" si="28"/>
        <v>-1.2000000000000455</v>
      </c>
      <c r="H639" s="12">
        <f t="shared" si="29"/>
        <v>2.0497261779968858</v>
      </c>
    </row>
    <row r="640" spans="1:8" x14ac:dyDescent="0.25">
      <c r="A640" s="1">
        <v>44858</v>
      </c>
      <c r="B640" s="8">
        <v>3752.75</v>
      </c>
      <c r="C640" s="2">
        <v>328.4</v>
      </c>
      <c r="E640" s="8">
        <f t="shared" si="27"/>
        <v>44.590000000000146</v>
      </c>
      <c r="F640" s="8">
        <f t="shared" si="28"/>
        <v>-5.1999999999999886</v>
      </c>
      <c r="H640" s="12">
        <f t="shared" si="29"/>
        <v>2.0207446628351899</v>
      </c>
    </row>
    <row r="641" spans="1:8" x14ac:dyDescent="0.25">
      <c r="A641" s="1">
        <v>44859</v>
      </c>
      <c r="B641" s="8">
        <v>3797.34</v>
      </c>
      <c r="C641" s="2">
        <v>323.2</v>
      </c>
      <c r="E641" s="8">
        <f t="shared" si="27"/>
        <v>61.769999999999982</v>
      </c>
      <c r="F641" s="8">
        <f t="shared" si="28"/>
        <v>-12.800000000000011</v>
      </c>
      <c r="H641" s="12">
        <f t="shared" si="29"/>
        <v>2.0040809750447095</v>
      </c>
    </row>
    <row r="642" spans="1:8" x14ac:dyDescent="0.25">
      <c r="A642" s="1">
        <v>44860</v>
      </c>
      <c r="B642" s="8">
        <v>3859.11</v>
      </c>
      <c r="C642" s="2">
        <v>310.39999999999998</v>
      </c>
      <c r="E642" s="8">
        <f t="shared" si="27"/>
        <v>-28.510000000000218</v>
      </c>
      <c r="F642" s="8">
        <f t="shared" si="28"/>
        <v>-7.1999999999999886</v>
      </c>
      <c r="H642" s="12">
        <f t="shared" si="29"/>
        <v>1.9938058883266045</v>
      </c>
    </row>
    <row r="643" spans="1:8" x14ac:dyDescent="0.25">
      <c r="A643" s="1">
        <v>44861</v>
      </c>
      <c r="B643" s="8">
        <v>3830.6</v>
      </c>
      <c r="C643" s="2">
        <v>303.2</v>
      </c>
      <c r="E643" s="8">
        <f t="shared" ref="E643:E706" si="30">B644-B643</f>
        <v>-23.299999999999727</v>
      </c>
      <c r="F643" s="8">
        <f t="shared" ref="F643:F706" si="31">C644-C643</f>
        <v>-6</v>
      </c>
      <c r="H643" s="12">
        <f t="shared" ref="H643:H706" si="32">LOG(_xlfn.STDEV.P(B643:B673))</f>
        <v>1.9920453531410507</v>
      </c>
    </row>
    <row r="644" spans="1:8" x14ac:dyDescent="0.25">
      <c r="A644" s="1">
        <v>44862</v>
      </c>
      <c r="B644" s="8">
        <v>3807.3</v>
      </c>
      <c r="C644" s="2">
        <v>297.2</v>
      </c>
      <c r="E644" s="8">
        <f t="shared" si="30"/>
        <v>93.759999999999764</v>
      </c>
      <c r="F644" s="8">
        <f t="shared" si="31"/>
        <v>-7</v>
      </c>
      <c r="H644" s="12">
        <f t="shared" si="32"/>
        <v>1.9853325647874349</v>
      </c>
    </row>
    <row r="645" spans="1:8" x14ac:dyDescent="0.25">
      <c r="A645" s="1">
        <v>44865</v>
      </c>
      <c r="B645" s="8">
        <v>3901.06</v>
      </c>
      <c r="C645" s="2">
        <v>290.2</v>
      </c>
      <c r="E645" s="8">
        <f t="shared" si="30"/>
        <v>-29.079999999999927</v>
      </c>
      <c r="F645" s="8">
        <f t="shared" si="31"/>
        <v>-4.3999999999999773</v>
      </c>
      <c r="H645" s="12">
        <f t="shared" si="32"/>
        <v>1.9763546394455846</v>
      </c>
    </row>
    <row r="646" spans="1:8" x14ac:dyDescent="0.25">
      <c r="A646" s="1">
        <v>44866</v>
      </c>
      <c r="B646" s="8">
        <v>3871.98</v>
      </c>
      <c r="C646" s="2">
        <v>285.8</v>
      </c>
      <c r="E646" s="8">
        <f t="shared" si="30"/>
        <v>-15.880000000000109</v>
      </c>
      <c r="F646" s="8">
        <f t="shared" si="31"/>
        <v>-2.8000000000000114</v>
      </c>
      <c r="H646" s="12">
        <f t="shared" si="32"/>
        <v>1.9808533651044089</v>
      </c>
    </row>
    <row r="647" spans="1:8" x14ac:dyDescent="0.25">
      <c r="A647" s="1">
        <v>44867</v>
      </c>
      <c r="B647" s="8">
        <v>3856.1</v>
      </c>
      <c r="C647" s="2">
        <v>283</v>
      </c>
      <c r="E647" s="8">
        <f t="shared" si="30"/>
        <v>-96.409999999999854</v>
      </c>
      <c r="F647" s="8">
        <f t="shared" si="31"/>
        <v>7.6000000000000227</v>
      </c>
      <c r="H647" s="12">
        <f t="shared" si="32"/>
        <v>1.9797049198453329</v>
      </c>
    </row>
    <row r="648" spans="1:8" x14ac:dyDescent="0.25">
      <c r="A648" s="1">
        <v>44868</v>
      </c>
      <c r="B648" s="8">
        <v>3759.69</v>
      </c>
      <c r="C648" s="2">
        <v>290.60000000000002</v>
      </c>
      <c r="E648" s="8">
        <f t="shared" si="30"/>
        <v>-39.800000000000182</v>
      </c>
      <c r="F648" s="8">
        <f t="shared" si="31"/>
        <v>-6.4000000000000341</v>
      </c>
      <c r="H648" s="12">
        <f t="shared" si="32"/>
        <v>1.9756155262892869</v>
      </c>
    </row>
    <row r="649" spans="1:8" x14ac:dyDescent="0.25">
      <c r="A649" s="1">
        <v>44869</v>
      </c>
      <c r="B649" s="8">
        <v>3719.89</v>
      </c>
      <c r="C649" s="2">
        <v>284.2</v>
      </c>
      <c r="E649" s="8">
        <f t="shared" si="30"/>
        <v>50.660000000000309</v>
      </c>
      <c r="F649" s="8">
        <f t="shared" si="31"/>
        <v>-3.3999999999999773</v>
      </c>
      <c r="H649" s="12">
        <f t="shared" si="32"/>
        <v>1.9545107467142877</v>
      </c>
    </row>
    <row r="650" spans="1:8" x14ac:dyDescent="0.25">
      <c r="A650" s="1">
        <v>44872</v>
      </c>
      <c r="B650" s="8">
        <v>3770.55</v>
      </c>
      <c r="C650" s="2">
        <v>280.8</v>
      </c>
      <c r="E650" s="8">
        <f t="shared" si="30"/>
        <v>36.25</v>
      </c>
      <c r="F650" s="8">
        <f t="shared" si="31"/>
        <v>-2.6000000000000227</v>
      </c>
      <c r="H650" s="12">
        <f t="shared" si="32"/>
        <v>1.9219998723984917</v>
      </c>
    </row>
    <row r="651" spans="1:8" x14ac:dyDescent="0.25">
      <c r="A651" s="1">
        <v>44873</v>
      </c>
      <c r="B651" s="8">
        <v>3806.8</v>
      </c>
      <c r="C651" s="2">
        <v>278.2</v>
      </c>
      <c r="E651" s="8">
        <f t="shared" si="30"/>
        <v>21.309999999999945</v>
      </c>
      <c r="F651" s="8">
        <f t="shared" si="31"/>
        <v>7.4000000000000341</v>
      </c>
      <c r="H651" s="12">
        <f t="shared" si="32"/>
        <v>1.905631428187458</v>
      </c>
    </row>
    <row r="652" spans="1:8" x14ac:dyDescent="0.25">
      <c r="A652" s="1">
        <v>44874</v>
      </c>
      <c r="B652" s="8">
        <v>3828.11</v>
      </c>
      <c r="C652" s="2">
        <v>285.60000000000002</v>
      </c>
      <c r="E652" s="8">
        <f t="shared" si="30"/>
        <v>-79.539999999999964</v>
      </c>
      <c r="F652" s="8">
        <f t="shared" si="31"/>
        <v>8.5999999999999659</v>
      </c>
      <c r="H652" s="12">
        <f t="shared" si="32"/>
        <v>1.8879908941094306</v>
      </c>
    </row>
    <row r="653" spans="1:8" x14ac:dyDescent="0.25">
      <c r="A653" s="1">
        <v>44875</v>
      </c>
      <c r="B653" s="8">
        <v>3748.57</v>
      </c>
      <c r="C653" s="2">
        <v>294.2</v>
      </c>
      <c r="E653" s="8">
        <f t="shared" si="30"/>
        <v>207.79999999999973</v>
      </c>
      <c r="F653" s="8">
        <f t="shared" si="31"/>
        <v>-16</v>
      </c>
      <c r="H653" s="12">
        <f t="shared" si="32"/>
        <v>1.889698858505183</v>
      </c>
    </row>
    <row r="654" spans="1:8" x14ac:dyDescent="0.25">
      <c r="A654" s="1">
        <v>44876</v>
      </c>
      <c r="B654" s="8">
        <v>3956.37</v>
      </c>
      <c r="C654" s="2">
        <v>278.2</v>
      </c>
      <c r="E654" s="8">
        <f t="shared" si="30"/>
        <v>36.559999999999945</v>
      </c>
      <c r="F654" s="8">
        <f t="shared" si="31"/>
        <v>-3.1999999999999886</v>
      </c>
      <c r="H654" s="12">
        <f t="shared" si="32"/>
        <v>1.8511115201897437</v>
      </c>
    </row>
    <row r="655" spans="1:8" x14ac:dyDescent="0.25">
      <c r="A655" s="1">
        <v>44879</v>
      </c>
      <c r="B655" s="8">
        <v>3992.93</v>
      </c>
      <c r="C655" s="2">
        <v>275</v>
      </c>
      <c r="E655" s="8">
        <f t="shared" si="30"/>
        <v>-35.679999999999836</v>
      </c>
      <c r="F655" s="8">
        <f t="shared" si="31"/>
        <v>-0.19999999999998863</v>
      </c>
      <c r="H655" s="12">
        <f t="shared" si="32"/>
        <v>1.8717194534847756</v>
      </c>
    </row>
    <row r="656" spans="1:8" x14ac:dyDescent="0.25">
      <c r="A656" s="1">
        <v>44880</v>
      </c>
      <c r="B656" s="8">
        <v>3957.25</v>
      </c>
      <c r="C656" s="2">
        <v>274.8</v>
      </c>
      <c r="E656" s="8">
        <f t="shared" si="30"/>
        <v>34.480000000000018</v>
      </c>
      <c r="F656" s="8">
        <f t="shared" si="31"/>
        <v>3.1999999999999886</v>
      </c>
      <c r="H656" s="12">
        <f t="shared" si="32"/>
        <v>1.9016256620418832</v>
      </c>
    </row>
    <row r="657" spans="1:8" x14ac:dyDescent="0.25">
      <c r="A657" s="1">
        <v>44881</v>
      </c>
      <c r="B657" s="8">
        <v>3991.73</v>
      </c>
      <c r="C657" s="2">
        <v>278</v>
      </c>
      <c r="E657" s="8">
        <f t="shared" si="30"/>
        <v>-32.940000000000055</v>
      </c>
      <c r="F657" s="8">
        <f t="shared" si="31"/>
        <v>-7.1999999999999886</v>
      </c>
      <c r="H657" s="12">
        <f t="shared" si="32"/>
        <v>1.9109721261648434</v>
      </c>
    </row>
    <row r="658" spans="1:8" x14ac:dyDescent="0.25">
      <c r="A658" s="1">
        <v>44882</v>
      </c>
      <c r="B658" s="8">
        <v>3958.79</v>
      </c>
      <c r="C658" s="2">
        <v>270.8</v>
      </c>
      <c r="E658" s="8">
        <f t="shared" si="30"/>
        <v>-12.230000000000018</v>
      </c>
      <c r="F658" s="8">
        <f t="shared" si="31"/>
        <v>-2.4000000000000341</v>
      </c>
      <c r="H658" s="12">
        <f t="shared" si="32"/>
        <v>1.9184237586577293</v>
      </c>
    </row>
    <row r="659" spans="1:8" x14ac:dyDescent="0.25">
      <c r="A659" s="1">
        <v>44883</v>
      </c>
      <c r="B659" s="8">
        <v>3946.56</v>
      </c>
      <c r="C659" s="2">
        <v>268.39999999999998</v>
      </c>
      <c r="E659" s="8">
        <f t="shared" si="30"/>
        <v>18.7800000000002</v>
      </c>
      <c r="F659" s="8">
        <f t="shared" si="31"/>
        <v>-2.7999999999999545</v>
      </c>
      <c r="H659" s="12">
        <f t="shared" si="32"/>
        <v>1.9299534523027666</v>
      </c>
    </row>
    <row r="660" spans="1:8" x14ac:dyDescent="0.25">
      <c r="A660" s="1">
        <v>44886</v>
      </c>
      <c r="B660" s="8">
        <v>3965.34</v>
      </c>
      <c r="C660" s="2">
        <v>265.60000000000002</v>
      </c>
      <c r="E660" s="8">
        <f t="shared" si="30"/>
        <v>-15.400000000000091</v>
      </c>
      <c r="F660" s="8">
        <f t="shared" si="31"/>
        <v>-7</v>
      </c>
      <c r="H660" s="12">
        <f t="shared" si="32"/>
        <v>1.9355174178984353</v>
      </c>
    </row>
    <row r="661" spans="1:8" x14ac:dyDescent="0.25">
      <c r="A661" s="1">
        <v>44887</v>
      </c>
      <c r="B661" s="8">
        <v>3949.94</v>
      </c>
      <c r="C661" s="2">
        <v>258.60000000000002</v>
      </c>
      <c r="E661" s="8">
        <f t="shared" si="30"/>
        <v>53.639999999999873</v>
      </c>
      <c r="F661" s="8">
        <f t="shared" si="31"/>
        <v>-9.0000000000000284</v>
      </c>
      <c r="H661" s="12">
        <f t="shared" si="32"/>
        <v>1.947100038168925</v>
      </c>
    </row>
    <row r="662" spans="1:8" x14ac:dyDescent="0.25">
      <c r="A662" s="1">
        <v>44888</v>
      </c>
      <c r="B662" s="8">
        <v>4003.58</v>
      </c>
      <c r="C662" s="2">
        <v>249.6</v>
      </c>
      <c r="E662" s="8">
        <f t="shared" si="30"/>
        <v>23.680000000000291</v>
      </c>
      <c r="F662" s="8">
        <f t="shared" si="31"/>
        <v>-5.4000000000000057</v>
      </c>
      <c r="H662" s="12">
        <f t="shared" si="32"/>
        <v>1.9471903266758976</v>
      </c>
    </row>
    <row r="663" spans="1:8" x14ac:dyDescent="0.25">
      <c r="A663" s="1">
        <v>44890</v>
      </c>
      <c r="B663" s="8">
        <v>4027.26</v>
      </c>
      <c r="C663" s="2">
        <v>244.2</v>
      </c>
      <c r="E663" s="8">
        <f t="shared" si="30"/>
        <v>-1.1400000000003274</v>
      </c>
      <c r="F663" s="8">
        <f t="shared" si="31"/>
        <v>1</v>
      </c>
      <c r="H663" s="12">
        <f t="shared" si="32"/>
        <v>1.9417265535757453</v>
      </c>
    </row>
    <row r="664" spans="1:8" x14ac:dyDescent="0.25">
      <c r="A664" s="1">
        <v>44893</v>
      </c>
      <c r="B664" s="8">
        <v>4026.12</v>
      </c>
      <c r="C664" s="2">
        <v>245.2</v>
      </c>
      <c r="E664" s="8">
        <f t="shared" si="30"/>
        <v>-62.179999999999836</v>
      </c>
      <c r="F664" s="8">
        <f t="shared" si="31"/>
        <v>9</v>
      </c>
      <c r="H664" s="12">
        <f t="shared" si="32"/>
        <v>1.9303417871761084</v>
      </c>
    </row>
    <row r="665" spans="1:8" x14ac:dyDescent="0.25">
      <c r="A665" s="1">
        <v>44894</v>
      </c>
      <c r="B665" s="8">
        <v>3963.94</v>
      </c>
      <c r="C665" s="2">
        <v>254.2</v>
      </c>
      <c r="E665" s="8">
        <f t="shared" si="30"/>
        <v>-6.3099999999999454</v>
      </c>
      <c r="F665" s="8">
        <f t="shared" si="31"/>
        <v>-3.3999999999999773</v>
      </c>
      <c r="H665" s="12">
        <f t="shared" si="32"/>
        <v>1.9210559890498664</v>
      </c>
    </row>
    <row r="666" spans="1:8" x14ac:dyDescent="0.25">
      <c r="A666" s="1">
        <v>44895</v>
      </c>
      <c r="B666" s="8">
        <v>3957.63</v>
      </c>
      <c r="C666" s="2">
        <v>250.8</v>
      </c>
      <c r="E666" s="8">
        <f t="shared" si="30"/>
        <v>122.48000000000002</v>
      </c>
      <c r="F666" s="8">
        <f t="shared" si="31"/>
        <v>-9.6000000000000227</v>
      </c>
      <c r="H666" s="12">
        <f t="shared" si="32"/>
        <v>1.9233534763750464</v>
      </c>
    </row>
    <row r="667" spans="1:8" x14ac:dyDescent="0.25">
      <c r="A667" s="1">
        <v>44896</v>
      </c>
      <c r="B667" s="8">
        <v>4080.11</v>
      </c>
      <c r="C667" s="2">
        <v>241.2</v>
      </c>
      <c r="E667" s="8">
        <f t="shared" si="30"/>
        <v>-3.5399999999999636</v>
      </c>
      <c r="F667" s="8">
        <f t="shared" si="31"/>
        <v>-4</v>
      </c>
      <c r="H667" s="12">
        <f t="shared" si="32"/>
        <v>1.9285347562052995</v>
      </c>
    </row>
    <row r="668" spans="1:8" x14ac:dyDescent="0.25">
      <c r="A668" s="1">
        <v>44897</v>
      </c>
      <c r="B668" s="8">
        <v>4076.57</v>
      </c>
      <c r="C668" s="2">
        <v>237.2</v>
      </c>
      <c r="E668" s="8">
        <f t="shared" si="30"/>
        <v>-4.8700000000003456</v>
      </c>
      <c r="F668" s="8">
        <f t="shared" si="31"/>
        <v>-4.7999999999999829</v>
      </c>
      <c r="H668" s="12">
        <f t="shared" si="32"/>
        <v>1.9063766126084107</v>
      </c>
    </row>
    <row r="669" spans="1:8" x14ac:dyDescent="0.25">
      <c r="A669" s="1">
        <v>44900</v>
      </c>
      <c r="B669" s="8">
        <v>4071.7</v>
      </c>
      <c r="C669" s="2">
        <v>232.4</v>
      </c>
      <c r="E669" s="8">
        <f t="shared" si="30"/>
        <v>-72.859999999999673</v>
      </c>
      <c r="F669" s="8">
        <f t="shared" si="31"/>
        <v>4.5999999999999943</v>
      </c>
      <c r="H669" s="12">
        <f t="shared" si="32"/>
        <v>1.8747646941754759</v>
      </c>
    </row>
    <row r="670" spans="1:8" x14ac:dyDescent="0.25">
      <c r="A670" s="1">
        <v>44901</v>
      </c>
      <c r="B670" s="8">
        <v>3998.84</v>
      </c>
      <c r="C670" s="2">
        <v>237</v>
      </c>
      <c r="E670" s="8">
        <f t="shared" si="30"/>
        <v>-57.579999999999927</v>
      </c>
      <c r="F670" s="8">
        <f t="shared" si="31"/>
        <v>6.5999999999999943</v>
      </c>
      <c r="H670" s="12">
        <f t="shared" si="32"/>
        <v>1.8371570736948972</v>
      </c>
    </row>
    <row r="671" spans="1:8" x14ac:dyDescent="0.25">
      <c r="A671" s="1">
        <v>44902</v>
      </c>
      <c r="B671" s="8">
        <v>3941.26</v>
      </c>
      <c r="C671" s="2">
        <v>243.6</v>
      </c>
      <c r="E671" s="8">
        <f t="shared" si="30"/>
        <v>-7.3400000000001455</v>
      </c>
      <c r="F671" s="8">
        <f t="shared" si="31"/>
        <v>3.4000000000000057</v>
      </c>
      <c r="H671" s="12">
        <f t="shared" si="32"/>
        <v>1.8305415809525925</v>
      </c>
    </row>
    <row r="672" spans="1:8" x14ac:dyDescent="0.25">
      <c r="A672" s="1">
        <v>44903</v>
      </c>
      <c r="B672" s="8">
        <v>3933.92</v>
      </c>
      <c r="C672" s="2">
        <v>247</v>
      </c>
      <c r="E672" s="8">
        <f t="shared" si="30"/>
        <v>29.590000000000146</v>
      </c>
      <c r="F672" s="8">
        <f t="shared" si="31"/>
        <v>-4.8000000000000114</v>
      </c>
      <c r="H672" s="12">
        <f t="shared" si="32"/>
        <v>1.8484494290479947</v>
      </c>
    </row>
    <row r="673" spans="1:8" x14ac:dyDescent="0.25">
      <c r="A673" s="1">
        <v>44904</v>
      </c>
      <c r="B673" s="8">
        <v>3963.51</v>
      </c>
      <c r="C673" s="2">
        <v>242.2</v>
      </c>
      <c r="E673" s="8">
        <f t="shared" si="30"/>
        <v>-29.130000000000109</v>
      </c>
      <c r="F673" s="8">
        <f t="shared" si="31"/>
        <v>5.6000000000000227</v>
      </c>
      <c r="H673" s="12">
        <f t="shared" si="32"/>
        <v>1.8642302126006658</v>
      </c>
    </row>
    <row r="674" spans="1:8" x14ac:dyDescent="0.25">
      <c r="A674" s="1">
        <v>44907</v>
      </c>
      <c r="B674" s="8">
        <v>3934.38</v>
      </c>
      <c r="C674" s="2">
        <v>247.8</v>
      </c>
      <c r="E674" s="8">
        <f t="shared" si="30"/>
        <v>56.179999999999836</v>
      </c>
      <c r="F674" s="8">
        <f t="shared" si="31"/>
        <v>-1.6000000000000227</v>
      </c>
      <c r="H674" s="12">
        <f t="shared" si="32"/>
        <v>1.8752953207275704</v>
      </c>
    </row>
    <row r="675" spans="1:8" x14ac:dyDescent="0.25">
      <c r="A675" s="1">
        <v>44908</v>
      </c>
      <c r="B675" s="8">
        <v>3990.56</v>
      </c>
      <c r="C675" s="2">
        <v>246.2</v>
      </c>
      <c r="E675" s="8">
        <f t="shared" si="30"/>
        <v>29.090000000000146</v>
      </c>
      <c r="F675" s="8">
        <f t="shared" si="31"/>
        <v>-10.199999999999989</v>
      </c>
      <c r="H675" s="12">
        <f t="shared" si="32"/>
        <v>1.9009738107296119</v>
      </c>
    </row>
    <row r="676" spans="1:8" x14ac:dyDescent="0.25">
      <c r="A676" s="1">
        <v>44909</v>
      </c>
      <c r="B676" s="8">
        <v>4019.65</v>
      </c>
      <c r="C676" s="2">
        <v>236</v>
      </c>
      <c r="E676" s="8">
        <f t="shared" si="30"/>
        <v>-24.329999999999927</v>
      </c>
      <c r="F676" s="8">
        <f t="shared" si="31"/>
        <v>-8.8000000000000114</v>
      </c>
      <c r="H676" s="12">
        <f t="shared" si="32"/>
        <v>1.9206962647917538</v>
      </c>
    </row>
    <row r="677" spans="1:8" x14ac:dyDescent="0.25">
      <c r="A677" s="1">
        <v>44910</v>
      </c>
      <c r="B677" s="8">
        <v>3995.32</v>
      </c>
      <c r="C677" s="2">
        <v>227.2</v>
      </c>
      <c r="E677" s="8">
        <f t="shared" si="30"/>
        <v>-99.570000000000164</v>
      </c>
      <c r="F677" s="8">
        <f t="shared" si="31"/>
        <v>14.600000000000023</v>
      </c>
      <c r="H677" s="12">
        <f t="shared" si="32"/>
        <v>1.9203026049556089</v>
      </c>
    </row>
    <row r="678" spans="1:8" x14ac:dyDescent="0.25">
      <c r="A678" s="1">
        <v>44911</v>
      </c>
      <c r="B678" s="8">
        <v>3895.75</v>
      </c>
      <c r="C678" s="2">
        <v>241.8</v>
      </c>
      <c r="E678" s="8">
        <f t="shared" si="30"/>
        <v>-43.389999999999873</v>
      </c>
      <c r="F678" s="8">
        <f t="shared" si="31"/>
        <v>1.3999999999999773</v>
      </c>
      <c r="H678" s="12">
        <f t="shared" si="32"/>
        <v>1.9391226570386486</v>
      </c>
    </row>
    <row r="679" spans="1:8" x14ac:dyDescent="0.25">
      <c r="A679" s="1">
        <v>44914</v>
      </c>
      <c r="B679" s="8">
        <v>3852.36</v>
      </c>
      <c r="C679" s="2">
        <v>243.2</v>
      </c>
      <c r="E679" s="8">
        <f t="shared" si="30"/>
        <v>-34.700000000000273</v>
      </c>
      <c r="F679" s="8">
        <f t="shared" si="31"/>
        <v>-6.3999999999999773</v>
      </c>
      <c r="H679" s="12">
        <f t="shared" si="32"/>
        <v>1.9721959545954932</v>
      </c>
    </row>
    <row r="680" spans="1:8" x14ac:dyDescent="0.25">
      <c r="A680" s="1">
        <v>44915</v>
      </c>
      <c r="B680" s="8">
        <v>3817.66</v>
      </c>
      <c r="C680" s="2">
        <v>236.8</v>
      </c>
      <c r="E680" s="8">
        <f t="shared" si="30"/>
        <v>3.9600000000000364</v>
      </c>
      <c r="F680" s="8">
        <f t="shared" si="31"/>
        <v>-2</v>
      </c>
      <c r="H680" s="12">
        <f t="shared" si="32"/>
        <v>2.0129160065633318</v>
      </c>
    </row>
    <row r="681" spans="1:8" x14ac:dyDescent="0.25">
      <c r="A681" s="1">
        <v>44916</v>
      </c>
      <c r="B681" s="8">
        <v>3821.62</v>
      </c>
      <c r="C681" s="2">
        <v>234.8</v>
      </c>
      <c r="E681" s="8">
        <f t="shared" si="30"/>
        <v>56.820000000000164</v>
      </c>
      <c r="F681" s="8">
        <f t="shared" si="31"/>
        <v>-8.4000000000000057</v>
      </c>
      <c r="H681" s="12">
        <f t="shared" si="32"/>
        <v>2.0277580854565489</v>
      </c>
    </row>
    <row r="682" spans="1:8" x14ac:dyDescent="0.25">
      <c r="A682" s="1">
        <v>44917</v>
      </c>
      <c r="B682" s="8">
        <v>3878.44</v>
      </c>
      <c r="C682" s="2">
        <v>226.4</v>
      </c>
      <c r="E682" s="8">
        <f t="shared" si="30"/>
        <v>-56.050000000000182</v>
      </c>
      <c r="F682" s="8">
        <f t="shared" si="31"/>
        <v>11.799999999999983</v>
      </c>
      <c r="H682" s="12">
        <f t="shared" si="32"/>
        <v>2.0333830392627714</v>
      </c>
    </row>
    <row r="683" spans="1:8" x14ac:dyDescent="0.25">
      <c r="A683" s="1">
        <v>44918</v>
      </c>
      <c r="B683" s="8">
        <v>3822.39</v>
      </c>
      <c r="C683" s="2">
        <v>238.2</v>
      </c>
      <c r="E683" s="8">
        <f t="shared" si="30"/>
        <v>22.430000000000291</v>
      </c>
      <c r="F683" s="8">
        <f t="shared" si="31"/>
        <v>-6.5999999999999943</v>
      </c>
      <c r="H683" s="12">
        <f t="shared" si="32"/>
        <v>2.0535374252613767</v>
      </c>
    </row>
    <row r="684" spans="1:8" x14ac:dyDescent="0.25">
      <c r="A684" s="1">
        <v>44922</v>
      </c>
      <c r="B684" s="8">
        <v>3844.82</v>
      </c>
      <c r="C684" s="2">
        <v>231.6</v>
      </c>
      <c r="E684" s="8">
        <f t="shared" si="30"/>
        <v>-15.570000000000164</v>
      </c>
      <c r="F684" s="8">
        <f t="shared" si="31"/>
        <v>0.20000000000001705</v>
      </c>
      <c r="H684" s="12">
        <f t="shared" si="32"/>
        <v>2.0538921398183949</v>
      </c>
    </row>
    <row r="685" spans="1:8" x14ac:dyDescent="0.25">
      <c r="A685" s="1">
        <v>44923</v>
      </c>
      <c r="B685" s="8">
        <v>3829.25</v>
      </c>
      <c r="C685" s="2">
        <v>231.8</v>
      </c>
      <c r="E685" s="8">
        <f t="shared" si="30"/>
        <v>-46.0300000000002</v>
      </c>
      <c r="F685" s="8">
        <f t="shared" si="31"/>
        <v>-0.20000000000001705</v>
      </c>
      <c r="H685" s="12">
        <f t="shared" si="32"/>
        <v>2.0501211735774532</v>
      </c>
    </row>
    <row r="686" spans="1:8" x14ac:dyDescent="0.25">
      <c r="A686" s="1">
        <v>44924</v>
      </c>
      <c r="B686" s="8">
        <v>3783.22</v>
      </c>
      <c r="C686" s="2">
        <v>231.6</v>
      </c>
      <c r="E686" s="8">
        <f t="shared" si="30"/>
        <v>66.0600000000004</v>
      </c>
      <c r="F686" s="8">
        <f t="shared" si="31"/>
        <v>-3</v>
      </c>
      <c r="H686" s="12">
        <f t="shared" si="32"/>
        <v>2.0424976197467943</v>
      </c>
    </row>
    <row r="687" spans="1:8" x14ac:dyDescent="0.25">
      <c r="A687" s="1">
        <v>44925</v>
      </c>
      <c r="B687" s="8">
        <v>3849.28</v>
      </c>
      <c r="C687" s="2">
        <v>228.6</v>
      </c>
      <c r="E687" s="8">
        <f t="shared" si="30"/>
        <v>-9.7800000000002001</v>
      </c>
      <c r="F687" s="8">
        <f t="shared" si="31"/>
        <v>-1</v>
      </c>
      <c r="H687" s="12">
        <f t="shared" si="32"/>
        <v>2.0275961010620964</v>
      </c>
    </row>
    <row r="688" spans="1:8" x14ac:dyDescent="0.25">
      <c r="A688" s="1">
        <v>44929</v>
      </c>
      <c r="B688" s="8">
        <v>3839.5</v>
      </c>
      <c r="C688" s="2">
        <v>227.6</v>
      </c>
      <c r="E688" s="8">
        <f t="shared" si="30"/>
        <v>-15.360000000000127</v>
      </c>
      <c r="F688" s="8">
        <f t="shared" si="31"/>
        <v>-1</v>
      </c>
      <c r="H688" s="12">
        <f t="shared" si="32"/>
        <v>2.0228745215179917</v>
      </c>
    </row>
    <row r="689" spans="1:8" x14ac:dyDescent="0.25">
      <c r="A689" s="1">
        <v>44930</v>
      </c>
      <c r="B689" s="8">
        <v>3824.14</v>
      </c>
      <c r="C689" s="2">
        <v>226.6</v>
      </c>
      <c r="E689" s="8">
        <f t="shared" si="30"/>
        <v>28.829999999999927</v>
      </c>
      <c r="F689" s="8">
        <f t="shared" si="31"/>
        <v>-6.7999999999999829</v>
      </c>
      <c r="H689" s="12">
        <f t="shared" si="32"/>
        <v>2.0141761649882035</v>
      </c>
    </row>
    <row r="690" spans="1:8" x14ac:dyDescent="0.25">
      <c r="A690" s="1">
        <v>44931</v>
      </c>
      <c r="B690" s="8">
        <v>3852.97</v>
      </c>
      <c r="C690" s="2">
        <v>219.8</v>
      </c>
      <c r="E690" s="8">
        <f t="shared" si="30"/>
        <v>-44.869999999999891</v>
      </c>
      <c r="F690" s="8">
        <f t="shared" si="31"/>
        <v>1.7999999999999829</v>
      </c>
      <c r="H690" s="12">
        <f t="shared" si="32"/>
        <v>1.9892105788362384</v>
      </c>
    </row>
    <row r="691" spans="1:8" x14ac:dyDescent="0.25">
      <c r="A691" s="1">
        <v>44932</v>
      </c>
      <c r="B691" s="8">
        <v>3808.1</v>
      </c>
      <c r="C691" s="2">
        <v>221.6</v>
      </c>
      <c r="E691" s="8">
        <f t="shared" si="30"/>
        <v>86.980000000000018</v>
      </c>
      <c r="F691" s="8">
        <f t="shared" si="31"/>
        <v>-5.1999999999999886</v>
      </c>
      <c r="H691" s="12">
        <f t="shared" si="32"/>
        <v>1.965795085660498</v>
      </c>
    </row>
    <row r="692" spans="1:8" x14ac:dyDescent="0.25">
      <c r="A692" s="1">
        <v>44935</v>
      </c>
      <c r="B692" s="8">
        <v>3895.08</v>
      </c>
      <c r="C692" s="2">
        <v>216.4</v>
      </c>
      <c r="E692" s="8">
        <f t="shared" si="30"/>
        <v>-2.9899999999997817</v>
      </c>
      <c r="F692" s="8">
        <f t="shared" si="31"/>
        <v>1.1999999999999886</v>
      </c>
      <c r="H692" s="12">
        <f t="shared" si="32"/>
        <v>1.9185993340356997</v>
      </c>
    </row>
    <row r="693" spans="1:8" x14ac:dyDescent="0.25">
      <c r="A693" s="1">
        <v>44936</v>
      </c>
      <c r="B693" s="8">
        <v>3892.09</v>
      </c>
      <c r="C693" s="2">
        <v>217.6</v>
      </c>
      <c r="E693" s="8">
        <f t="shared" si="30"/>
        <v>27.159999999999854</v>
      </c>
      <c r="F693" s="8">
        <f t="shared" si="31"/>
        <v>-9.1999999999999886</v>
      </c>
      <c r="H693" s="12">
        <f t="shared" si="32"/>
        <v>1.8979002131376981</v>
      </c>
    </row>
    <row r="694" spans="1:8" x14ac:dyDescent="0.25">
      <c r="A694" s="1">
        <v>44937</v>
      </c>
      <c r="B694" s="8">
        <v>3919.25</v>
      </c>
      <c r="C694" s="2">
        <v>208.4</v>
      </c>
      <c r="E694" s="8">
        <f t="shared" si="30"/>
        <v>50.360000000000127</v>
      </c>
      <c r="F694" s="8">
        <f t="shared" si="31"/>
        <v>1.1999999999999886</v>
      </c>
      <c r="H694" s="12">
        <f t="shared" si="32"/>
        <v>1.8705657187087228</v>
      </c>
    </row>
    <row r="695" spans="1:8" x14ac:dyDescent="0.25">
      <c r="A695" s="1">
        <v>44938</v>
      </c>
      <c r="B695" s="8">
        <v>3969.61</v>
      </c>
      <c r="C695" s="2">
        <v>209.6</v>
      </c>
      <c r="E695" s="8">
        <f t="shared" si="30"/>
        <v>13.559999999999945</v>
      </c>
      <c r="F695" s="8">
        <f t="shared" si="31"/>
        <v>-10.400000000000006</v>
      </c>
      <c r="H695" s="12">
        <f t="shared" si="32"/>
        <v>1.8564806324379535</v>
      </c>
    </row>
    <row r="696" spans="1:8" x14ac:dyDescent="0.25">
      <c r="A696" s="1">
        <v>44939</v>
      </c>
      <c r="B696" s="8">
        <v>3983.17</v>
      </c>
      <c r="C696" s="2">
        <v>199.2</v>
      </c>
      <c r="E696" s="8">
        <f t="shared" si="30"/>
        <v>15.920000000000073</v>
      </c>
      <c r="F696" s="8">
        <f t="shared" si="31"/>
        <v>-4.7999999999999829</v>
      </c>
      <c r="H696" s="12">
        <f t="shared" si="32"/>
        <v>1.8538833094444098</v>
      </c>
    </row>
    <row r="697" spans="1:8" x14ac:dyDescent="0.25">
      <c r="A697" s="1">
        <v>44943</v>
      </c>
      <c r="B697" s="8">
        <v>3999.09</v>
      </c>
      <c r="C697" s="2">
        <v>194.4</v>
      </c>
      <c r="E697" s="8">
        <f t="shared" si="30"/>
        <v>-8.1200000000003456</v>
      </c>
      <c r="F697" s="8">
        <f t="shared" si="31"/>
        <v>1.5999999999999943</v>
      </c>
      <c r="H697" s="12">
        <f t="shared" si="32"/>
        <v>1.8565341649756371</v>
      </c>
    </row>
    <row r="698" spans="1:8" x14ac:dyDescent="0.25">
      <c r="A698" s="1">
        <v>44944</v>
      </c>
      <c r="B698" s="8">
        <v>3990.97</v>
      </c>
      <c r="C698" s="2">
        <v>196</v>
      </c>
      <c r="E698" s="8">
        <f t="shared" si="30"/>
        <v>-62.109999999999673</v>
      </c>
      <c r="F698" s="8">
        <f t="shared" si="31"/>
        <v>6.5999999999999943</v>
      </c>
      <c r="H698" s="12">
        <f t="shared" si="32"/>
        <v>1.8660329791016275</v>
      </c>
    </row>
    <row r="699" spans="1:8" x14ac:dyDescent="0.25">
      <c r="A699" s="1">
        <v>44945</v>
      </c>
      <c r="B699" s="8">
        <v>3928.86</v>
      </c>
      <c r="C699" s="2">
        <v>202.6</v>
      </c>
      <c r="E699" s="8">
        <f t="shared" si="30"/>
        <v>-30.010000000000218</v>
      </c>
      <c r="F699" s="8">
        <f t="shared" si="31"/>
        <v>1</v>
      </c>
      <c r="H699" s="12">
        <f t="shared" si="32"/>
        <v>1.867605832722725</v>
      </c>
    </row>
    <row r="700" spans="1:8" x14ac:dyDescent="0.25">
      <c r="A700" s="1">
        <v>44946</v>
      </c>
      <c r="B700" s="8">
        <v>3898.85</v>
      </c>
      <c r="C700" s="2">
        <v>203.6</v>
      </c>
      <c r="E700" s="8">
        <f t="shared" si="30"/>
        <v>73.760000000000218</v>
      </c>
      <c r="F700" s="8">
        <f t="shared" si="31"/>
        <v>-7</v>
      </c>
      <c r="H700" s="12">
        <f t="shared" si="32"/>
        <v>1.8474852901494785</v>
      </c>
    </row>
    <row r="701" spans="1:8" x14ac:dyDescent="0.25">
      <c r="A701" s="1">
        <v>44949</v>
      </c>
      <c r="B701" s="8">
        <v>3972.61</v>
      </c>
      <c r="C701" s="2">
        <v>196.6</v>
      </c>
      <c r="E701" s="8">
        <f t="shared" si="30"/>
        <v>47.199999999999818</v>
      </c>
      <c r="F701" s="8">
        <f t="shared" si="31"/>
        <v>-2</v>
      </c>
      <c r="H701" s="12">
        <f t="shared" si="32"/>
        <v>1.8098227633527504</v>
      </c>
    </row>
    <row r="702" spans="1:8" x14ac:dyDescent="0.25">
      <c r="A702" s="1">
        <v>44950</v>
      </c>
      <c r="B702" s="8">
        <v>4019.81</v>
      </c>
      <c r="C702" s="2">
        <v>194.6</v>
      </c>
      <c r="E702" s="8">
        <f t="shared" si="30"/>
        <v>-2.8600000000001273</v>
      </c>
      <c r="F702" s="8">
        <f t="shared" si="31"/>
        <v>-6.7999999999999829</v>
      </c>
      <c r="H702" s="12">
        <f t="shared" si="32"/>
        <v>1.8061575884025611</v>
      </c>
    </row>
    <row r="703" spans="1:8" x14ac:dyDescent="0.25">
      <c r="A703" s="1">
        <v>44951</v>
      </c>
      <c r="B703" s="8">
        <v>4016.95</v>
      </c>
      <c r="C703" s="2">
        <v>187.8</v>
      </c>
      <c r="E703" s="8">
        <f t="shared" si="30"/>
        <v>-0.73000000000001819</v>
      </c>
      <c r="F703" s="8">
        <f t="shared" si="31"/>
        <v>-0.30000000000001137</v>
      </c>
      <c r="H703" s="12">
        <f t="shared" si="32"/>
        <v>1.8110362368570887</v>
      </c>
    </row>
    <row r="704" spans="1:8" x14ac:dyDescent="0.25">
      <c r="A704" s="1">
        <v>44952</v>
      </c>
      <c r="B704" s="8">
        <v>4016.22</v>
      </c>
      <c r="C704" s="2">
        <v>187.5</v>
      </c>
      <c r="E704" s="8">
        <f t="shared" si="30"/>
        <v>44.210000000000036</v>
      </c>
      <c r="F704" s="8">
        <f t="shared" si="31"/>
        <v>-2.3000000000000114</v>
      </c>
      <c r="H704" s="12">
        <f t="shared" si="32"/>
        <v>1.838317638253661</v>
      </c>
    </row>
    <row r="705" spans="1:8" x14ac:dyDescent="0.25">
      <c r="A705" s="1">
        <v>44953</v>
      </c>
      <c r="B705" s="8">
        <v>4060.43</v>
      </c>
      <c r="C705" s="2">
        <v>185.2</v>
      </c>
      <c r="E705" s="8">
        <f t="shared" si="30"/>
        <v>10.130000000000109</v>
      </c>
      <c r="F705" s="8">
        <f t="shared" si="31"/>
        <v>-3.1999999999999886</v>
      </c>
      <c r="H705" s="12">
        <f t="shared" si="32"/>
        <v>1.8844788682710314</v>
      </c>
    </row>
    <row r="706" spans="1:8" x14ac:dyDescent="0.25">
      <c r="A706" s="1">
        <v>44956</v>
      </c>
      <c r="B706" s="8">
        <v>4070.56</v>
      </c>
      <c r="C706" s="2">
        <v>182</v>
      </c>
      <c r="E706" s="8">
        <f t="shared" si="30"/>
        <v>-52.789999999999964</v>
      </c>
      <c r="F706" s="8">
        <f t="shared" si="31"/>
        <v>5.1999999999999886</v>
      </c>
      <c r="H706" s="12">
        <f t="shared" si="32"/>
        <v>1.9235830988809619</v>
      </c>
    </row>
    <row r="707" spans="1:8" x14ac:dyDescent="0.25">
      <c r="A707" s="1">
        <v>44957</v>
      </c>
      <c r="B707" s="8">
        <v>4017.77</v>
      </c>
      <c r="C707" s="2">
        <v>187.2</v>
      </c>
      <c r="E707" s="8">
        <f t="shared" ref="E707:E770" si="33">B708-B707</f>
        <v>58.829999999999927</v>
      </c>
      <c r="F707" s="8">
        <f t="shared" ref="F707:F770" si="34">C708-C707</f>
        <v>-4.1999999999999886</v>
      </c>
      <c r="H707" s="12">
        <f t="shared" ref="H707:H770" si="35">LOG(_xlfn.STDEV.P(B707:B737))</f>
        <v>1.9367947118180247</v>
      </c>
    </row>
    <row r="708" spans="1:8" x14ac:dyDescent="0.25">
      <c r="A708" s="1">
        <v>44958</v>
      </c>
      <c r="B708" s="8">
        <v>4076.6</v>
      </c>
      <c r="C708" s="2">
        <v>183</v>
      </c>
      <c r="E708" s="8">
        <f t="shared" si="33"/>
        <v>42.610000000000127</v>
      </c>
      <c r="F708" s="8">
        <f t="shared" si="34"/>
        <v>-6.4000000000000057</v>
      </c>
      <c r="H708" s="12">
        <f t="shared" si="35"/>
        <v>1.9550648991448183</v>
      </c>
    </row>
    <row r="709" spans="1:8" x14ac:dyDescent="0.25">
      <c r="A709" s="1">
        <v>44959</v>
      </c>
      <c r="B709" s="8">
        <v>4119.21</v>
      </c>
      <c r="C709" s="2">
        <v>176.6</v>
      </c>
      <c r="E709" s="8">
        <f t="shared" si="33"/>
        <v>60.550000000000182</v>
      </c>
      <c r="F709" s="8">
        <f t="shared" si="34"/>
        <v>4.4000000000000057</v>
      </c>
      <c r="H709" s="12">
        <f t="shared" si="35"/>
        <v>1.9577179988048985</v>
      </c>
    </row>
    <row r="710" spans="1:8" x14ac:dyDescent="0.25">
      <c r="A710" s="1">
        <v>44960</v>
      </c>
      <c r="B710" s="8">
        <v>4179.76</v>
      </c>
      <c r="C710" s="2">
        <v>181</v>
      </c>
      <c r="E710" s="8">
        <f t="shared" si="33"/>
        <v>-43.280000000000655</v>
      </c>
      <c r="F710" s="8">
        <f t="shared" si="34"/>
        <v>1.1999999999999886</v>
      </c>
      <c r="H710" s="12">
        <f t="shared" si="35"/>
        <v>1.960693898896791</v>
      </c>
    </row>
    <row r="711" spans="1:8" x14ac:dyDescent="0.25">
      <c r="A711" s="1">
        <v>44963</v>
      </c>
      <c r="B711" s="8">
        <v>4136.4799999999996</v>
      </c>
      <c r="C711" s="2">
        <v>182.2</v>
      </c>
      <c r="E711" s="8">
        <f t="shared" si="33"/>
        <v>-25.399999999999636</v>
      </c>
      <c r="F711" s="8">
        <f t="shared" si="34"/>
        <v>4.8000000000000114</v>
      </c>
      <c r="H711" s="12">
        <f t="shared" si="35"/>
        <v>1.9423152347941253</v>
      </c>
    </row>
    <row r="712" spans="1:8" x14ac:dyDescent="0.25">
      <c r="A712" s="1">
        <v>44964</v>
      </c>
      <c r="B712" s="8">
        <v>4111.08</v>
      </c>
      <c r="C712" s="2">
        <v>187</v>
      </c>
      <c r="E712" s="8">
        <f t="shared" si="33"/>
        <v>52.920000000000073</v>
      </c>
      <c r="F712" s="8">
        <f t="shared" si="34"/>
        <v>-5.8000000000000114</v>
      </c>
      <c r="H712" s="12">
        <f t="shared" si="35"/>
        <v>1.928235222445561</v>
      </c>
    </row>
    <row r="713" spans="1:8" x14ac:dyDescent="0.25">
      <c r="A713" s="1">
        <v>44965</v>
      </c>
      <c r="B713" s="8">
        <v>4164</v>
      </c>
      <c r="C713" s="2">
        <v>181.2</v>
      </c>
      <c r="E713" s="8">
        <f t="shared" si="33"/>
        <v>-46.140000000000327</v>
      </c>
      <c r="F713" s="8">
        <f t="shared" si="34"/>
        <v>7.4000000000000057</v>
      </c>
      <c r="H713" s="12">
        <f t="shared" si="35"/>
        <v>1.92302854764471</v>
      </c>
    </row>
    <row r="714" spans="1:8" x14ac:dyDescent="0.25">
      <c r="A714" s="1">
        <v>44966</v>
      </c>
      <c r="B714" s="8">
        <v>4117.8599999999997</v>
      </c>
      <c r="C714" s="2">
        <v>188.6</v>
      </c>
      <c r="E714" s="8">
        <f t="shared" si="33"/>
        <v>-36.359999999999673</v>
      </c>
      <c r="F714" s="8">
        <f t="shared" si="34"/>
        <v>5.2000000000000171</v>
      </c>
      <c r="H714" s="12">
        <f t="shared" si="35"/>
        <v>1.8985866495193513</v>
      </c>
    </row>
    <row r="715" spans="1:8" x14ac:dyDescent="0.25">
      <c r="A715" s="1">
        <v>44967</v>
      </c>
      <c r="B715" s="8">
        <v>4081.5</v>
      </c>
      <c r="C715" s="2">
        <v>193.8</v>
      </c>
      <c r="E715" s="8">
        <f t="shared" si="33"/>
        <v>8.9600000000000364</v>
      </c>
      <c r="F715" s="8">
        <f t="shared" si="34"/>
        <v>2.5999999999999943</v>
      </c>
      <c r="H715" s="12">
        <f t="shared" si="35"/>
        <v>1.8823446746636934</v>
      </c>
    </row>
    <row r="716" spans="1:8" x14ac:dyDescent="0.25">
      <c r="A716" s="1">
        <v>44970</v>
      </c>
      <c r="B716" s="8">
        <v>4090.46</v>
      </c>
      <c r="C716" s="2">
        <v>196.4</v>
      </c>
      <c r="E716" s="8">
        <f t="shared" si="33"/>
        <v>46.829999999999927</v>
      </c>
      <c r="F716" s="8">
        <f t="shared" si="34"/>
        <v>-7</v>
      </c>
      <c r="H716" s="12">
        <f t="shared" si="35"/>
        <v>1.8729250285360008</v>
      </c>
    </row>
    <row r="717" spans="1:8" x14ac:dyDescent="0.25">
      <c r="A717" s="1">
        <v>44971</v>
      </c>
      <c r="B717" s="8">
        <v>4137.29</v>
      </c>
      <c r="C717" s="2">
        <v>189.4</v>
      </c>
      <c r="E717" s="8">
        <f t="shared" si="33"/>
        <v>-1.1599999999998545</v>
      </c>
      <c r="F717" s="8">
        <f t="shared" si="34"/>
        <v>-7.2000000000000171</v>
      </c>
      <c r="H717" s="12">
        <f t="shared" si="35"/>
        <v>1.8600296337601154</v>
      </c>
    </row>
    <row r="718" spans="1:8" x14ac:dyDescent="0.25">
      <c r="A718" s="1">
        <v>44972</v>
      </c>
      <c r="B718" s="8">
        <v>4136.13</v>
      </c>
      <c r="C718" s="2">
        <v>182.2</v>
      </c>
      <c r="E718" s="8">
        <f t="shared" si="33"/>
        <v>11.470000000000255</v>
      </c>
      <c r="F718" s="8">
        <f t="shared" si="34"/>
        <v>-3.5999999999999943</v>
      </c>
      <c r="H718" s="12">
        <f t="shared" si="35"/>
        <v>1.829610787640134</v>
      </c>
    </row>
    <row r="719" spans="1:8" x14ac:dyDescent="0.25">
      <c r="A719" s="1">
        <v>44973</v>
      </c>
      <c r="B719" s="8">
        <v>4147.6000000000004</v>
      </c>
      <c r="C719" s="2">
        <v>178.6</v>
      </c>
      <c r="E719" s="8">
        <f t="shared" si="33"/>
        <v>-57.190000000000509</v>
      </c>
      <c r="F719" s="8">
        <f t="shared" si="34"/>
        <v>9.4000000000000057</v>
      </c>
      <c r="H719" s="12">
        <f t="shared" si="35"/>
        <v>1.7983367579494085</v>
      </c>
    </row>
    <row r="720" spans="1:8" x14ac:dyDescent="0.25">
      <c r="A720" s="1">
        <v>44974</v>
      </c>
      <c r="B720" s="8">
        <v>4090.41</v>
      </c>
      <c r="C720" s="2">
        <v>188</v>
      </c>
      <c r="E720" s="8">
        <f t="shared" si="33"/>
        <v>-11.319999999999709</v>
      </c>
      <c r="F720" s="8">
        <f t="shared" si="34"/>
        <v>1</v>
      </c>
      <c r="H720" s="12">
        <f t="shared" si="35"/>
        <v>1.7772235173459601</v>
      </c>
    </row>
    <row r="721" spans="1:8" x14ac:dyDescent="0.25">
      <c r="A721" s="1">
        <v>44978</v>
      </c>
      <c r="B721" s="8">
        <v>4079.09</v>
      </c>
      <c r="C721" s="2">
        <v>189</v>
      </c>
      <c r="E721" s="8">
        <f t="shared" si="33"/>
        <v>-81.75</v>
      </c>
      <c r="F721" s="8">
        <f t="shared" si="34"/>
        <v>14.400000000000006</v>
      </c>
      <c r="H721" s="12">
        <f t="shared" si="35"/>
        <v>1.7935522435005029</v>
      </c>
    </row>
    <row r="722" spans="1:8" x14ac:dyDescent="0.25">
      <c r="A722" s="1">
        <v>44979</v>
      </c>
      <c r="B722" s="8">
        <v>3997.34</v>
      </c>
      <c r="C722" s="2">
        <v>203.4</v>
      </c>
      <c r="E722" s="8">
        <f t="shared" si="33"/>
        <v>-6.2899999999999636</v>
      </c>
      <c r="F722" s="8">
        <f t="shared" si="34"/>
        <v>-6.4000000000000057</v>
      </c>
      <c r="H722" s="12">
        <f t="shared" si="35"/>
        <v>1.8018697083172841</v>
      </c>
    </row>
    <row r="723" spans="1:8" x14ac:dyDescent="0.25">
      <c r="A723" s="1">
        <v>44980</v>
      </c>
      <c r="B723" s="8">
        <v>3991.05</v>
      </c>
      <c r="C723" s="2">
        <v>197</v>
      </c>
      <c r="E723" s="8">
        <f t="shared" si="33"/>
        <v>21.269999999999982</v>
      </c>
      <c r="F723" s="8">
        <f t="shared" si="34"/>
        <v>-6.5999999999999943</v>
      </c>
      <c r="H723" s="12">
        <f t="shared" si="35"/>
        <v>1.8207906095700863</v>
      </c>
    </row>
    <row r="724" spans="1:8" x14ac:dyDescent="0.25">
      <c r="A724" s="1">
        <v>44981</v>
      </c>
      <c r="B724" s="8">
        <v>4012.32</v>
      </c>
      <c r="C724" s="2">
        <v>190.4</v>
      </c>
      <c r="E724" s="8">
        <f t="shared" si="33"/>
        <v>-42.2800000000002</v>
      </c>
      <c r="F724" s="8">
        <f t="shared" si="34"/>
        <v>7.1999999999999886</v>
      </c>
      <c r="H724" s="12">
        <f t="shared" si="35"/>
        <v>1.8422005285824765</v>
      </c>
    </row>
    <row r="725" spans="1:8" x14ac:dyDescent="0.25">
      <c r="A725" s="1">
        <v>44984</v>
      </c>
      <c r="B725" s="8">
        <v>3970.04</v>
      </c>
      <c r="C725" s="2">
        <v>197.6</v>
      </c>
      <c r="E725" s="8">
        <f t="shared" si="33"/>
        <v>12.199999999999818</v>
      </c>
      <c r="F725" s="8">
        <f t="shared" si="34"/>
        <v>-7</v>
      </c>
      <c r="H725" s="12">
        <f t="shared" si="35"/>
        <v>1.8612570135275719</v>
      </c>
    </row>
    <row r="726" spans="1:8" x14ac:dyDescent="0.25">
      <c r="A726" s="1">
        <v>44985</v>
      </c>
      <c r="B726" s="8">
        <v>3982.24</v>
      </c>
      <c r="C726" s="2">
        <v>190.6</v>
      </c>
      <c r="E726" s="8">
        <f t="shared" si="33"/>
        <v>-12.089999999999691</v>
      </c>
      <c r="F726" s="8">
        <f t="shared" si="34"/>
        <v>-4.1999999999999886</v>
      </c>
      <c r="H726" s="12">
        <f t="shared" si="35"/>
        <v>1.8775833327650211</v>
      </c>
    </row>
    <row r="727" spans="1:8" x14ac:dyDescent="0.25">
      <c r="A727" s="1">
        <v>44986</v>
      </c>
      <c r="B727" s="8">
        <v>3970.15</v>
      </c>
      <c r="C727" s="2">
        <v>186.4</v>
      </c>
      <c r="E727" s="8">
        <f t="shared" si="33"/>
        <v>-18.760000000000218</v>
      </c>
      <c r="F727" s="8">
        <f t="shared" si="34"/>
        <v>1.1999999999999886</v>
      </c>
      <c r="H727" s="12">
        <f t="shared" si="35"/>
        <v>1.8880210283361132</v>
      </c>
    </row>
    <row r="728" spans="1:8" x14ac:dyDescent="0.25">
      <c r="A728" s="1">
        <v>44987</v>
      </c>
      <c r="B728" s="8">
        <v>3951.39</v>
      </c>
      <c r="C728" s="2">
        <v>187.6</v>
      </c>
      <c r="E728" s="8">
        <f t="shared" si="33"/>
        <v>29.960000000000036</v>
      </c>
      <c r="F728" s="8">
        <f t="shared" si="34"/>
        <v>-6.5999999999999943</v>
      </c>
      <c r="H728" s="12">
        <f t="shared" si="35"/>
        <v>1.9100302110557332</v>
      </c>
    </row>
    <row r="729" spans="1:8" x14ac:dyDescent="0.25">
      <c r="A729" s="1">
        <v>44988</v>
      </c>
      <c r="B729" s="8">
        <v>3981.35</v>
      </c>
      <c r="C729" s="2">
        <v>181</v>
      </c>
      <c r="E729" s="8">
        <f t="shared" si="33"/>
        <v>64.289999999999964</v>
      </c>
      <c r="F729" s="8">
        <f t="shared" si="34"/>
        <v>-5.8000000000000114</v>
      </c>
      <c r="H729" s="12">
        <f t="shared" si="35"/>
        <v>1.9240058576607724</v>
      </c>
    </row>
    <row r="730" spans="1:8" x14ac:dyDescent="0.25">
      <c r="A730" s="1">
        <v>44991</v>
      </c>
      <c r="B730" s="8">
        <v>4045.64</v>
      </c>
      <c r="C730" s="2">
        <v>175.2</v>
      </c>
      <c r="E730" s="8">
        <f t="shared" si="33"/>
        <v>2.7800000000002001</v>
      </c>
      <c r="F730" s="8">
        <f t="shared" si="34"/>
        <v>-1.7999999999999829</v>
      </c>
      <c r="H730" s="12">
        <f t="shared" si="35"/>
        <v>1.9410989000775669</v>
      </c>
    </row>
    <row r="731" spans="1:8" x14ac:dyDescent="0.25">
      <c r="A731" s="1">
        <v>44992</v>
      </c>
      <c r="B731" s="8">
        <v>4048.42</v>
      </c>
      <c r="C731" s="2">
        <v>173.4</v>
      </c>
      <c r="E731" s="8">
        <f t="shared" si="33"/>
        <v>-62.050000000000182</v>
      </c>
      <c r="F731" s="8">
        <f t="shared" si="34"/>
        <v>3.5999999999999943</v>
      </c>
      <c r="H731" s="12">
        <f t="shared" si="35"/>
        <v>1.9569720650957814</v>
      </c>
    </row>
    <row r="732" spans="1:8" x14ac:dyDescent="0.25">
      <c r="A732" s="1">
        <v>44993</v>
      </c>
      <c r="B732" s="8">
        <v>3986.37</v>
      </c>
      <c r="C732" s="2">
        <v>177</v>
      </c>
      <c r="E732" s="8">
        <f t="shared" si="33"/>
        <v>5.6400000000003274</v>
      </c>
      <c r="F732" s="8">
        <f t="shared" si="34"/>
        <v>-3.5999999999999943</v>
      </c>
      <c r="H732" s="12">
        <f t="shared" si="35"/>
        <v>1.970970108721019</v>
      </c>
    </row>
    <row r="733" spans="1:8" x14ac:dyDescent="0.25">
      <c r="A733" s="1">
        <v>44994</v>
      </c>
      <c r="B733" s="8">
        <v>3992.01</v>
      </c>
      <c r="C733" s="2">
        <v>173.4</v>
      </c>
      <c r="E733" s="8">
        <f t="shared" si="33"/>
        <v>-73.690000000000055</v>
      </c>
      <c r="F733" s="8">
        <f t="shared" si="34"/>
        <v>18.799999999999983</v>
      </c>
      <c r="H733" s="12">
        <f t="shared" si="35"/>
        <v>1.9782810385775769</v>
      </c>
    </row>
    <row r="734" spans="1:8" x14ac:dyDescent="0.25">
      <c r="A734" s="1">
        <v>44995</v>
      </c>
      <c r="B734" s="8">
        <v>3918.32</v>
      </c>
      <c r="C734" s="2">
        <v>192.2</v>
      </c>
      <c r="E734" s="8">
        <f t="shared" si="33"/>
        <v>-56.730000000000018</v>
      </c>
      <c r="F734" s="8">
        <f t="shared" si="34"/>
        <v>20.200000000000017</v>
      </c>
      <c r="H734" s="12">
        <f t="shared" si="35"/>
        <v>1.9852800831905451</v>
      </c>
    </row>
    <row r="735" spans="1:8" x14ac:dyDescent="0.25">
      <c r="A735" s="1">
        <v>44998</v>
      </c>
      <c r="B735" s="8">
        <v>3861.59</v>
      </c>
      <c r="C735" s="2">
        <v>212.4</v>
      </c>
      <c r="E735" s="8">
        <f t="shared" si="33"/>
        <v>-5.8299999999999272</v>
      </c>
      <c r="F735" s="8">
        <f t="shared" si="34"/>
        <v>6.5999999999999943</v>
      </c>
      <c r="H735" s="12">
        <f t="shared" si="35"/>
        <v>1.9824978661559345</v>
      </c>
    </row>
    <row r="736" spans="1:8" x14ac:dyDescent="0.25">
      <c r="A736" s="1">
        <v>44999</v>
      </c>
      <c r="B736" s="8">
        <v>3855.76</v>
      </c>
      <c r="C736" s="2">
        <v>219</v>
      </c>
      <c r="E736" s="8">
        <f t="shared" si="33"/>
        <v>63.529999999999745</v>
      </c>
      <c r="F736" s="8">
        <f t="shared" si="34"/>
        <v>-12.199999999999989</v>
      </c>
      <c r="H736" s="12">
        <f t="shared" si="35"/>
        <v>1.956644896905271</v>
      </c>
    </row>
    <row r="737" spans="1:8" x14ac:dyDescent="0.25">
      <c r="A737" s="1">
        <v>45000</v>
      </c>
      <c r="B737" s="8">
        <v>3919.29</v>
      </c>
      <c r="C737" s="2">
        <v>206.8</v>
      </c>
      <c r="E737" s="8">
        <f t="shared" si="33"/>
        <v>-27.360000000000127</v>
      </c>
      <c r="F737" s="8">
        <f t="shared" si="34"/>
        <v>15.599999999999994</v>
      </c>
      <c r="H737" s="12">
        <f t="shared" si="35"/>
        <v>1.9218905330178835</v>
      </c>
    </row>
    <row r="738" spans="1:8" x14ac:dyDescent="0.25">
      <c r="A738" s="1">
        <v>45001</v>
      </c>
      <c r="B738" s="8">
        <v>3891.93</v>
      </c>
      <c r="C738" s="2">
        <v>222.4</v>
      </c>
      <c r="E738" s="8">
        <f t="shared" si="33"/>
        <v>68.350000000000364</v>
      </c>
      <c r="F738" s="8">
        <f t="shared" si="34"/>
        <v>-19.200000000000017</v>
      </c>
      <c r="H738" s="12">
        <f t="shared" si="35"/>
        <v>1.9089160935410803</v>
      </c>
    </row>
    <row r="739" spans="1:8" x14ac:dyDescent="0.25">
      <c r="A739" s="1">
        <v>45002</v>
      </c>
      <c r="B739" s="8">
        <v>3960.28</v>
      </c>
      <c r="C739" s="2">
        <v>203.2</v>
      </c>
      <c r="E739" s="8">
        <f t="shared" si="33"/>
        <v>-43.640000000000327</v>
      </c>
      <c r="F739" s="8">
        <f t="shared" si="34"/>
        <v>21.400000000000006</v>
      </c>
      <c r="H739" s="12">
        <f t="shared" si="35"/>
        <v>1.8880645071705779</v>
      </c>
    </row>
    <row r="740" spans="1:8" x14ac:dyDescent="0.25">
      <c r="A740" s="1">
        <v>45005</v>
      </c>
      <c r="B740" s="8">
        <v>3916.64</v>
      </c>
      <c r="C740" s="2">
        <v>224.6</v>
      </c>
      <c r="E740" s="8">
        <f t="shared" si="33"/>
        <v>34.930000000000291</v>
      </c>
      <c r="F740" s="8">
        <f t="shared" si="34"/>
        <v>-9.4000000000000057</v>
      </c>
      <c r="H740" s="12">
        <f t="shared" si="35"/>
        <v>1.8840991638672677</v>
      </c>
    </row>
    <row r="741" spans="1:8" x14ac:dyDescent="0.25">
      <c r="A741" s="1">
        <v>45006</v>
      </c>
      <c r="B741" s="8">
        <v>3951.57</v>
      </c>
      <c r="C741" s="2">
        <v>215.2</v>
      </c>
      <c r="E741" s="8">
        <f t="shared" si="33"/>
        <v>51.299999999999727</v>
      </c>
      <c r="F741" s="8">
        <f t="shared" si="34"/>
        <v>-19.799999999999983</v>
      </c>
      <c r="H741" s="12">
        <f t="shared" si="35"/>
        <v>1.8524998068244831</v>
      </c>
    </row>
    <row r="742" spans="1:8" x14ac:dyDescent="0.25">
      <c r="A742" s="1">
        <v>45007</v>
      </c>
      <c r="B742" s="8">
        <v>4002.87</v>
      </c>
      <c r="C742" s="2">
        <v>195.4</v>
      </c>
      <c r="E742" s="8">
        <f t="shared" si="33"/>
        <v>-65.900000000000091</v>
      </c>
      <c r="F742" s="8">
        <f t="shared" si="34"/>
        <v>7.4000000000000057</v>
      </c>
      <c r="H742" s="12">
        <f t="shared" si="35"/>
        <v>1.8267554983180732</v>
      </c>
    </row>
    <row r="743" spans="1:8" x14ac:dyDescent="0.25">
      <c r="A743" s="1">
        <v>45008</v>
      </c>
      <c r="B743" s="8">
        <v>3936.97</v>
      </c>
      <c r="C743" s="2">
        <v>202.8</v>
      </c>
      <c r="E743" s="8">
        <f t="shared" si="33"/>
        <v>11.75</v>
      </c>
      <c r="F743" s="8">
        <f t="shared" si="34"/>
        <v>6.1999999999999886</v>
      </c>
      <c r="H743" s="12">
        <f t="shared" si="35"/>
        <v>1.8164536412233658</v>
      </c>
    </row>
    <row r="744" spans="1:8" x14ac:dyDescent="0.25">
      <c r="A744" s="1">
        <v>45009</v>
      </c>
      <c r="B744" s="8">
        <v>3948.72</v>
      </c>
      <c r="C744" s="2">
        <v>209</v>
      </c>
      <c r="E744" s="8">
        <f t="shared" si="33"/>
        <v>22.269999999999982</v>
      </c>
      <c r="F744" s="8">
        <f t="shared" si="34"/>
        <v>-8.8000000000000114</v>
      </c>
      <c r="H744" s="12">
        <f t="shared" si="35"/>
        <v>1.7773737995401289</v>
      </c>
    </row>
    <row r="745" spans="1:8" x14ac:dyDescent="0.25">
      <c r="A745" s="1">
        <v>45012</v>
      </c>
      <c r="B745" s="8">
        <v>3970.99</v>
      </c>
      <c r="C745" s="2">
        <v>200.2</v>
      </c>
      <c r="E745" s="8">
        <f t="shared" si="33"/>
        <v>6.5400000000004184</v>
      </c>
      <c r="F745" s="8">
        <f t="shared" si="34"/>
        <v>-7.7999999999999829</v>
      </c>
      <c r="H745" s="12">
        <f t="shared" si="35"/>
        <v>1.7328028286733186</v>
      </c>
    </row>
    <row r="746" spans="1:8" x14ac:dyDescent="0.25">
      <c r="A746" s="1">
        <v>45013</v>
      </c>
      <c r="B746" s="8">
        <v>3977.53</v>
      </c>
      <c r="C746" s="2">
        <v>192.4</v>
      </c>
      <c r="E746" s="8">
        <f t="shared" si="33"/>
        <v>-6.2600000000002183</v>
      </c>
      <c r="F746" s="8">
        <f t="shared" si="34"/>
        <v>-4.4000000000000057</v>
      </c>
      <c r="H746" s="12">
        <f t="shared" si="35"/>
        <v>1.6868738070274185</v>
      </c>
    </row>
    <row r="747" spans="1:8" x14ac:dyDescent="0.25">
      <c r="A747" s="1">
        <v>45014</v>
      </c>
      <c r="B747" s="8">
        <v>3971.27</v>
      </c>
      <c r="C747" s="2">
        <v>188</v>
      </c>
      <c r="E747" s="8">
        <f t="shared" si="33"/>
        <v>56.539999999999964</v>
      </c>
      <c r="F747" s="8">
        <f t="shared" si="34"/>
        <v>-6.1999999999999886</v>
      </c>
      <c r="H747" s="12">
        <f t="shared" si="35"/>
        <v>1.6324750624676614</v>
      </c>
    </row>
    <row r="748" spans="1:8" x14ac:dyDescent="0.25">
      <c r="A748" s="1">
        <v>45015</v>
      </c>
      <c r="B748" s="8">
        <v>4027.81</v>
      </c>
      <c r="C748" s="2">
        <v>181.8</v>
      </c>
      <c r="E748" s="8">
        <f t="shared" si="33"/>
        <v>23.019999999999982</v>
      </c>
      <c r="F748" s="8">
        <f t="shared" si="34"/>
        <v>-0.20000000000001705</v>
      </c>
      <c r="H748" s="12">
        <f t="shared" si="35"/>
        <v>1.5391972206559756</v>
      </c>
    </row>
    <row r="749" spans="1:8" x14ac:dyDescent="0.25">
      <c r="A749" s="1">
        <v>45016</v>
      </c>
      <c r="B749" s="8">
        <v>4050.83</v>
      </c>
      <c r="C749" s="2">
        <v>181.6</v>
      </c>
      <c r="E749" s="8">
        <f t="shared" si="33"/>
        <v>58.480000000000473</v>
      </c>
      <c r="F749" s="8">
        <f t="shared" si="34"/>
        <v>-0.59999999999999432</v>
      </c>
      <c r="H749" s="12">
        <f t="shared" si="35"/>
        <v>1.4863774771176896</v>
      </c>
    </row>
    <row r="750" spans="1:8" x14ac:dyDescent="0.25">
      <c r="A750" s="1">
        <v>45019</v>
      </c>
      <c r="B750" s="8">
        <v>4109.3100000000004</v>
      </c>
      <c r="C750" s="2">
        <v>181</v>
      </c>
      <c r="E750" s="8">
        <f t="shared" si="33"/>
        <v>15.199999999999818</v>
      </c>
      <c r="F750" s="8">
        <f t="shared" si="34"/>
        <v>-4.8000000000000114</v>
      </c>
      <c r="H750" s="12">
        <f t="shared" si="35"/>
        <v>1.4489649829959572</v>
      </c>
    </row>
    <row r="751" spans="1:8" x14ac:dyDescent="0.25">
      <c r="A751" s="1">
        <v>45020</v>
      </c>
      <c r="B751" s="8">
        <v>4124.51</v>
      </c>
      <c r="C751" s="2">
        <v>176.2</v>
      </c>
      <c r="E751" s="8">
        <f t="shared" si="33"/>
        <v>-23.909999999999854</v>
      </c>
      <c r="F751" s="8">
        <f t="shared" si="34"/>
        <v>3.2000000000000171</v>
      </c>
      <c r="H751" s="12">
        <f t="shared" si="35"/>
        <v>1.448836338916988</v>
      </c>
    </row>
    <row r="752" spans="1:8" x14ac:dyDescent="0.25">
      <c r="A752" s="1">
        <v>45021</v>
      </c>
      <c r="B752" s="8">
        <v>4100.6000000000004</v>
      </c>
      <c r="C752" s="2">
        <v>179.4</v>
      </c>
      <c r="E752" s="8">
        <f t="shared" si="33"/>
        <v>-10.220000000000255</v>
      </c>
      <c r="F752" s="8">
        <f t="shared" si="34"/>
        <v>-1.2000000000000171</v>
      </c>
      <c r="H752" s="12">
        <f t="shared" si="35"/>
        <v>1.4601818219696971</v>
      </c>
    </row>
    <row r="753" spans="1:8" x14ac:dyDescent="0.25">
      <c r="A753" s="1">
        <v>45022</v>
      </c>
      <c r="B753" s="8">
        <v>4090.38</v>
      </c>
      <c r="C753" s="2">
        <v>178.2</v>
      </c>
      <c r="E753" s="8">
        <f t="shared" si="33"/>
        <v>14.640000000000327</v>
      </c>
      <c r="F753" s="8">
        <f t="shared" si="34"/>
        <v>-3.1999999999999886</v>
      </c>
      <c r="H753" s="12">
        <f t="shared" si="35"/>
        <v>1.4973698346536217</v>
      </c>
    </row>
    <row r="754" spans="1:8" x14ac:dyDescent="0.25">
      <c r="A754" s="1">
        <v>45026</v>
      </c>
      <c r="B754" s="8">
        <v>4105.0200000000004</v>
      </c>
      <c r="C754" s="2">
        <v>175</v>
      </c>
      <c r="E754" s="8">
        <f t="shared" si="33"/>
        <v>4.089999999999236</v>
      </c>
      <c r="F754" s="8">
        <f t="shared" si="34"/>
        <v>-1.8000000000000114</v>
      </c>
      <c r="H754" s="12">
        <f t="shared" si="35"/>
        <v>1.5158354183052201</v>
      </c>
    </row>
    <row r="755" spans="1:8" x14ac:dyDescent="0.25">
      <c r="A755" s="1">
        <v>45027</v>
      </c>
      <c r="B755" s="8">
        <v>4109.1099999999997</v>
      </c>
      <c r="C755" s="2">
        <v>173.2</v>
      </c>
      <c r="E755" s="8">
        <f t="shared" si="33"/>
        <v>-0.17000000000007276</v>
      </c>
      <c r="F755" s="8">
        <f t="shared" si="34"/>
        <v>-1.3999999999999773</v>
      </c>
      <c r="H755" s="12">
        <f t="shared" si="35"/>
        <v>1.5354299573829269</v>
      </c>
    </row>
    <row r="756" spans="1:8" x14ac:dyDescent="0.25">
      <c r="A756" s="1">
        <v>45028</v>
      </c>
      <c r="B756" s="8">
        <v>4108.9399999999996</v>
      </c>
      <c r="C756" s="2">
        <v>171.8</v>
      </c>
      <c r="E756" s="8">
        <f t="shared" si="33"/>
        <v>-16.989999999999782</v>
      </c>
      <c r="F756" s="8">
        <f t="shared" si="34"/>
        <v>0.19999999999998863</v>
      </c>
      <c r="H756" s="12">
        <f t="shared" si="35"/>
        <v>1.5330251623544082</v>
      </c>
    </row>
    <row r="757" spans="1:8" x14ac:dyDescent="0.25">
      <c r="A757" s="1">
        <v>45029</v>
      </c>
      <c r="B757" s="8">
        <v>4091.95</v>
      </c>
      <c r="C757" s="2">
        <v>172</v>
      </c>
      <c r="E757" s="8">
        <f t="shared" si="33"/>
        <v>54.270000000000437</v>
      </c>
      <c r="F757" s="8">
        <f t="shared" si="34"/>
        <v>-5.8000000000000114</v>
      </c>
      <c r="H757" s="12">
        <f t="shared" si="35"/>
        <v>1.5313925758974105</v>
      </c>
    </row>
    <row r="758" spans="1:8" x14ac:dyDescent="0.25">
      <c r="A758" s="1">
        <v>45030</v>
      </c>
      <c r="B758" s="8">
        <v>4146.22</v>
      </c>
      <c r="C758" s="2">
        <v>166.2</v>
      </c>
      <c r="E758" s="8">
        <f t="shared" si="33"/>
        <v>-8.5799999999999272</v>
      </c>
      <c r="F758" s="8">
        <f t="shared" si="34"/>
        <v>-2.5999999999999943</v>
      </c>
      <c r="H758" s="12">
        <f t="shared" si="35"/>
        <v>1.5218428130102419</v>
      </c>
    </row>
    <row r="759" spans="1:8" x14ac:dyDescent="0.25">
      <c r="A759" s="1">
        <v>45033</v>
      </c>
      <c r="B759" s="8">
        <v>4137.6400000000003</v>
      </c>
      <c r="C759" s="2">
        <v>163.6</v>
      </c>
      <c r="E759" s="8">
        <f t="shared" si="33"/>
        <v>13.679999999999382</v>
      </c>
      <c r="F759" s="8">
        <f t="shared" si="34"/>
        <v>-4.5999999999999943</v>
      </c>
      <c r="H759" s="12">
        <f t="shared" si="35"/>
        <v>1.5495073461762667</v>
      </c>
    </row>
    <row r="760" spans="1:8" x14ac:dyDescent="0.25">
      <c r="A760" s="1">
        <v>45034</v>
      </c>
      <c r="B760" s="8">
        <v>4151.32</v>
      </c>
      <c r="C760" s="2">
        <v>159</v>
      </c>
      <c r="E760" s="8">
        <f t="shared" si="33"/>
        <v>3.5500000000001819</v>
      </c>
      <c r="F760" s="8">
        <f t="shared" si="34"/>
        <v>-1.4000000000000057</v>
      </c>
      <c r="H760" s="12">
        <f t="shared" si="35"/>
        <v>1.5731651092220682</v>
      </c>
    </row>
    <row r="761" spans="1:8" x14ac:dyDescent="0.25">
      <c r="A761" s="1">
        <v>45035</v>
      </c>
      <c r="B761" s="8">
        <v>4154.87</v>
      </c>
      <c r="C761" s="2">
        <v>157.6</v>
      </c>
      <c r="E761" s="8">
        <f t="shared" si="33"/>
        <v>-0.3499999999994543</v>
      </c>
      <c r="F761" s="8">
        <f t="shared" si="34"/>
        <v>-0.19999999999998863</v>
      </c>
      <c r="H761" s="12">
        <f t="shared" si="35"/>
        <v>1.5803049666196596</v>
      </c>
    </row>
    <row r="762" spans="1:8" x14ac:dyDescent="0.25">
      <c r="A762" s="1">
        <v>45036</v>
      </c>
      <c r="B762" s="8">
        <v>4154.5200000000004</v>
      </c>
      <c r="C762" s="2">
        <v>157.4</v>
      </c>
      <c r="E762" s="8">
        <f t="shared" si="33"/>
        <v>-24.730000000000473</v>
      </c>
      <c r="F762" s="8">
        <f t="shared" si="34"/>
        <v>3.4000000000000057</v>
      </c>
      <c r="H762" s="12">
        <f t="shared" si="35"/>
        <v>1.6080904282875328</v>
      </c>
    </row>
    <row r="763" spans="1:8" x14ac:dyDescent="0.25">
      <c r="A763" s="1">
        <v>45037</v>
      </c>
      <c r="B763" s="8">
        <v>4129.79</v>
      </c>
      <c r="C763" s="2">
        <v>160.80000000000001</v>
      </c>
      <c r="E763" s="8">
        <f t="shared" si="33"/>
        <v>3.7300000000004729</v>
      </c>
      <c r="F763" s="8">
        <f t="shared" si="34"/>
        <v>-3</v>
      </c>
      <c r="H763" s="12">
        <f t="shared" si="35"/>
        <v>1.6763518740173156</v>
      </c>
    </row>
    <row r="764" spans="1:8" x14ac:dyDescent="0.25">
      <c r="A764" s="1">
        <v>45040</v>
      </c>
      <c r="B764" s="8">
        <v>4133.5200000000004</v>
      </c>
      <c r="C764" s="2">
        <v>157.80000000000001</v>
      </c>
      <c r="E764" s="8">
        <f t="shared" si="33"/>
        <v>3.5199999999995271</v>
      </c>
      <c r="F764" s="8">
        <f t="shared" si="34"/>
        <v>-0.40000000000000568</v>
      </c>
      <c r="H764" s="12">
        <f t="shared" si="35"/>
        <v>1.7190051907110995</v>
      </c>
    </row>
    <row r="765" spans="1:8" x14ac:dyDescent="0.25">
      <c r="A765" s="1">
        <v>45041</v>
      </c>
      <c r="B765" s="8">
        <v>4137.04</v>
      </c>
      <c r="C765" s="2">
        <v>157.4</v>
      </c>
      <c r="E765" s="8">
        <f t="shared" si="33"/>
        <v>-65.409999999999854</v>
      </c>
      <c r="F765" s="8">
        <f t="shared" si="34"/>
        <v>12.599999999999994</v>
      </c>
      <c r="H765" s="12">
        <f t="shared" si="35"/>
        <v>1.7574664084529024</v>
      </c>
    </row>
    <row r="766" spans="1:8" x14ac:dyDescent="0.25">
      <c r="A766" s="1">
        <v>45042</v>
      </c>
      <c r="B766" s="8">
        <v>4071.63</v>
      </c>
      <c r="C766" s="2">
        <v>170</v>
      </c>
      <c r="E766" s="8">
        <f t="shared" si="33"/>
        <v>-15.640000000000327</v>
      </c>
      <c r="F766" s="8">
        <f t="shared" si="34"/>
        <v>-4.4000000000000057</v>
      </c>
      <c r="H766" s="12">
        <f t="shared" si="35"/>
        <v>1.7806680368981922</v>
      </c>
    </row>
    <row r="767" spans="1:8" x14ac:dyDescent="0.25">
      <c r="A767" s="1">
        <v>45043</v>
      </c>
      <c r="B767" s="8">
        <v>4055.99</v>
      </c>
      <c r="C767" s="2">
        <v>165.6</v>
      </c>
      <c r="E767" s="8">
        <f t="shared" si="33"/>
        <v>79.360000000000582</v>
      </c>
      <c r="F767" s="8">
        <f t="shared" si="34"/>
        <v>-7.1999999999999886</v>
      </c>
      <c r="H767" s="12">
        <f t="shared" si="35"/>
        <v>1.7960593338762556</v>
      </c>
    </row>
    <row r="768" spans="1:8" x14ac:dyDescent="0.25">
      <c r="A768" s="1">
        <v>45044</v>
      </c>
      <c r="B768" s="8">
        <v>4135.3500000000004</v>
      </c>
      <c r="C768" s="2">
        <v>158.4</v>
      </c>
      <c r="E768" s="8">
        <f t="shared" si="33"/>
        <v>34.1299999999992</v>
      </c>
      <c r="F768" s="8">
        <f t="shared" si="34"/>
        <v>-6.8000000000000114</v>
      </c>
      <c r="H768" s="12">
        <f t="shared" si="35"/>
        <v>1.8010447344564293</v>
      </c>
    </row>
    <row r="769" spans="1:8" x14ac:dyDescent="0.25">
      <c r="A769" s="1">
        <v>45047</v>
      </c>
      <c r="B769" s="8">
        <v>4169.4799999999996</v>
      </c>
      <c r="C769" s="2">
        <v>151.6</v>
      </c>
      <c r="E769" s="8">
        <f t="shared" si="33"/>
        <v>-1.6099999999996726</v>
      </c>
      <c r="F769" s="8">
        <f t="shared" si="34"/>
        <v>-1.9000000000000057</v>
      </c>
      <c r="H769" s="12">
        <f t="shared" si="35"/>
        <v>1.8390820027762884</v>
      </c>
    </row>
    <row r="770" spans="1:8" x14ac:dyDescent="0.25">
      <c r="A770" s="1">
        <v>45048</v>
      </c>
      <c r="B770" s="8">
        <v>4167.87</v>
      </c>
      <c r="C770" s="2">
        <v>149.69999999999999</v>
      </c>
      <c r="E770" s="8">
        <f t="shared" si="33"/>
        <v>-48.289999999999964</v>
      </c>
      <c r="F770" s="8">
        <f t="shared" si="34"/>
        <v>6.9000000000000057</v>
      </c>
      <c r="H770" s="12">
        <f t="shared" si="35"/>
        <v>1.8834405341604927</v>
      </c>
    </row>
    <row r="771" spans="1:8" x14ac:dyDescent="0.25">
      <c r="A771" s="1">
        <v>45049</v>
      </c>
      <c r="B771" s="8">
        <v>4119.58</v>
      </c>
      <c r="C771" s="2">
        <v>156.6</v>
      </c>
      <c r="E771" s="8">
        <f t="shared" ref="E771:E834" si="36">B772-B771</f>
        <v>-28.829999999999927</v>
      </c>
      <c r="F771" s="8">
        <f t="shared" ref="F771:F834" si="37">C772-C771</f>
        <v>4.4000000000000057</v>
      </c>
      <c r="H771" s="12">
        <f t="shared" ref="H771:H834" si="38">LOG(_xlfn.STDEV.P(B771:B801))</f>
        <v>1.9188409202741317</v>
      </c>
    </row>
    <row r="772" spans="1:8" x14ac:dyDescent="0.25">
      <c r="A772" s="1">
        <v>45050</v>
      </c>
      <c r="B772" s="8">
        <v>4090.75</v>
      </c>
      <c r="C772" s="2">
        <v>161</v>
      </c>
      <c r="E772" s="8">
        <f t="shared" si="36"/>
        <v>-29.5300000000002</v>
      </c>
      <c r="F772" s="8">
        <f t="shared" si="37"/>
        <v>8</v>
      </c>
      <c r="H772" s="12">
        <f t="shared" si="38"/>
        <v>1.9599640739533595</v>
      </c>
    </row>
    <row r="773" spans="1:8" x14ac:dyDescent="0.25">
      <c r="A773" s="1">
        <v>45051</v>
      </c>
      <c r="B773" s="8">
        <v>4061.22</v>
      </c>
      <c r="C773" s="2">
        <v>169</v>
      </c>
      <c r="E773" s="8">
        <f t="shared" si="36"/>
        <v>75.0300000000002</v>
      </c>
      <c r="F773" s="8">
        <f t="shared" si="37"/>
        <v>-13</v>
      </c>
      <c r="H773" s="12">
        <f t="shared" si="38"/>
        <v>1.980447642844112</v>
      </c>
    </row>
    <row r="774" spans="1:8" x14ac:dyDescent="0.25">
      <c r="A774" s="1">
        <v>45054</v>
      </c>
      <c r="B774" s="8">
        <v>4136.25</v>
      </c>
      <c r="C774" s="2">
        <v>156</v>
      </c>
      <c r="E774" s="8">
        <f t="shared" si="36"/>
        <v>1.8699999999998909</v>
      </c>
      <c r="F774" s="8">
        <f t="shared" si="37"/>
        <v>-2.5999999999999943</v>
      </c>
      <c r="H774" s="12">
        <f t="shared" si="38"/>
        <v>1.9826271172179286</v>
      </c>
    </row>
    <row r="775" spans="1:8" x14ac:dyDescent="0.25">
      <c r="A775" s="1">
        <v>45055</v>
      </c>
      <c r="B775" s="8">
        <v>4138.12</v>
      </c>
      <c r="C775" s="2">
        <v>153.4</v>
      </c>
      <c r="E775" s="8">
        <f t="shared" si="36"/>
        <v>-18.949999999999818</v>
      </c>
      <c r="F775" s="8">
        <f t="shared" si="37"/>
        <v>3.1999999999999886</v>
      </c>
      <c r="H775" s="12">
        <f t="shared" si="38"/>
        <v>1.9899488569330741</v>
      </c>
    </row>
    <row r="776" spans="1:8" x14ac:dyDescent="0.25">
      <c r="A776" s="1">
        <v>45056</v>
      </c>
      <c r="B776" s="8">
        <v>4119.17</v>
      </c>
      <c r="C776" s="2">
        <v>156.6</v>
      </c>
      <c r="E776" s="8">
        <f t="shared" si="36"/>
        <v>18.470000000000255</v>
      </c>
      <c r="F776" s="8">
        <f t="shared" si="37"/>
        <v>-4.5999999999999943</v>
      </c>
      <c r="H776" s="12">
        <f t="shared" si="38"/>
        <v>1.9979506304739769</v>
      </c>
    </row>
    <row r="777" spans="1:8" x14ac:dyDescent="0.25">
      <c r="A777" s="1">
        <v>45057</v>
      </c>
      <c r="B777" s="8">
        <v>4137.6400000000003</v>
      </c>
      <c r="C777" s="2">
        <v>152</v>
      </c>
      <c r="E777" s="8">
        <f t="shared" si="36"/>
        <v>-7.0200000000004366</v>
      </c>
      <c r="F777" s="8">
        <f t="shared" si="37"/>
        <v>-1.4000000000000057</v>
      </c>
      <c r="H777" s="12">
        <f t="shared" si="38"/>
        <v>1.994324846693261</v>
      </c>
    </row>
    <row r="778" spans="1:8" x14ac:dyDescent="0.25">
      <c r="A778" s="1">
        <v>45058</v>
      </c>
      <c r="B778" s="8">
        <v>4130.62</v>
      </c>
      <c r="C778" s="2">
        <v>150.6</v>
      </c>
      <c r="E778" s="8">
        <f t="shared" si="36"/>
        <v>-6.5399999999999636</v>
      </c>
      <c r="F778" s="8">
        <f t="shared" si="37"/>
        <v>-0.19999999999998863</v>
      </c>
      <c r="H778" s="12">
        <f t="shared" si="38"/>
        <v>1.989207902916029</v>
      </c>
    </row>
    <row r="779" spans="1:8" x14ac:dyDescent="0.25">
      <c r="A779" s="1">
        <v>45061</v>
      </c>
      <c r="B779" s="8">
        <v>4124.08</v>
      </c>
      <c r="C779" s="2">
        <v>150.4</v>
      </c>
      <c r="E779" s="8">
        <f t="shared" si="36"/>
        <v>12.199999999999818</v>
      </c>
      <c r="F779" s="8">
        <f t="shared" si="37"/>
        <v>-3.4000000000000057</v>
      </c>
      <c r="H779" s="12">
        <f t="shared" si="38"/>
        <v>1.9876739776686125</v>
      </c>
    </row>
    <row r="780" spans="1:8" x14ac:dyDescent="0.25">
      <c r="A780" s="1">
        <v>45062</v>
      </c>
      <c r="B780" s="8">
        <v>4136.28</v>
      </c>
      <c r="C780" s="2">
        <v>147</v>
      </c>
      <c r="E780" s="8">
        <f t="shared" si="36"/>
        <v>-26.380000000000109</v>
      </c>
      <c r="F780" s="8">
        <f t="shared" si="37"/>
        <v>3.8000000000000114</v>
      </c>
      <c r="H780" s="12">
        <f t="shared" si="38"/>
        <v>1.9814736599055409</v>
      </c>
    </row>
    <row r="781" spans="1:8" x14ac:dyDescent="0.25">
      <c r="A781" s="1">
        <v>45063</v>
      </c>
      <c r="B781" s="8">
        <v>4109.8999999999996</v>
      </c>
      <c r="C781" s="2">
        <v>150.80000000000001</v>
      </c>
      <c r="E781" s="8">
        <f t="shared" si="36"/>
        <v>48.8700000000008</v>
      </c>
      <c r="F781" s="8">
        <f t="shared" si="37"/>
        <v>-5</v>
      </c>
      <c r="H781" s="12">
        <f t="shared" si="38"/>
        <v>1.9779959829851981</v>
      </c>
    </row>
    <row r="782" spans="1:8" x14ac:dyDescent="0.25">
      <c r="A782" s="1">
        <v>45064</v>
      </c>
      <c r="B782" s="8">
        <v>4158.7700000000004</v>
      </c>
      <c r="C782" s="2">
        <v>145.80000000000001</v>
      </c>
      <c r="E782" s="8">
        <f t="shared" si="36"/>
        <v>39.279999999999745</v>
      </c>
      <c r="F782" s="8">
        <f t="shared" si="37"/>
        <v>-5.8000000000000114</v>
      </c>
      <c r="H782" s="12">
        <f t="shared" si="38"/>
        <v>1.9755544736110733</v>
      </c>
    </row>
    <row r="783" spans="1:8" x14ac:dyDescent="0.25">
      <c r="A783" s="1">
        <v>45065</v>
      </c>
      <c r="B783" s="8">
        <v>4198.05</v>
      </c>
      <c r="C783" s="2">
        <v>140</v>
      </c>
      <c r="E783" s="8">
        <f t="shared" si="36"/>
        <v>-6.0700000000006185</v>
      </c>
      <c r="F783" s="8">
        <f t="shared" si="37"/>
        <v>3.8000000000000114</v>
      </c>
      <c r="H783" s="12">
        <f t="shared" si="38"/>
        <v>1.9811417321554845</v>
      </c>
    </row>
    <row r="784" spans="1:8" x14ac:dyDescent="0.25">
      <c r="A784" s="1">
        <v>45068</v>
      </c>
      <c r="B784" s="8">
        <v>4191.9799999999996</v>
      </c>
      <c r="C784" s="2">
        <v>143.80000000000001</v>
      </c>
      <c r="E784" s="8">
        <f t="shared" si="36"/>
        <v>0.6500000000005457</v>
      </c>
      <c r="F784" s="8">
        <f t="shared" si="37"/>
        <v>0.39999999999997726</v>
      </c>
      <c r="H784" s="12">
        <f t="shared" si="38"/>
        <v>1.9881057355743612</v>
      </c>
    </row>
    <row r="785" spans="1:8" x14ac:dyDescent="0.25">
      <c r="A785" s="1">
        <v>45069</v>
      </c>
      <c r="B785" s="8">
        <v>4192.63</v>
      </c>
      <c r="C785" s="2">
        <v>144.19999999999999</v>
      </c>
      <c r="E785" s="8">
        <f t="shared" si="36"/>
        <v>-47.050000000000182</v>
      </c>
      <c r="F785" s="8">
        <f t="shared" si="37"/>
        <v>2.2000000000000171</v>
      </c>
      <c r="H785" s="12">
        <f t="shared" si="38"/>
        <v>1.9849672924883945</v>
      </c>
    </row>
    <row r="786" spans="1:8" x14ac:dyDescent="0.25">
      <c r="A786" s="1">
        <v>45070</v>
      </c>
      <c r="B786" s="8">
        <v>4145.58</v>
      </c>
      <c r="C786" s="2">
        <v>146.4</v>
      </c>
      <c r="E786" s="8">
        <f t="shared" si="36"/>
        <v>-30.340000000000146</v>
      </c>
      <c r="F786" s="8">
        <f t="shared" si="37"/>
        <v>6.1999999999999886</v>
      </c>
      <c r="H786" s="12">
        <f t="shared" si="38"/>
        <v>1.9778984998232092</v>
      </c>
    </row>
    <row r="787" spans="1:8" x14ac:dyDescent="0.25">
      <c r="A787" s="1">
        <v>45071</v>
      </c>
      <c r="B787" s="8">
        <v>4115.24</v>
      </c>
      <c r="C787" s="2">
        <v>152.6</v>
      </c>
      <c r="E787" s="8">
        <f t="shared" si="36"/>
        <v>36.039999999999964</v>
      </c>
      <c r="F787" s="8">
        <f t="shared" si="37"/>
        <v>-3.7999999999999829</v>
      </c>
      <c r="H787" s="12">
        <f t="shared" si="38"/>
        <v>1.9571778337488206</v>
      </c>
    </row>
    <row r="788" spans="1:8" x14ac:dyDescent="0.25">
      <c r="A788" s="1">
        <v>45072</v>
      </c>
      <c r="B788" s="8">
        <v>4151.28</v>
      </c>
      <c r="C788" s="2">
        <v>148.80000000000001</v>
      </c>
      <c r="E788" s="8">
        <f t="shared" si="36"/>
        <v>54.170000000000073</v>
      </c>
      <c r="F788" s="8">
        <f t="shared" si="37"/>
        <v>-5.8000000000000114</v>
      </c>
      <c r="H788" s="12">
        <f t="shared" si="38"/>
        <v>1.9224404212753097</v>
      </c>
    </row>
    <row r="789" spans="1:8" x14ac:dyDescent="0.25">
      <c r="A789" s="1">
        <v>45076</v>
      </c>
      <c r="B789" s="8">
        <v>4205.45</v>
      </c>
      <c r="C789" s="2">
        <v>143</v>
      </c>
      <c r="E789" s="8">
        <f t="shared" si="36"/>
        <v>7.0000000000618456E-2</v>
      </c>
      <c r="F789" s="8">
        <f t="shared" si="37"/>
        <v>-3.8000000000000114</v>
      </c>
      <c r="H789" s="12">
        <f t="shared" si="38"/>
        <v>1.8994215454183252</v>
      </c>
    </row>
    <row r="790" spans="1:8" x14ac:dyDescent="0.25">
      <c r="A790" s="1">
        <v>45077</v>
      </c>
      <c r="B790" s="8">
        <v>4205.5200000000004</v>
      </c>
      <c r="C790" s="2">
        <v>139.19999999999999</v>
      </c>
      <c r="E790" s="8">
        <f t="shared" si="36"/>
        <v>-25.690000000000509</v>
      </c>
      <c r="F790" s="8">
        <f t="shared" si="37"/>
        <v>-1.1999999999999886</v>
      </c>
      <c r="H790" s="12">
        <f t="shared" si="38"/>
        <v>1.9007359214356234</v>
      </c>
    </row>
    <row r="791" spans="1:8" x14ac:dyDescent="0.25">
      <c r="A791" s="1">
        <v>45078</v>
      </c>
      <c r="B791" s="8">
        <v>4179.83</v>
      </c>
      <c r="C791" s="2">
        <v>138</v>
      </c>
      <c r="E791" s="8">
        <f t="shared" si="36"/>
        <v>41.190000000000509</v>
      </c>
      <c r="F791" s="8">
        <f t="shared" si="37"/>
        <v>-7.5999999999999943</v>
      </c>
      <c r="H791" s="12">
        <f t="shared" si="38"/>
        <v>1.893940867586736</v>
      </c>
    </row>
    <row r="792" spans="1:8" x14ac:dyDescent="0.25">
      <c r="A792" s="1">
        <v>45079</v>
      </c>
      <c r="B792" s="8">
        <v>4221.0200000000004</v>
      </c>
      <c r="C792" s="2">
        <v>130.4</v>
      </c>
      <c r="E792" s="8">
        <f t="shared" si="36"/>
        <v>61.349999999999454</v>
      </c>
      <c r="F792" s="8">
        <f t="shared" si="37"/>
        <v>-5.2000000000000028</v>
      </c>
      <c r="H792" s="12">
        <f t="shared" si="38"/>
        <v>1.8737614933263551</v>
      </c>
    </row>
    <row r="793" spans="1:8" x14ac:dyDescent="0.25">
      <c r="A793" s="1">
        <v>45082</v>
      </c>
      <c r="B793" s="8">
        <v>4282.37</v>
      </c>
      <c r="C793" s="2">
        <v>125.2</v>
      </c>
      <c r="E793" s="8">
        <f t="shared" si="36"/>
        <v>-8.5799999999999272</v>
      </c>
      <c r="F793" s="8">
        <f t="shared" si="37"/>
        <v>-2.6000000000000085</v>
      </c>
      <c r="H793" s="12">
        <f t="shared" si="38"/>
        <v>1.8747321065345057</v>
      </c>
    </row>
    <row r="794" spans="1:8" x14ac:dyDescent="0.25">
      <c r="A794" s="1">
        <v>45083</v>
      </c>
      <c r="B794" s="8">
        <v>4273.79</v>
      </c>
      <c r="C794" s="2">
        <v>122.6</v>
      </c>
      <c r="E794" s="8">
        <f t="shared" si="36"/>
        <v>10.0600000000004</v>
      </c>
      <c r="F794" s="8">
        <f t="shared" si="37"/>
        <v>-7.3999999999999915</v>
      </c>
      <c r="H794" s="12">
        <f t="shared" si="38"/>
        <v>1.8931856320289968</v>
      </c>
    </row>
    <row r="795" spans="1:8" x14ac:dyDescent="0.25">
      <c r="A795" s="1">
        <v>45084</v>
      </c>
      <c r="B795" s="8">
        <v>4283.8500000000004</v>
      </c>
      <c r="C795" s="2">
        <v>115.2</v>
      </c>
      <c r="E795" s="8">
        <f t="shared" si="36"/>
        <v>-16.329999999999927</v>
      </c>
      <c r="F795" s="8">
        <f t="shared" si="37"/>
        <v>0.79999999999999716</v>
      </c>
      <c r="H795" s="12">
        <f t="shared" si="38"/>
        <v>1.8924395330363293</v>
      </c>
    </row>
    <row r="796" spans="1:8" x14ac:dyDescent="0.25">
      <c r="A796" s="1">
        <v>45085</v>
      </c>
      <c r="B796" s="8">
        <v>4267.5200000000004</v>
      </c>
      <c r="C796" s="2">
        <v>116</v>
      </c>
      <c r="E796" s="8">
        <f t="shared" si="36"/>
        <v>26.409999999999854</v>
      </c>
      <c r="F796" s="8">
        <f t="shared" si="37"/>
        <v>-3.2000000000000028</v>
      </c>
      <c r="H796" s="12">
        <f t="shared" si="38"/>
        <v>1.8902438021119403</v>
      </c>
    </row>
    <row r="797" spans="1:8" x14ac:dyDescent="0.25">
      <c r="A797" s="1">
        <v>45086</v>
      </c>
      <c r="B797" s="8">
        <v>4293.93</v>
      </c>
      <c r="C797" s="2">
        <v>112.8</v>
      </c>
      <c r="E797" s="8">
        <f t="shared" si="36"/>
        <v>4.9299999999993815</v>
      </c>
      <c r="F797" s="8">
        <f t="shared" si="37"/>
        <v>1.2000000000000028</v>
      </c>
      <c r="H797" s="12">
        <f t="shared" si="38"/>
        <v>1.8824493663538706</v>
      </c>
    </row>
    <row r="798" spans="1:8" x14ac:dyDescent="0.25">
      <c r="A798" s="1">
        <v>45089</v>
      </c>
      <c r="B798" s="8">
        <v>4298.8599999999997</v>
      </c>
      <c r="C798" s="2">
        <v>114</v>
      </c>
      <c r="E798" s="8">
        <f t="shared" si="36"/>
        <v>40.070000000000618</v>
      </c>
      <c r="F798" s="8">
        <f t="shared" si="37"/>
        <v>0.40000000000000568</v>
      </c>
      <c r="H798" s="12">
        <f t="shared" si="38"/>
        <v>1.8818495532633113</v>
      </c>
    </row>
    <row r="799" spans="1:8" x14ac:dyDescent="0.25">
      <c r="A799" s="1">
        <v>45090</v>
      </c>
      <c r="B799" s="8">
        <v>4338.93</v>
      </c>
      <c r="C799" s="2">
        <v>114.4</v>
      </c>
      <c r="E799" s="8">
        <f t="shared" si="36"/>
        <v>30.079999999999927</v>
      </c>
      <c r="F799" s="8">
        <f t="shared" si="37"/>
        <v>-0.60000000000000853</v>
      </c>
      <c r="H799" s="12">
        <f t="shared" si="38"/>
        <v>1.8769232379456511</v>
      </c>
    </row>
    <row r="800" spans="1:8" x14ac:dyDescent="0.25">
      <c r="A800" s="1">
        <v>45091</v>
      </c>
      <c r="B800" s="8">
        <v>4369.01</v>
      </c>
      <c r="C800" s="2">
        <v>113.8</v>
      </c>
      <c r="E800" s="8">
        <f t="shared" si="36"/>
        <v>3.5799999999999272</v>
      </c>
      <c r="F800" s="8">
        <f t="shared" si="37"/>
        <v>-3.2000000000000028</v>
      </c>
      <c r="H800" s="12">
        <f t="shared" si="38"/>
        <v>1.8721216991215601</v>
      </c>
    </row>
    <row r="801" spans="1:8" x14ac:dyDescent="0.25">
      <c r="A801" s="1">
        <v>45092</v>
      </c>
      <c r="B801" s="8">
        <v>4372.59</v>
      </c>
      <c r="C801" s="2">
        <v>110.6</v>
      </c>
      <c r="E801" s="8">
        <f t="shared" si="36"/>
        <v>53.25</v>
      </c>
      <c r="F801" s="8">
        <f t="shared" si="37"/>
        <v>3.2000000000000028</v>
      </c>
      <c r="H801" s="12">
        <f t="shared" si="38"/>
        <v>1.8832027147834951</v>
      </c>
    </row>
    <row r="802" spans="1:8" x14ac:dyDescent="0.25">
      <c r="A802" s="1">
        <v>45093</v>
      </c>
      <c r="B802" s="8">
        <v>4425.84</v>
      </c>
      <c r="C802" s="2">
        <v>113.8</v>
      </c>
      <c r="E802" s="8">
        <f t="shared" si="36"/>
        <v>-16.25</v>
      </c>
      <c r="F802" s="8">
        <f t="shared" si="37"/>
        <v>-4.5999999999999943</v>
      </c>
      <c r="H802" s="12">
        <f t="shared" si="38"/>
        <v>1.8930193341961259</v>
      </c>
    </row>
    <row r="803" spans="1:8" x14ac:dyDescent="0.25">
      <c r="A803" s="1">
        <v>45097</v>
      </c>
      <c r="B803" s="8">
        <v>4409.59</v>
      </c>
      <c r="C803" s="2">
        <v>109.2</v>
      </c>
      <c r="E803" s="8">
        <f t="shared" si="36"/>
        <v>-20.880000000000109</v>
      </c>
      <c r="F803" s="8">
        <f t="shared" si="37"/>
        <v>0.39999999999999147</v>
      </c>
      <c r="H803" s="12">
        <f t="shared" si="38"/>
        <v>1.9044528999426908</v>
      </c>
    </row>
    <row r="804" spans="1:8" x14ac:dyDescent="0.25">
      <c r="A804" s="1">
        <v>45098</v>
      </c>
      <c r="B804" s="8">
        <v>4388.71</v>
      </c>
      <c r="C804" s="2">
        <v>109.6</v>
      </c>
      <c r="E804" s="8">
        <f t="shared" si="36"/>
        <v>-23.020000000000437</v>
      </c>
      <c r="F804" s="8">
        <f t="shared" si="37"/>
        <v>-2.3999999999999915</v>
      </c>
      <c r="H804" s="12">
        <f t="shared" si="38"/>
        <v>1.9021899742679498</v>
      </c>
    </row>
    <row r="805" spans="1:8" x14ac:dyDescent="0.25">
      <c r="A805" s="1">
        <v>45099</v>
      </c>
      <c r="B805" s="8">
        <v>4365.6899999999996</v>
      </c>
      <c r="C805" s="2">
        <v>107.2</v>
      </c>
      <c r="E805" s="8">
        <f t="shared" si="36"/>
        <v>16.200000000000728</v>
      </c>
      <c r="F805" s="8">
        <f t="shared" si="37"/>
        <v>-2.2000000000000028</v>
      </c>
      <c r="H805" s="12">
        <f t="shared" si="38"/>
        <v>1.8946830140314743</v>
      </c>
    </row>
    <row r="806" spans="1:8" x14ac:dyDescent="0.25">
      <c r="A806" s="1">
        <v>45100</v>
      </c>
      <c r="B806" s="8">
        <v>4381.8900000000003</v>
      </c>
      <c r="C806" s="2">
        <v>105</v>
      </c>
      <c r="E806" s="8">
        <f t="shared" si="36"/>
        <v>-33.5600000000004</v>
      </c>
      <c r="F806" s="8">
        <f t="shared" si="37"/>
        <v>1.2399999999999949</v>
      </c>
      <c r="H806" s="12">
        <f t="shared" si="38"/>
        <v>1.87967297941721</v>
      </c>
    </row>
    <row r="807" spans="1:8" x14ac:dyDescent="0.25">
      <c r="A807" s="1">
        <v>45103</v>
      </c>
      <c r="B807" s="8">
        <v>4348.33</v>
      </c>
      <c r="C807" s="2">
        <v>106.24</v>
      </c>
      <c r="E807" s="8">
        <f t="shared" si="36"/>
        <v>-19.510000000000218</v>
      </c>
      <c r="F807" s="8">
        <f t="shared" si="37"/>
        <v>-0.39999999999999147</v>
      </c>
      <c r="H807" s="12">
        <f t="shared" si="38"/>
        <v>1.8685922281992517</v>
      </c>
    </row>
    <row r="808" spans="1:8" x14ac:dyDescent="0.25">
      <c r="A808" s="1">
        <v>45104</v>
      </c>
      <c r="B808" s="8">
        <v>4328.82</v>
      </c>
      <c r="C808" s="2">
        <v>105.84</v>
      </c>
      <c r="E808" s="8">
        <f t="shared" si="36"/>
        <v>49.590000000000146</v>
      </c>
      <c r="F808" s="8">
        <f t="shared" si="37"/>
        <v>-2.6000000000000085</v>
      </c>
      <c r="H808" s="12">
        <f t="shared" si="38"/>
        <v>1.8425169224602853</v>
      </c>
    </row>
    <row r="809" spans="1:8" x14ac:dyDescent="0.25">
      <c r="A809" s="1">
        <v>45105</v>
      </c>
      <c r="B809" s="8">
        <v>4378.41</v>
      </c>
      <c r="C809" s="2">
        <v>103.24</v>
      </c>
      <c r="E809" s="8">
        <f t="shared" si="36"/>
        <v>-1.5500000000001819</v>
      </c>
      <c r="F809" s="8">
        <f t="shared" si="37"/>
        <v>-3.8399999999999892</v>
      </c>
      <c r="H809" s="12">
        <f t="shared" si="38"/>
        <v>1.8011837103468351</v>
      </c>
    </row>
    <row r="810" spans="1:8" x14ac:dyDescent="0.25">
      <c r="A810" s="1">
        <v>45106</v>
      </c>
      <c r="B810" s="8">
        <v>4376.8599999999997</v>
      </c>
      <c r="C810" s="2">
        <v>99.4</v>
      </c>
      <c r="E810" s="8">
        <f t="shared" si="36"/>
        <v>19.579999999999927</v>
      </c>
      <c r="F810" s="8">
        <f t="shared" si="37"/>
        <v>2.2800000000000011</v>
      </c>
      <c r="H810" s="12">
        <f t="shared" si="38"/>
        <v>1.7771104911667306</v>
      </c>
    </row>
    <row r="811" spans="1:8" x14ac:dyDescent="0.25">
      <c r="A811" s="1">
        <v>45107</v>
      </c>
      <c r="B811" s="8">
        <v>4396.4399999999996</v>
      </c>
      <c r="C811" s="2">
        <v>101.68</v>
      </c>
      <c r="E811" s="8">
        <f t="shared" si="36"/>
        <v>53.940000000000509</v>
      </c>
      <c r="F811" s="8">
        <f t="shared" si="37"/>
        <v>-1.8400000000000034</v>
      </c>
      <c r="H811" s="12">
        <f t="shared" si="38"/>
        <v>1.7487294153956836</v>
      </c>
    </row>
    <row r="812" spans="1:8" x14ac:dyDescent="0.25">
      <c r="A812" s="1">
        <v>45110</v>
      </c>
      <c r="B812" s="8">
        <v>4450.38</v>
      </c>
      <c r="C812" s="2">
        <v>99.84</v>
      </c>
      <c r="E812" s="8">
        <f t="shared" si="36"/>
        <v>5.2100000000000364</v>
      </c>
      <c r="F812" s="8">
        <f t="shared" si="37"/>
        <v>-0.79999999999999716</v>
      </c>
      <c r="H812" s="12">
        <f t="shared" si="38"/>
        <v>1.7230238816758463</v>
      </c>
    </row>
    <row r="813" spans="1:8" x14ac:dyDescent="0.25">
      <c r="A813" s="1">
        <v>45112</v>
      </c>
      <c r="B813" s="8">
        <v>4455.59</v>
      </c>
      <c r="C813" s="2">
        <v>99.04</v>
      </c>
      <c r="E813" s="8">
        <f t="shared" si="36"/>
        <v>-8.7700000000004366</v>
      </c>
      <c r="F813" s="8">
        <f t="shared" si="37"/>
        <v>1.9199999999999875</v>
      </c>
      <c r="H813" s="12">
        <f t="shared" si="38"/>
        <v>1.7266722525987162</v>
      </c>
    </row>
    <row r="814" spans="1:8" x14ac:dyDescent="0.25">
      <c r="A814" s="1">
        <v>45113</v>
      </c>
      <c r="B814" s="8">
        <v>4446.82</v>
      </c>
      <c r="C814" s="2">
        <v>100.96</v>
      </c>
      <c r="E814" s="8">
        <f t="shared" si="36"/>
        <v>-35.229999999999563</v>
      </c>
      <c r="F814" s="8">
        <f t="shared" si="37"/>
        <v>5.3200000000000074</v>
      </c>
      <c r="H814" s="12">
        <f t="shared" si="38"/>
        <v>1.7440875965229232</v>
      </c>
    </row>
    <row r="815" spans="1:8" x14ac:dyDescent="0.25">
      <c r="A815" s="1">
        <v>45114</v>
      </c>
      <c r="B815" s="8">
        <v>4411.59</v>
      </c>
      <c r="C815" s="2">
        <v>106.28</v>
      </c>
      <c r="E815" s="8">
        <f t="shared" si="36"/>
        <v>-12.640000000000327</v>
      </c>
      <c r="F815" s="8">
        <f t="shared" si="37"/>
        <v>-2.4000000000000057</v>
      </c>
      <c r="H815" s="12">
        <f t="shared" si="38"/>
        <v>1.7736628973135695</v>
      </c>
    </row>
    <row r="816" spans="1:8" x14ac:dyDescent="0.25">
      <c r="A816" s="1">
        <v>45117</v>
      </c>
      <c r="B816" s="8">
        <v>4398.95</v>
      </c>
      <c r="C816" s="2">
        <v>103.88</v>
      </c>
      <c r="E816" s="8">
        <f t="shared" si="36"/>
        <v>10.579999999999927</v>
      </c>
      <c r="F816" s="8">
        <f t="shared" si="37"/>
        <v>-0.8399999999999892</v>
      </c>
      <c r="H816" s="12">
        <f t="shared" si="38"/>
        <v>1.7907820440456286</v>
      </c>
    </row>
    <row r="817" spans="1:8" x14ac:dyDescent="0.25">
      <c r="A817" s="1">
        <v>45118</v>
      </c>
      <c r="B817" s="8">
        <v>4409.53</v>
      </c>
      <c r="C817" s="2">
        <v>103.04</v>
      </c>
      <c r="E817" s="8">
        <f t="shared" si="36"/>
        <v>29.730000000000473</v>
      </c>
      <c r="F817" s="8">
        <f t="shared" si="37"/>
        <v>-0.84000000000000341</v>
      </c>
      <c r="H817" s="12">
        <f t="shared" si="38"/>
        <v>1.7904877455282895</v>
      </c>
    </row>
    <row r="818" spans="1:8" x14ac:dyDescent="0.25">
      <c r="A818" s="1">
        <v>45119</v>
      </c>
      <c r="B818" s="8">
        <v>4439.26</v>
      </c>
      <c r="C818" s="2">
        <v>102.2</v>
      </c>
      <c r="E818" s="8">
        <f t="shared" si="36"/>
        <v>32.899999999999636</v>
      </c>
      <c r="F818" s="8">
        <f t="shared" si="37"/>
        <v>-5.7199999999999989</v>
      </c>
      <c r="H818" s="12">
        <f t="shared" si="38"/>
        <v>1.7982789544527242</v>
      </c>
    </row>
    <row r="819" spans="1:8" x14ac:dyDescent="0.25">
      <c r="A819" s="1">
        <v>45120</v>
      </c>
      <c r="B819" s="8">
        <v>4472.16</v>
      </c>
      <c r="C819" s="2">
        <v>96.48</v>
      </c>
      <c r="E819" s="8">
        <f t="shared" si="36"/>
        <v>37.880000000000109</v>
      </c>
      <c r="F819" s="8">
        <f t="shared" si="37"/>
        <v>0.64000000000000057</v>
      </c>
      <c r="H819" s="12">
        <f t="shared" si="38"/>
        <v>1.798954130715289</v>
      </c>
    </row>
    <row r="820" spans="1:8" x14ac:dyDescent="0.25">
      <c r="A820" s="1">
        <v>45121</v>
      </c>
      <c r="B820" s="8">
        <v>4510.04</v>
      </c>
      <c r="C820" s="2">
        <v>97.12</v>
      </c>
      <c r="E820" s="8">
        <f t="shared" si="36"/>
        <v>-4.6199999999998909</v>
      </c>
      <c r="F820" s="8">
        <f t="shared" si="37"/>
        <v>-1.1600000000000108</v>
      </c>
      <c r="H820" s="12">
        <f t="shared" si="38"/>
        <v>1.8216113612528222</v>
      </c>
    </row>
    <row r="821" spans="1:8" x14ac:dyDescent="0.25">
      <c r="A821" s="1">
        <v>45124</v>
      </c>
      <c r="B821" s="8">
        <v>4505.42</v>
      </c>
      <c r="C821" s="2">
        <v>95.96</v>
      </c>
      <c r="E821" s="8">
        <f t="shared" si="36"/>
        <v>17.369999999999891</v>
      </c>
      <c r="F821" s="8">
        <f t="shared" si="37"/>
        <v>-0.19999999999998863</v>
      </c>
      <c r="H821" s="12">
        <f t="shared" si="38"/>
        <v>1.8324988527917967</v>
      </c>
    </row>
    <row r="822" spans="1:8" x14ac:dyDescent="0.25">
      <c r="A822" s="1">
        <v>45125</v>
      </c>
      <c r="B822" s="8">
        <v>4522.79</v>
      </c>
      <c r="C822" s="2">
        <v>95.76</v>
      </c>
      <c r="E822" s="8">
        <f t="shared" si="36"/>
        <v>32.1899999999996</v>
      </c>
      <c r="F822" s="8">
        <f t="shared" si="37"/>
        <v>-1.5200000000000102</v>
      </c>
      <c r="H822" s="12">
        <f t="shared" si="38"/>
        <v>1.8366660555154446</v>
      </c>
    </row>
    <row r="823" spans="1:8" x14ac:dyDescent="0.25">
      <c r="A823" s="1">
        <v>45126</v>
      </c>
      <c r="B823" s="8">
        <v>4554.9799999999996</v>
      </c>
      <c r="C823" s="2">
        <v>94.24</v>
      </c>
      <c r="E823" s="8">
        <f t="shared" si="36"/>
        <v>10.740000000000691</v>
      </c>
      <c r="F823" s="8">
        <f t="shared" si="37"/>
        <v>2.0799999999999983</v>
      </c>
      <c r="H823" s="12">
        <f t="shared" si="38"/>
        <v>1.834927411628525</v>
      </c>
    </row>
    <row r="824" spans="1:8" x14ac:dyDescent="0.25">
      <c r="A824" s="1">
        <v>45127</v>
      </c>
      <c r="B824" s="8">
        <v>4565.72</v>
      </c>
      <c r="C824" s="2">
        <v>96.32</v>
      </c>
      <c r="E824" s="8">
        <f t="shared" si="36"/>
        <v>-30.850000000000364</v>
      </c>
      <c r="F824" s="8">
        <f t="shared" si="37"/>
        <v>-0.15999999999999659</v>
      </c>
      <c r="H824" s="12">
        <f t="shared" si="38"/>
        <v>1.8289667960610312</v>
      </c>
    </row>
    <row r="825" spans="1:8" x14ac:dyDescent="0.25">
      <c r="A825" s="1">
        <v>45128</v>
      </c>
      <c r="B825" s="8">
        <v>4534.87</v>
      </c>
      <c r="C825" s="2">
        <v>96.16</v>
      </c>
      <c r="E825" s="8">
        <f t="shared" si="36"/>
        <v>1.4700000000002547</v>
      </c>
      <c r="F825" s="8">
        <f t="shared" si="37"/>
        <v>-1.2399999999999949</v>
      </c>
      <c r="H825" s="12">
        <f t="shared" si="38"/>
        <v>1.8194133868060567</v>
      </c>
    </row>
    <row r="826" spans="1:8" x14ac:dyDescent="0.25">
      <c r="A826" s="1">
        <v>45131</v>
      </c>
      <c r="B826" s="8">
        <v>4536.34</v>
      </c>
      <c r="C826" s="2">
        <v>94.92</v>
      </c>
      <c r="E826" s="8">
        <f t="shared" si="36"/>
        <v>18.300000000000182</v>
      </c>
      <c r="F826" s="8">
        <f t="shared" si="37"/>
        <v>-1.5600000000000023</v>
      </c>
      <c r="H826" s="12">
        <f t="shared" si="38"/>
        <v>1.8168072307052636</v>
      </c>
    </row>
    <row r="827" spans="1:8" x14ac:dyDescent="0.25">
      <c r="A827" s="1">
        <v>45132</v>
      </c>
      <c r="B827" s="8">
        <v>4554.6400000000003</v>
      </c>
      <c r="C827" s="2">
        <v>93.36</v>
      </c>
      <c r="E827" s="8">
        <f t="shared" si="36"/>
        <v>12.819999999999709</v>
      </c>
      <c r="F827" s="8">
        <f t="shared" si="37"/>
        <v>-0.12000000000000455</v>
      </c>
      <c r="H827" s="12">
        <f t="shared" si="38"/>
        <v>1.8123404477778178</v>
      </c>
    </row>
    <row r="828" spans="1:8" x14ac:dyDescent="0.25">
      <c r="A828" s="1">
        <v>45133</v>
      </c>
      <c r="B828" s="8">
        <v>4567.46</v>
      </c>
      <c r="C828" s="2">
        <v>93.24</v>
      </c>
      <c r="E828" s="8">
        <f t="shared" si="36"/>
        <v>-0.71000000000003638</v>
      </c>
      <c r="F828" s="8">
        <f t="shared" si="37"/>
        <v>-2.3999999999999915</v>
      </c>
      <c r="H828" s="12">
        <f t="shared" si="38"/>
        <v>1.8032890561179058</v>
      </c>
    </row>
    <row r="829" spans="1:8" x14ac:dyDescent="0.25">
      <c r="A829" s="1">
        <v>45134</v>
      </c>
      <c r="B829" s="8">
        <v>4566.75</v>
      </c>
      <c r="C829" s="2">
        <v>90.84</v>
      </c>
      <c r="E829" s="8">
        <f t="shared" si="36"/>
        <v>-29.340000000000146</v>
      </c>
      <c r="F829" s="8">
        <f t="shared" si="37"/>
        <v>4.6799999999999926</v>
      </c>
      <c r="H829" s="12">
        <f t="shared" si="38"/>
        <v>1.7897900309989752</v>
      </c>
    </row>
    <row r="830" spans="1:8" x14ac:dyDescent="0.25">
      <c r="A830" s="1">
        <v>45135</v>
      </c>
      <c r="B830" s="8">
        <v>4537.41</v>
      </c>
      <c r="C830" s="2">
        <v>95.52</v>
      </c>
      <c r="E830" s="8">
        <f t="shared" si="36"/>
        <v>44.819999999999709</v>
      </c>
      <c r="F830" s="8">
        <f t="shared" si="37"/>
        <v>-3.9200000000000017</v>
      </c>
      <c r="H830" s="12">
        <f t="shared" si="38"/>
        <v>1.7735098723797877</v>
      </c>
    </row>
    <row r="831" spans="1:8" x14ac:dyDescent="0.25">
      <c r="A831" s="1">
        <v>45138</v>
      </c>
      <c r="B831" s="8">
        <v>4582.2299999999996</v>
      </c>
      <c r="C831" s="2">
        <v>91.6</v>
      </c>
      <c r="E831" s="8">
        <f t="shared" si="36"/>
        <v>6.7300000000004729</v>
      </c>
      <c r="F831" s="8">
        <f t="shared" si="37"/>
        <v>-0.91999999999998749</v>
      </c>
      <c r="H831" s="12">
        <f t="shared" si="38"/>
        <v>1.7650456932274643</v>
      </c>
    </row>
    <row r="832" spans="1:8" x14ac:dyDescent="0.25">
      <c r="A832" s="1">
        <v>45139</v>
      </c>
      <c r="B832" s="8">
        <v>4588.96</v>
      </c>
      <c r="C832" s="2">
        <v>90.68</v>
      </c>
      <c r="E832" s="8">
        <f t="shared" si="36"/>
        <v>-12.230000000000473</v>
      </c>
      <c r="F832" s="8">
        <f t="shared" si="37"/>
        <v>1.1999999999999886</v>
      </c>
      <c r="H832" s="12">
        <f t="shared" si="38"/>
        <v>1.7362718607760252</v>
      </c>
    </row>
    <row r="833" spans="1:8" x14ac:dyDescent="0.25">
      <c r="A833" s="1">
        <v>45140</v>
      </c>
      <c r="B833" s="8">
        <v>4576.7299999999996</v>
      </c>
      <c r="C833" s="2">
        <v>91.88</v>
      </c>
      <c r="E833" s="8">
        <f t="shared" si="36"/>
        <v>-63.339999999999236</v>
      </c>
      <c r="F833" s="8">
        <f t="shared" si="37"/>
        <v>8.64</v>
      </c>
      <c r="H833" s="12">
        <f t="shared" si="38"/>
        <v>1.695916934881361</v>
      </c>
    </row>
    <row r="834" spans="1:8" x14ac:dyDescent="0.25">
      <c r="A834" s="1">
        <v>45141</v>
      </c>
      <c r="B834" s="8">
        <v>4513.3900000000003</v>
      </c>
      <c r="C834" s="2">
        <v>100.52</v>
      </c>
      <c r="E834" s="8">
        <f t="shared" si="36"/>
        <v>-11.5</v>
      </c>
      <c r="F834" s="8">
        <f t="shared" si="37"/>
        <v>-0.56000000000000227</v>
      </c>
      <c r="H834" s="12">
        <f t="shared" si="38"/>
        <v>1.6606108020695944</v>
      </c>
    </row>
    <row r="835" spans="1:8" x14ac:dyDescent="0.25">
      <c r="A835" s="1">
        <v>45142</v>
      </c>
      <c r="B835" s="8">
        <v>4501.8900000000003</v>
      </c>
      <c r="C835" s="2">
        <v>99.96</v>
      </c>
      <c r="E835" s="8">
        <f t="shared" ref="E835:E898" si="39">B836-B835</f>
        <v>-23.860000000000582</v>
      </c>
      <c r="F835" s="8">
        <f t="shared" ref="F835:F898" si="40">C836-C835</f>
        <v>3.480000000000004</v>
      </c>
      <c r="H835" s="12">
        <f t="shared" ref="H835:H898" si="41">LOG(_xlfn.STDEV.P(B835:B865))</f>
        <v>1.6506180153161458</v>
      </c>
    </row>
    <row r="836" spans="1:8" x14ac:dyDescent="0.25">
      <c r="A836" s="1">
        <v>45145</v>
      </c>
      <c r="B836" s="8">
        <v>4478.03</v>
      </c>
      <c r="C836" s="2">
        <v>103.44</v>
      </c>
      <c r="E836" s="8">
        <f t="shared" si="39"/>
        <v>40.409999999999854</v>
      </c>
      <c r="F836" s="8">
        <f t="shared" si="40"/>
        <v>-5.4399999999999977</v>
      </c>
      <c r="H836" s="12">
        <f t="shared" si="41"/>
        <v>1.643454901593943</v>
      </c>
    </row>
    <row r="837" spans="1:8" x14ac:dyDescent="0.25">
      <c r="A837" s="1">
        <v>45146</v>
      </c>
      <c r="B837" s="8">
        <v>4518.4399999999996</v>
      </c>
      <c r="C837" s="2">
        <v>98</v>
      </c>
      <c r="E837" s="8">
        <f t="shared" si="39"/>
        <v>-19.059999999999491</v>
      </c>
      <c r="F837" s="8">
        <f t="shared" si="40"/>
        <v>2.1599999999999966</v>
      </c>
      <c r="H837" s="12">
        <f t="shared" si="41"/>
        <v>1.6421140593436849</v>
      </c>
    </row>
    <row r="838" spans="1:8" x14ac:dyDescent="0.25">
      <c r="A838" s="1">
        <v>45147</v>
      </c>
      <c r="B838" s="8">
        <v>4499.38</v>
      </c>
      <c r="C838" s="2">
        <v>100.16</v>
      </c>
      <c r="E838" s="8">
        <f t="shared" si="39"/>
        <v>-31.670000000000073</v>
      </c>
      <c r="F838" s="8">
        <f t="shared" si="40"/>
        <v>-1.039999999999992</v>
      </c>
      <c r="H838" s="12">
        <f t="shared" si="41"/>
        <v>1.6359551099599026</v>
      </c>
    </row>
    <row r="839" spans="1:8" x14ac:dyDescent="0.25">
      <c r="A839" s="1">
        <v>45148</v>
      </c>
      <c r="B839" s="8">
        <v>4467.71</v>
      </c>
      <c r="C839" s="2">
        <v>99.12</v>
      </c>
      <c r="E839" s="8">
        <f t="shared" si="39"/>
        <v>1.1199999999998909</v>
      </c>
      <c r="F839" s="8">
        <f t="shared" si="40"/>
        <v>0.35999999999999943</v>
      </c>
      <c r="H839" s="12">
        <f t="shared" si="41"/>
        <v>1.6751416420006662</v>
      </c>
    </row>
    <row r="840" spans="1:8" x14ac:dyDescent="0.25">
      <c r="A840" s="1">
        <v>45149</v>
      </c>
      <c r="B840" s="8">
        <v>4468.83</v>
      </c>
      <c r="C840" s="2">
        <v>99.48</v>
      </c>
      <c r="E840" s="8">
        <f t="shared" si="39"/>
        <v>-4.7799999999997453</v>
      </c>
      <c r="F840" s="8">
        <f t="shared" si="40"/>
        <v>-3.9200000000000017</v>
      </c>
      <c r="H840" s="12">
        <f t="shared" si="41"/>
        <v>1.7166520768690583</v>
      </c>
    </row>
    <row r="841" spans="1:8" x14ac:dyDescent="0.25">
      <c r="A841" s="1">
        <v>45152</v>
      </c>
      <c r="B841" s="8">
        <v>4464.05</v>
      </c>
      <c r="C841" s="2">
        <v>95.56</v>
      </c>
      <c r="E841" s="8">
        <f t="shared" si="39"/>
        <v>25.670000000000073</v>
      </c>
      <c r="F841" s="8">
        <f t="shared" si="40"/>
        <v>-1.6400000000000006</v>
      </c>
      <c r="H841" s="12">
        <f t="shared" si="41"/>
        <v>1.7396774075293977</v>
      </c>
    </row>
    <row r="842" spans="1:8" x14ac:dyDescent="0.25">
      <c r="A842" s="1">
        <v>45153</v>
      </c>
      <c r="B842" s="8">
        <v>4489.72</v>
      </c>
      <c r="C842" s="2">
        <v>93.92</v>
      </c>
      <c r="E842" s="8">
        <f t="shared" si="39"/>
        <v>-51.860000000000582</v>
      </c>
      <c r="F842" s="8">
        <f t="shared" si="40"/>
        <v>5.3999999999999915</v>
      </c>
      <c r="H842" s="12">
        <f t="shared" si="41"/>
        <v>1.790674045095888</v>
      </c>
    </row>
    <row r="843" spans="1:8" x14ac:dyDescent="0.25">
      <c r="A843" s="1">
        <v>45154</v>
      </c>
      <c r="B843" s="8">
        <v>4437.8599999999997</v>
      </c>
      <c r="C843" s="2">
        <v>99.32</v>
      </c>
      <c r="E843" s="8">
        <f t="shared" si="39"/>
        <v>-33.529999999999745</v>
      </c>
      <c r="F843" s="8">
        <f t="shared" si="40"/>
        <v>1.6000000000000085</v>
      </c>
      <c r="H843" s="12">
        <f t="shared" si="41"/>
        <v>1.8236686765186056</v>
      </c>
    </row>
    <row r="844" spans="1:8" x14ac:dyDescent="0.25">
      <c r="A844" s="1">
        <v>45155</v>
      </c>
      <c r="B844" s="8">
        <v>4404.33</v>
      </c>
      <c r="C844" s="2">
        <v>100.92</v>
      </c>
      <c r="E844" s="8">
        <f t="shared" si="39"/>
        <v>-33.970000000000255</v>
      </c>
      <c r="F844" s="8">
        <f t="shared" si="40"/>
        <v>4.8799999999999955</v>
      </c>
      <c r="H844" s="12">
        <f t="shared" si="41"/>
        <v>1.8455122317149095</v>
      </c>
    </row>
    <row r="845" spans="1:8" x14ac:dyDescent="0.25">
      <c r="A845" s="1">
        <v>45156</v>
      </c>
      <c r="B845" s="8">
        <v>4370.3599999999997</v>
      </c>
      <c r="C845" s="2">
        <v>105.8</v>
      </c>
      <c r="E845" s="8">
        <f t="shared" si="39"/>
        <v>-0.6499999999996362</v>
      </c>
      <c r="F845" s="8">
        <f t="shared" si="40"/>
        <v>-2.6799999999999926</v>
      </c>
      <c r="H845" s="12">
        <f t="shared" si="41"/>
        <v>1.867937293797324</v>
      </c>
    </row>
    <row r="846" spans="1:8" x14ac:dyDescent="0.25">
      <c r="A846" s="1">
        <v>45159</v>
      </c>
      <c r="B846" s="8">
        <v>4369.71</v>
      </c>
      <c r="C846" s="2">
        <v>103.12</v>
      </c>
      <c r="E846" s="8">
        <f t="shared" si="39"/>
        <v>30.0600000000004</v>
      </c>
      <c r="F846" s="8">
        <f t="shared" si="40"/>
        <v>-2.6800000000000068</v>
      </c>
      <c r="H846" s="12">
        <f t="shared" si="41"/>
        <v>1.8851304267639399</v>
      </c>
    </row>
    <row r="847" spans="1:8" x14ac:dyDescent="0.25">
      <c r="A847" s="1">
        <v>45160</v>
      </c>
      <c r="B847" s="8">
        <v>4399.7700000000004</v>
      </c>
      <c r="C847" s="2">
        <v>100.44</v>
      </c>
      <c r="E847" s="8">
        <f t="shared" si="39"/>
        <v>-12.220000000000255</v>
      </c>
      <c r="F847" s="8">
        <f t="shared" si="40"/>
        <v>0.40000000000000568</v>
      </c>
      <c r="H847" s="12">
        <f t="shared" si="41"/>
        <v>1.9193182828891275</v>
      </c>
    </row>
    <row r="848" spans="1:8" x14ac:dyDescent="0.25">
      <c r="A848" s="1">
        <v>45161</v>
      </c>
      <c r="B848" s="8">
        <v>4387.55</v>
      </c>
      <c r="C848" s="2">
        <v>100.84</v>
      </c>
      <c r="E848" s="8">
        <f t="shared" si="39"/>
        <v>48.460000000000036</v>
      </c>
      <c r="F848" s="8">
        <f t="shared" si="40"/>
        <v>-3.3599999999999994</v>
      </c>
      <c r="H848" s="12">
        <f t="shared" si="41"/>
        <v>1.9389563392371039</v>
      </c>
    </row>
    <row r="849" spans="1:8" x14ac:dyDescent="0.25">
      <c r="A849" s="1">
        <v>45162</v>
      </c>
      <c r="B849" s="8">
        <v>4436.01</v>
      </c>
      <c r="C849" s="2">
        <v>97.48</v>
      </c>
      <c r="E849" s="8">
        <f t="shared" si="39"/>
        <v>-59.699999999999818</v>
      </c>
      <c r="F849" s="8">
        <f t="shared" si="40"/>
        <v>3.7199999999999989</v>
      </c>
      <c r="H849" s="12">
        <f t="shared" si="41"/>
        <v>1.9571370146640807</v>
      </c>
    </row>
    <row r="850" spans="1:8" x14ac:dyDescent="0.25">
      <c r="A850" s="1">
        <v>45163</v>
      </c>
      <c r="B850" s="8">
        <v>4376.3100000000004</v>
      </c>
      <c r="C850" s="2">
        <v>101.2</v>
      </c>
      <c r="E850" s="8">
        <f t="shared" si="39"/>
        <v>29.399999999999636</v>
      </c>
      <c r="F850" s="8">
        <f t="shared" si="40"/>
        <v>-4.4000000000000057</v>
      </c>
      <c r="H850" s="12">
        <f t="shared" si="41"/>
        <v>1.9626098196956321</v>
      </c>
    </row>
    <row r="851" spans="1:8" x14ac:dyDescent="0.25">
      <c r="A851" s="1">
        <v>45166</v>
      </c>
      <c r="B851" s="8">
        <v>4405.71</v>
      </c>
      <c r="C851" s="2">
        <v>96.8</v>
      </c>
      <c r="E851" s="8">
        <f t="shared" si="39"/>
        <v>27.600000000000364</v>
      </c>
      <c r="F851" s="8">
        <f t="shared" si="40"/>
        <v>-3.6799999999999926</v>
      </c>
      <c r="H851" s="12">
        <f t="shared" si="41"/>
        <v>1.9652339910480818</v>
      </c>
    </row>
    <row r="852" spans="1:8" x14ac:dyDescent="0.25">
      <c r="A852" s="1">
        <v>45167</v>
      </c>
      <c r="B852" s="8">
        <v>4433.3100000000004</v>
      </c>
      <c r="C852" s="2">
        <v>93.12</v>
      </c>
      <c r="E852" s="8">
        <f t="shared" si="39"/>
        <v>64.319999999999709</v>
      </c>
      <c r="F852" s="8">
        <f t="shared" si="40"/>
        <v>-2.4399999999999977</v>
      </c>
      <c r="H852" s="12">
        <f t="shared" si="41"/>
        <v>1.9661386441636601</v>
      </c>
    </row>
    <row r="853" spans="1:8" x14ac:dyDescent="0.25">
      <c r="A853" s="1">
        <v>45168</v>
      </c>
      <c r="B853" s="8">
        <v>4497.63</v>
      </c>
      <c r="C853" s="2">
        <v>90.68</v>
      </c>
      <c r="E853" s="8">
        <f t="shared" si="39"/>
        <v>17.239999999999782</v>
      </c>
      <c r="F853" s="8">
        <f t="shared" si="40"/>
        <v>-3.0800000000000125</v>
      </c>
      <c r="H853" s="12">
        <f t="shared" si="41"/>
        <v>1.9649157171638465</v>
      </c>
    </row>
    <row r="854" spans="1:8" x14ac:dyDescent="0.25">
      <c r="A854" s="1">
        <v>45169</v>
      </c>
      <c r="B854" s="8">
        <v>4514.87</v>
      </c>
      <c r="C854" s="2">
        <v>87.6</v>
      </c>
      <c r="E854" s="8">
        <f t="shared" si="39"/>
        <v>-7.2100000000000364</v>
      </c>
      <c r="F854" s="8">
        <f t="shared" si="40"/>
        <v>-1.519999999999996</v>
      </c>
      <c r="H854" s="12">
        <f t="shared" si="41"/>
        <v>1.9562127051486484</v>
      </c>
    </row>
    <row r="855" spans="1:8" x14ac:dyDescent="0.25">
      <c r="A855" s="1">
        <v>45170</v>
      </c>
      <c r="B855" s="8">
        <v>4507.66</v>
      </c>
      <c r="C855" s="2">
        <v>86.08</v>
      </c>
      <c r="E855" s="8">
        <f t="shared" si="39"/>
        <v>8.1100000000005821</v>
      </c>
      <c r="F855" s="8">
        <f t="shared" si="40"/>
        <v>-1.2000000000000028</v>
      </c>
      <c r="H855" s="12">
        <f t="shared" si="41"/>
        <v>1.9436344924780178</v>
      </c>
    </row>
    <row r="856" spans="1:8" x14ac:dyDescent="0.25">
      <c r="A856" s="1">
        <v>45174</v>
      </c>
      <c r="B856" s="8">
        <v>4515.7700000000004</v>
      </c>
      <c r="C856" s="2">
        <v>84.88</v>
      </c>
      <c r="E856" s="8">
        <f t="shared" si="39"/>
        <v>-18.940000000000509</v>
      </c>
      <c r="F856" s="8">
        <f t="shared" si="40"/>
        <v>0.88000000000000966</v>
      </c>
      <c r="H856" s="12">
        <f t="shared" si="41"/>
        <v>1.9278325699000507</v>
      </c>
    </row>
    <row r="857" spans="1:8" x14ac:dyDescent="0.25">
      <c r="A857" s="1">
        <v>45175</v>
      </c>
      <c r="B857" s="8">
        <v>4496.83</v>
      </c>
      <c r="C857" s="2">
        <v>85.76</v>
      </c>
      <c r="E857" s="8">
        <f t="shared" si="39"/>
        <v>-31.350000000000364</v>
      </c>
      <c r="F857" s="8">
        <f t="shared" si="40"/>
        <v>1.3599999999999994</v>
      </c>
      <c r="H857" s="12">
        <f t="shared" si="41"/>
        <v>1.9071290592176389</v>
      </c>
    </row>
    <row r="858" spans="1:8" x14ac:dyDescent="0.25">
      <c r="A858" s="1">
        <v>45176</v>
      </c>
      <c r="B858" s="8">
        <v>4465.4799999999996</v>
      </c>
      <c r="C858" s="2">
        <v>87.12</v>
      </c>
      <c r="E858" s="8">
        <f t="shared" si="39"/>
        <v>-14.339999999999236</v>
      </c>
      <c r="F858" s="8">
        <f t="shared" si="40"/>
        <v>-0.1600000000000108</v>
      </c>
      <c r="H858" s="12">
        <f t="shared" si="41"/>
        <v>1.89197615209585</v>
      </c>
    </row>
    <row r="859" spans="1:8" x14ac:dyDescent="0.25">
      <c r="A859" s="1">
        <v>45177</v>
      </c>
      <c r="B859" s="8">
        <v>4451.1400000000003</v>
      </c>
      <c r="C859" s="2">
        <v>86.96</v>
      </c>
      <c r="E859" s="8">
        <f t="shared" si="39"/>
        <v>6.3499999999994543</v>
      </c>
      <c r="F859" s="8">
        <f t="shared" si="40"/>
        <v>-1.7199999999999989</v>
      </c>
      <c r="H859" s="12">
        <f t="shared" si="41"/>
        <v>1.8878912320976342</v>
      </c>
    </row>
    <row r="860" spans="1:8" x14ac:dyDescent="0.25">
      <c r="A860" s="1">
        <v>45180</v>
      </c>
      <c r="B860" s="8">
        <v>4457.49</v>
      </c>
      <c r="C860" s="2">
        <v>85.24</v>
      </c>
      <c r="E860" s="8">
        <f t="shared" si="39"/>
        <v>29.970000000000255</v>
      </c>
      <c r="F860" s="8">
        <f t="shared" si="40"/>
        <v>-2.1999999999999886</v>
      </c>
      <c r="H860" s="12">
        <f t="shared" si="41"/>
        <v>1.8972958315721236</v>
      </c>
    </row>
    <row r="861" spans="1:8" x14ac:dyDescent="0.25">
      <c r="A861" s="1">
        <v>45181</v>
      </c>
      <c r="B861" s="8">
        <v>4487.46</v>
      </c>
      <c r="C861" s="2">
        <v>83.04</v>
      </c>
      <c r="E861" s="8">
        <f t="shared" si="39"/>
        <v>-25.5600000000004</v>
      </c>
      <c r="F861" s="8">
        <f t="shared" si="40"/>
        <v>0.64000000000000057</v>
      </c>
      <c r="H861" s="12">
        <f t="shared" si="41"/>
        <v>1.9031002328066324</v>
      </c>
    </row>
    <row r="862" spans="1:8" x14ac:dyDescent="0.25">
      <c r="A862" s="1">
        <v>45182</v>
      </c>
      <c r="B862" s="8">
        <v>4461.8999999999996</v>
      </c>
      <c r="C862" s="2">
        <v>83.68</v>
      </c>
      <c r="E862" s="8">
        <f t="shared" si="39"/>
        <v>5.5399999999999636</v>
      </c>
      <c r="F862" s="8">
        <f t="shared" si="40"/>
        <v>-1.480000000000004</v>
      </c>
      <c r="H862" s="12">
        <f t="shared" si="41"/>
        <v>1.8883511656740599</v>
      </c>
    </row>
    <row r="863" spans="1:8" x14ac:dyDescent="0.25">
      <c r="A863" s="1">
        <v>45183</v>
      </c>
      <c r="B863" s="8">
        <v>4467.4399999999996</v>
      </c>
      <c r="C863" s="2">
        <v>82.2</v>
      </c>
      <c r="E863" s="8">
        <f t="shared" si="39"/>
        <v>37.660000000000764</v>
      </c>
      <c r="F863" s="8">
        <f t="shared" si="40"/>
        <v>-2.519999999999996</v>
      </c>
      <c r="H863" s="12">
        <f t="shared" si="41"/>
        <v>1.8932971737088762</v>
      </c>
    </row>
    <row r="864" spans="1:8" x14ac:dyDescent="0.25">
      <c r="A864" s="1">
        <v>45184</v>
      </c>
      <c r="B864" s="8">
        <v>4505.1000000000004</v>
      </c>
      <c r="C864" s="2">
        <v>79.680000000000007</v>
      </c>
      <c r="E864" s="8">
        <f t="shared" si="39"/>
        <v>-54.780000000000655</v>
      </c>
      <c r="F864" s="8">
        <f t="shared" si="40"/>
        <v>3.039999999999992</v>
      </c>
      <c r="H864" s="12">
        <f t="shared" si="41"/>
        <v>1.9079157758187195</v>
      </c>
    </row>
    <row r="865" spans="1:8" x14ac:dyDescent="0.25">
      <c r="A865" s="1">
        <v>45187</v>
      </c>
      <c r="B865" s="8">
        <v>4450.32</v>
      </c>
      <c r="C865" s="2">
        <v>82.72</v>
      </c>
      <c r="E865" s="8">
        <f t="shared" si="39"/>
        <v>3.2100000000000364</v>
      </c>
      <c r="F865" s="8">
        <f t="shared" si="40"/>
        <v>-0.56000000000000227</v>
      </c>
      <c r="H865" s="12">
        <f t="shared" si="41"/>
        <v>1.90751562964392</v>
      </c>
    </row>
    <row r="866" spans="1:8" x14ac:dyDescent="0.25">
      <c r="A866" s="1">
        <v>45188</v>
      </c>
      <c r="B866" s="8">
        <v>4453.53</v>
      </c>
      <c r="C866" s="2">
        <v>82.16</v>
      </c>
      <c r="E866" s="8">
        <f t="shared" si="39"/>
        <v>-9.5799999999999272</v>
      </c>
      <c r="F866" s="8">
        <f t="shared" si="40"/>
        <v>-0.56000000000000227</v>
      </c>
      <c r="H866" s="12">
        <f t="shared" si="41"/>
        <v>1.9021956100753985</v>
      </c>
    </row>
    <row r="867" spans="1:8" x14ac:dyDescent="0.25">
      <c r="A867" s="1">
        <v>45189</v>
      </c>
      <c r="B867" s="8">
        <v>4443.95</v>
      </c>
      <c r="C867" s="2">
        <v>81.599999999999994</v>
      </c>
      <c r="E867" s="8">
        <f t="shared" si="39"/>
        <v>-41.75</v>
      </c>
      <c r="F867" s="8">
        <f t="shared" si="40"/>
        <v>3.0400000000000063</v>
      </c>
      <c r="H867" s="12">
        <f t="shared" si="41"/>
        <v>1.8828009169920186</v>
      </c>
    </row>
    <row r="868" spans="1:8" x14ac:dyDescent="0.25">
      <c r="A868" s="1">
        <v>45190</v>
      </c>
      <c r="B868" s="8">
        <v>4402.2</v>
      </c>
      <c r="C868" s="2">
        <v>84.64</v>
      </c>
      <c r="E868" s="8">
        <f t="shared" si="39"/>
        <v>-72.199999999999818</v>
      </c>
      <c r="F868" s="8">
        <f t="shared" si="40"/>
        <v>6.7600000000000051</v>
      </c>
      <c r="H868" s="12">
        <f t="shared" si="41"/>
        <v>1.852412407984056</v>
      </c>
    </row>
    <row r="869" spans="1:8" x14ac:dyDescent="0.25">
      <c r="A869" s="1">
        <v>45191</v>
      </c>
      <c r="B869" s="8">
        <v>4330</v>
      </c>
      <c r="C869" s="2">
        <v>91.4</v>
      </c>
      <c r="E869" s="8">
        <f t="shared" si="39"/>
        <v>-9.9399999999995998</v>
      </c>
      <c r="F869" s="8">
        <f t="shared" si="40"/>
        <v>0.19999999999998863</v>
      </c>
      <c r="H869" s="12">
        <f t="shared" si="41"/>
        <v>1.8326296428623743</v>
      </c>
    </row>
    <row r="870" spans="1:8" x14ac:dyDescent="0.25">
      <c r="A870" s="1">
        <v>45194</v>
      </c>
      <c r="B870" s="8">
        <v>4320.0600000000004</v>
      </c>
      <c r="C870" s="2">
        <v>91.6</v>
      </c>
      <c r="E870" s="8">
        <f t="shared" si="39"/>
        <v>17.3799999999992</v>
      </c>
      <c r="F870" s="8">
        <f t="shared" si="40"/>
        <v>-0.19999999999998863</v>
      </c>
      <c r="H870" s="12">
        <f t="shared" si="41"/>
        <v>1.8382298663752117</v>
      </c>
    </row>
    <row r="871" spans="1:8" x14ac:dyDescent="0.25">
      <c r="A871" s="1">
        <v>45195</v>
      </c>
      <c r="B871" s="8">
        <v>4337.4399999999996</v>
      </c>
      <c r="C871" s="2">
        <v>91.4</v>
      </c>
      <c r="E871" s="8">
        <f t="shared" si="39"/>
        <v>-63.909999999999854</v>
      </c>
      <c r="F871" s="8">
        <f t="shared" si="40"/>
        <v>9.2800000000000011</v>
      </c>
      <c r="H871" s="12">
        <f t="shared" si="41"/>
        <v>1.8467024361095992</v>
      </c>
    </row>
    <row r="872" spans="1:8" x14ac:dyDescent="0.25">
      <c r="A872" s="1">
        <v>45196</v>
      </c>
      <c r="B872" s="8">
        <v>4273.53</v>
      </c>
      <c r="C872" s="2">
        <v>100.68</v>
      </c>
      <c r="E872" s="8">
        <f t="shared" si="39"/>
        <v>0.98000000000047294</v>
      </c>
      <c r="F872" s="8">
        <f t="shared" si="40"/>
        <v>-4.8400000000000034</v>
      </c>
      <c r="H872" s="12">
        <f t="shared" si="41"/>
        <v>1.8554974344479647</v>
      </c>
    </row>
    <row r="873" spans="1:8" x14ac:dyDescent="0.25">
      <c r="A873" s="1">
        <v>45197</v>
      </c>
      <c r="B873" s="8">
        <v>4274.51</v>
      </c>
      <c r="C873" s="2">
        <v>95.84</v>
      </c>
      <c r="E873" s="8">
        <f t="shared" si="39"/>
        <v>25.1899999999996</v>
      </c>
      <c r="F873" s="8">
        <f t="shared" si="40"/>
        <v>-4.2400000000000091</v>
      </c>
      <c r="H873" s="12">
        <f t="shared" si="41"/>
        <v>1.8685191619688297</v>
      </c>
    </row>
    <row r="874" spans="1:8" x14ac:dyDescent="0.25">
      <c r="A874" s="1">
        <v>45198</v>
      </c>
      <c r="B874" s="8">
        <v>4299.7</v>
      </c>
      <c r="C874" s="2">
        <v>91.6</v>
      </c>
      <c r="E874" s="8">
        <f t="shared" si="39"/>
        <v>-11.649999999999636</v>
      </c>
      <c r="F874" s="8">
        <f t="shared" si="40"/>
        <v>1.6000000000000085</v>
      </c>
      <c r="H874" s="12">
        <f t="shared" si="41"/>
        <v>1.8731271550301887</v>
      </c>
    </row>
    <row r="875" spans="1:8" x14ac:dyDescent="0.25">
      <c r="A875" s="1">
        <v>45201</v>
      </c>
      <c r="B875" s="8">
        <v>4288.05</v>
      </c>
      <c r="C875" s="2">
        <v>93.2</v>
      </c>
      <c r="E875" s="8">
        <f t="shared" si="39"/>
        <v>0.34000000000014552</v>
      </c>
      <c r="F875" s="8">
        <f t="shared" si="40"/>
        <v>0.31999999999999318</v>
      </c>
      <c r="H875" s="12">
        <f t="shared" si="41"/>
        <v>1.8921329521321411</v>
      </c>
    </row>
    <row r="876" spans="1:8" x14ac:dyDescent="0.25">
      <c r="A876" s="1">
        <v>45202</v>
      </c>
      <c r="B876" s="8">
        <v>4288.3900000000003</v>
      </c>
      <c r="C876" s="2">
        <v>93.52</v>
      </c>
      <c r="E876" s="8">
        <f t="shared" si="39"/>
        <v>-58.940000000000509</v>
      </c>
      <c r="F876" s="8">
        <f t="shared" si="40"/>
        <v>8.7199999999999989</v>
      </c>
      <c r="H876" s="12">
        <f t="shared" si="41"/>
        <v>1.9077333703382489</v>
      </c>
    </row>
    <row r="877" spans="1:8" x14ac:dyDescent="0.25">
      <c r="A877" s="1">
        <v>45203</v>
      </c>
      <c r="B877" s="8">
        <v>4229.45</v>
      </c>
      <c r="C877" s="2">
        <v>102.24</v>
      </c>
      <c r="E877" s="8">
        <f t="shared" si="39"/>
        <v>34.300000000000182</v>
      </c>
      <c r="F877" s="8">
        <f t="shared" si="40"/>
        <v>-5.2199999999999989</v>
      </c>
      <c r="H877" s="12">
        <f t="shared" si="41"/>
        <v>1.9458475461792113</v>
      </c>
    </row>
    <row r="878" spans="1:8" x14ac:dyDescent="0.25">
      <c r="A878" s="1">
        <v>45204</v>
      </c>
      <c r="B878" s="8">
        <v>4263.75</v>
      </c>
      <c r="C878" s="2">
        <v>97.02</v>
      </c>
      <c r="E878" s="8">
        <f t="shared" si="39"/>
        <v>-5.5600000000004002</v>
      </c>
      <c r="F878" s="8">
        <f t="shared" si="40"/>
        <v>-1.1400000000000006</v>
      </c>
      <c r="H878" s="12">
        <f t="shared" si="41"/>
        <v>1.973572645282589</v>
      </c>
    </row>
    <row r="879" spans="1:8" x14ac:dyDescent="0.25">
      <c r="A879" s="1">
        <v>45205</v>
      </c>
      <c r="B879" s="8">
        <v>4258.1899999999996</v>
      </c>
      <c r="C879" s="2">
        <v>95.88</v>
      </c>
      <c r="E879" s="8">
        <f t="shared" si="39"/>
        <v>50.3100000000004</v>
      </c>
      <c r="F879" s="8">
        <f t="shared" si="40"/>
        <v>-1.3999999999999915</v>
      </c>
      <c r="H879" s="12">
        <f t="shared" si="41"/>
        <v>1.999654551823985</v>
      </c>
    </row>
    <row r="880" spans="1:8" x14ac:dyDescent="0.25">
      <c r="A880" s="1">
        <v>45208</v>
      </c>
      <c r="B880" s="8">
        <v>4308.5</v>
      </c>
      <c r="C880" s="2">
        <v>94.48</v>
      </c>
      <c r="E880" s="8">
        <f t="shared" si="39"/>
        <v>27.159999999999854</v>
      </c>
      <c r="F880" s="8">
        <f t="shared" si="40"/>
        <v>-1.2400000000000091</v>
      </c>
      <c r="H880" s="12">
        <f t="shared" si="41"/>
        <v>2.0213886525095131</v>
      </c>
    </row>
    <row r="881" spans="1:8" x14ac:dyDescent="0.25">
      <c r="A881" s="1">
        <v>45209</v>
      </c>
      <c r="B881" s="8">
        <v>4335.66</v>
      </c>
      <c r="C881" s="2">
        <v>93.24</v>
      </c>
      <c r="E881" s="8">
        <f t="shared" si="39"/>
        <v>22.579999999999927</v>
      </c>
      <c r="F881" s="8">
        <f t="shared" si="40"/>
        <v>-3.1199999999999903</v>
      </c>
      <c r="H881" s="12">
        <f t="shared" si="41"/>
        <v>2.0491190765514355</v>
      </c>
    </row>
    <row r="882" spans="1:8" x14ac:dyDescent="0.25">
      <c r="A882" s="1">
        <v>45210</v>
      </c>
      <c r="B882" s="8">
        <v>4358.24</v>
      </c>
      <c r="C882" s="2">
        <v>90.12</v>
      </c>
      <c r="E882" s="8">
        <f t="shared" si="39"/>
        <v>18.710000000000036</v>
      </c>
      <c r="F882" s="8">
        <f t="shared" si="40"/>
        <v>-1.6000000000000085</v>
      </c>
      <c r="H882" s="12">
        <f t="shared" si="41"/>
        <v>2.0705223284278511</v>
      </c>
    </row>
    <row r="883" spans="1:8" x14ac:dyDescent="0.25">
      <c r="A883" s="1">
        <v>45211</v>
      </c>
      <c r="B883" s="8">
        <v>4376.95</v>
      </c>
      <c r="C883" s="2">
        <v>88.52</v>
      </c>
      <c r="E883" s="8">
        <f t="shared" si="39"/>
        <v>-27.340000000000146</v>
      </c>
      <c r="F883" s="8">
        <f t="shared" si="40"/>
        <v>1.960000000000008</v>
      </c>
      <c r="H883" s="12">
        <f t="shared" si="41"/>
        <v>2.0921888516958336</v>
      </c>
    </row>
    <row r="884" spans="1:8" x14ac:dyDescent="0.25">
      <c r="A884" s="1">
        <v>45212</v>
      </c>
      <c r="B884" s="8">
        <v>4349.6099999999997</v>
      </c>
      <c r="C884" s="2">
        <v>90.48</v>
      </c>
      <c r="E884" s="8">
        <f t="shared" si="39"/>
        <v>-21.829999999999927</v>
      </c>
      <c r="F884" s="8">
        <f t="shared" si="40"/>
        <v>11</v>
      </c>
      <c r="H884" s="12">
        <f t="shared" si="41"/>
        <v>2.1110668988234051</v>
      </c>
    </row>
    <row r="885" spans="1:8" x14ac:dyDescent="0.25">
      <c r="A885" s="1">
        <v>45215</v>
      </c>
      <c r="B885" s="8">
        <v>4327.78</v>
      </c>
      <c r="C885" s="2">
        <v>101.48</v>
      </c>
      <c r="E885" s="8">
        <f t="shared" si="39"/>
        <v>45.850000000000364</v>
      </c>
      <c r="F885" s="8">
        <f t="shared" si="40"/>
        <v>-9.8400000000000034</v>
      </c>
      <c r="H885" s="12">
        <f t="shared" si="41"/>
        <v>2.1263255376992301</v>
      </c>
    </row>
    <row r="886" spans="1:8" x14ac:dyDescent="0.25">
      <c r="A886" s="1">
        <v>45216</v>
      </c>
      <c r="B886" s="8">
        <v>4373.63</v>
      </c>
      <c r="C886" s="2">
        <v>91.64</v>
      </c>
      <c r="E886" s="8">
        <f t="shared" si="39"/>
        <v>-0.43000000000029104</v>
      </c>
      <c r="F886" s="8">
        <f t="shared" si="40"/>
        <v>2.519999999999996</v>
      </c>
      <c r="H886" s="12">
        <f t="shared" si="41"/>
        <v>2.1397912507903563</v>
      </c>
    </row>
    <row r="887" spans="1:8" x14ac:dyDescent="0.25">
      <c r="A887" s="1">
        <v>45217</v>
      </c>
      <c r="B887" s="8">
        <v>4373.2</v>
      </c>
      <c r="C887" s="2">
        <v>94.16</v>
      </c>
      <c r="E887" s="8">
        <f t="shared" si="39"/>
        <v>-58.599999999999454</v>
      </c>
      <c r="F887" s="8">
        <f t="shared" si="40"/>
        <v>5.7600000000000051</v>
      </c>
      <c r="H887" s="12">
        <f t="shared" si="41"/>
        <v>2.1514989203359827</v>
      </c>
    </row>
    <row r="888" spans="1:8" x14ac:dyDescent="0.25">
      <c r="A888" s="1">
        <v>45218</v>
      </c>
      <c r="B888" s="8">
        <v>4314.6000000000004</v>
      </c>
      <c r="C888" s="2">
        <v>99.92</v>
      </c>
      <c r="E888" s="8">
        <f t="shared" si="39"/>
        <v>-36.600000000000364</v>
      </c>
      <c r="F888" s="8">
        <f t="shared" si="40"/>
        <v>5</v>
      </c>
      <c r="H888" s="12">
        <f t="shared" si="41"/>
        <v>2.1639929847699517</v>
      </c>
    </row>
    <row r="889" spans="1:8" x14ac:dyDescent="0.25">
      <c r="A889" s="1">
        <v>45219</v>
      </c>
      <c r="B889" s="8">
        <v>4278</v>
      </c>
      <c r="C889" s="2">
        <v>104.92</v>
      </c>
      <c r="E889" s="8">
        <f t="shared" si="39"/>
        <v>-53.840000000000146</v>
      </c>
      <c r="F889" s="8">
        <f t="shared" si="40"/>
        <v>0.84000000000000341</v>
      </c>
      <c r="H889" s="12">
        <f t="shared" si="41"/>
        <v>2.176743132607954</v>
      </c>
    </row>
    <row r="890" spans="1:8" x14ac:dyDescent="0.25">
      <c r="A890" s="1">
        <v>45222</v>
      </c>
      <c r="B890" s="8">
        <v>4224.16</v>
      </c>
      <c r="C890" s="2">
        <v>105.76</v>
      </c>
      <c r="E890" s="8">
        <f t="shared" si="39"/>
        <v>-7.1199999999998909</v>
      </c>
      <c r="F890" s="8">
        <f t="shared" si="40"/>
        <v>-3.7199999999999989</v>
      </c>
      <c r="H890" s="12">
        <f t="shared" si="41"/>
        <v>2.1823373263201655</v>
      </c>
    </row>
    <row r="891" spans="1:8" x14ac:dyDescent="0.25">
      <c r="A891" s="1">
        <v>45223</v>
      </c>
      <c r="B891" s="8">
        <v>4217.04</v>
      </c>
      <c r="C891" s="2">
        <v>102.04</v>
      </c>
      <c r="E891" s="8">
        <f t="shared" si="39"/>
        <v>30.640000000000327</v>
      </c>
      <c r="F891" s="8">
        <f t="shared" si="40"/>
        <v>-4.4000000000000057</v>
      </c>
      <c r="H891" s="12">
        <f t="shared" si="41"/>
        <v>2.1808437218810841</v>
      </c>
    </row>
    <row r="892" spans="1:8" x14ac:dyDescent="0.25">
      <c r="A892" s="1">
        <v>45224</v>
      </c>
      <c r="B892" s="8">
        <v>4247.68</v>
      </c>
      <c r="C892" s="2">
        <v>97.64</v>
      </c>
      <c r="E892" s="8">
        <f t="shared" si="39"/>
        <v>-60.909999999999854</v>
      </c>
      <c r="F892" s="8">
        <f t="shared" si="40"/>
        <v>6.1599999999999966</v>
      </c>
      <c r="H892" s="12">
        <f t="shared" si="41"/>
        <v>2.1745709275950094</v>
      </c>
    </row>
    <row r="893" spans="1:8" x14ac:dyDescent="0.25">
      <c r="A893" s="1">
        <v>45225</v>
      </c>
      <c r="B893" s="8">
        <v>4186.7700000000004</v>
      </c>
      <c r="C893" s="2">
        <v>103.8</v>
      </c>
      <c r="E893" s="8">
        <f t="shared" si="39"/>
        <v>-49.540000000000873</v>
      </c>
      <c r="F893" s="8">
        <f t="shared" si="40"/>
        <v>0.96000000000000796</v>
      </c>
      <c r="H893" s="12">
        <f t="shared" si="41"/>
        <v>2.1728885562455118</v>
      </c>
    </row>
    <row r="894" spans="1:8" x14ac:dyDescent="0.25">
      <c r="A894" s="1">
        <v>45226</v>
      </c>
      <c r="B894" s="8">
        <v>4137.2299999999996</v>
      </c>
      <c r="C894" s="2">
        <v>104.76</v>
      </c>
      <c r="E894" s="8">
        <f t="shared" si="39"/>
        <v>-19.859999999999673</v>
      </c>
      <c r="F894" s="8">
        <f t="shared" si="40"/>
        <v>3.3999999999999915</v>
      </c>
      <c r="H894" s="12">
        <f t="shared" si="41"/>
        <v>2.1617461358387868</v>
      </c>
    </row>
    <row r="895" spans="1:8" x14ac:dyDescent="0.25">
      <c r="A895" s="1">
        <v>45229</v>
      </c>
      <c r="B895" s="8">
        <v>4117.37</v>
      </c>
      <c r="C895" s="2">
        <v>108.16</v>
      </c>
      <c r="E895" s="8">
        <f t="shared" si="39"/>
        <v>49.449999999999818</v>
      </c>
      <c r="F895" s="8">
        <f t="shared" si="40"/>
        <v>-7.8799999999999955</v>
      </c>
      <c r="H895" s="12">
        <f t="shared" si="41"/>
        <v>2.1373648457381438</v>
      </c>
    </row>
    <row r="896" spans="1:8" x14ac:dyDescent="0.25">
      <c r="A896" s="1">
        <v>45230</v>
      </c>
      <c r="B896" s="8">
        <v>4166.82</v>
      </c>
      <c r="C896" s="2">
        <v>100.28</v>
      </c>
      <c r="E896" s="8">
        <f t="shared" si="39"/>
        <v>26.980000000000473</v>
      </c>
      <c r="F896" s="8">
        <f t="shared" si="40"/>
        <v>-6.5999999999999943</v>
      </c>
      <c r="H896" s="12">
        <f t="shared" si="41"/>
        <v>2.1002623070004889</v>
      </c>
    </row>
    <row r="897" spans="1:8" x14ac:dyDescent="0.25">
      <c r="A897" s="1">
        <v>45231</v>
      </c>
      <c r="B897" s="8">
        <v>4193.8</v>
      </c>
      <c r="C897" s="2">
        <v>93.68</v>
      </c>
      <c r="E897" s="8">
        <f t="shared" si="39"/>
        <v>44.059999999999491</v>
      </c>
      <c r="F897" s="8">
        <f t="shared" si="40"/>
        <v>-4.0800000000000125</v>
      </c>
      <c r="H897" s="12">
        <f t="shared" si="41"/>
        <v>2.0761448270630316</v>
      </c>
    </row>
    <row r="898" spans="1:8" x14ac:dyDescent="0.25">
      <c r="A898" s="1">
        <v>45232</v>
      </c>
      <c r="B898" s="8">
        <v>4237.8599999999997</v>
      </c>
      <c r="C898" s="2">
        <v>89.6</v>
      </c>
      <c r="E898" s="8">
        <f t="shared" si="39"/>
        <v>79.920000000000073</v>
      </c>
      <c r="F898" s="8">
        <f t="shared" si="40"/>
        <v>-2.9599999999999937</v>
      </c>
      <c r="H898" s="12">
        <f t="shared" si="41"/>
        <v>2.0512599228750146</v>
      </c>
    </row>
    <row r="899" spans="1:8" x14ac:dyDescent="0.25">
      <c r="A899" s="1">
        <v>45233</v>
      </c>
      <c r="B899" s="8">
        <v>4317.78</v>
      </c>
      <c r="C899" s="2">
        <v>86.64</v>
      </c>
      <c r="E899" s="8">
        <f t="shared" ref="E899:E962" si="42">B900-B899</f>
        <v>40.5600000000004</v>
      </c>
      <c r="F899" s="8">
        <f t="shared" ref="F899:F962" si="43">C900-C899</f>
        <v>-2.0400000000000063</v>
      </c>
      <c r="H899" s="12">
        <f t="shared" ref="H899:H962" si="44">LOG(_xlfn.STDEV.P(B899:B929))</f>
        <v>2.0290040067645654</v>
      </c>
    </row>
    <row r="900" spans="1:8" x14ac:dyDescent="0.25">
      <c r="A900" s="1">
        <v>45236</v>
      </c>
      <c r="B900" s="8">
        <v>4358.34</v>
      </c>
      <c r="C900" s="2">
        <v>84.6</v>
      </c>
      <c r="E900" s="8">
        <f t="shared" si="42"/>
        <v>7.6399999999994179</v>
      </c>
      <c r="F900" s="8">
        <f t="shared" si="43"/>
        <v>-2.7999999999999972</v>
      </c>
      <c r="H900" s="12">
        <f t="shared" si="44"/>
        <v>2.027099092797366</v>
      </c>
    </row>
    <row r="901" spans="1:8" x14ac:dyDescent="0.25">
      <c r="A901" s="1">
        <v>45237</v>
      </c>
      <c r="B901" s="8">
        <v>4365.9799999999996</v>
      </c>
      <c r="C901" s="2">
        <v>81.8</v>
      </c>
      <c r="E901" s="8">
        <f t="shared" si="42"/>
        <v>12.400000000000546</v>
      </c>
      <c r="F901" s="8">
        <f t="shared" si="43"/>
        <v>-0.43999999999999773</v>
      </c>
      <c r="H901" s="12">
        <f t="shared" si="44"/>
        <v>2.0355973510634406</v>
      </c>
    </row>
    <row r="902" spans="1:8" x14ac:dyDescent="0.25">
      <c r="A902" s="1">
        <v>45238</v>
      </c>
      <c r="B902" s="8">
        <v>4378.38</v>
      </c>
      <c r="C902" s="2">
        <v>81.36</v>
      </c>
      <c r="E902" s="8">
        <f t="shared" si="42"/>
        <v>4.3999999999996362</v>
      </c>
      <c r="F902" s="8">
        <f t="shared" si="43"/>
        <v>-1.4399999999999977</v>
      </c>
      <c r="H902" s="12">
        <f t="shared" si="44"/>
        <v>2.0250407006066449</v>
      </c>
    </row>
    <row r="903" spans="1:8" x14ac:dyDescent="0.25">
      <c r="A903" s="1">
        <v>45239</v>
      </c>
      <c r="B903" s="8">
        <v>4382.78</v>
      </c>
      <c r="C903" s="2">
        <v>79.92</v>
      </c>
      <c r="E903" s="8">
        <f t="shared" si="42"/>
        <v>-35.429999999999382</v>
      </c>
      <c r="F903" s="8">
        <f t="shared" si="43"/>
        <v>3.1599999999999966</v>
      </c>
      <c r="H903" s="12">
        <f t="shared" si="44"/>
        <v>2.0218099305179078</v>
      </c>
    </row>
    <row r="904" spans="1:8" x14ac:dyDescent="0.25">
      <c r="A904" s="1">
        <v>45240</v>
      </c>
      <c r="B904" s="8">
        <v>4347.3500000000004</v>
      </c>
      <c r="C904" s="2">
        <v>83.08</v>
      </c>
      <c r="E904" s="8">
        <f t="shared" si="42"/>
        <v>67.889999999999418</v>
      </c>
      <c r="F904" s="8">
        <f t="shared" si="43"/>
        <v>-3.5600000000000023</v>
      </c>
      <c r="H904" s="12">
        <f t="shared" si="44"/>
        <v>2.01570700844823</v>
      </c>
    </row>
    <row r="905" spans="1:8" x14ac:dyDescent="0.25">
      <c r="A905" s="1">
        <v>45243</v>
      </c>
      <c r="B905" s="8">
        <v>4415.24</v>
      </c>
      <c r="C905" s="2">
        <v>79.52</v>
      </c>
      <c r="E905" s="8">
        <f t="shared" si="42"/>
        <v>-3.6899999999995998</v>
      </c>
      <c r="F905" s="8">
        <f t="shared" si="43"/>
        <v>-0.59999999999999432</v>
      </c>
      <c r="H905" s="12">
        <f t="shared" si="44"/>
        <v>1.9963077028416596</v>
      </c>
    </row>
    <row r="906" spans="1:8" x14ac:dyDescent="0.25">
      <c r="A906" s="1">
        <v>45244</v>
      </c>
      <c r="B906" s="8">
        <v>4411.55</v>
      </c>
      <c r="C906" s="2">
        <v>78.92</v>
      </c>
      <c r="E906" s="8">
        <f t="shared" si="42"/>
        <v>84.149999999999636</v>
      </c>
      <c r="F906" s="8">
        <f t="shared" si="43"/>
        <v>-0.79999999999999716</v>
      </c>
      <c r="H906" s="12">
        <f t="shared" si="44"/>
        <v>1.9916854070820857</v>
      </c>
    </row>
    <row r="907" spans="1:8" x14ac:dyDescent="0.25">
      <c r="A907" s="1">
        <v>45245</v>
      </c>
      <c r="B907" s="8">
        <v>4495.7</v>
      </c>
      <c r="C907" s="2">
        <v>78.12</v>
      </c>
      <c r="E907" s="8">
        <f t="shared" si="42"/>
        <v>7.180000000000291</v>
      </c>
      <c r="F907" s="8">
        <f t="shared" si="43"/>
        <v>-1.7199999999999989</v>
      </c>
      <c r="H907" s="12">
        <f t="shared" si="44"/>
        <v>1.9796538321626878</v>
      </c>
    </row>
    <row r="908" spans="1:8" x14ac:dyDescent="0.25">
      <c r="A908" s="1">
        <v>45246</v>
      </c>
      <c r="B908" s="8">
        <v>4502.88</v>
      </c>
      <c r="C908" s="2">
        <v>76.400000000000006</v>
      </c>
      <c r="E908" s="8">
        <f t="shared" si="42"/>
        <v>5.3599999999996726</v>
      </c>
      <c r="F908" s="8">
        <f t="shared" si="43"/>
        <v>-1.1600000000000108</v>
      </c>
      <c r="H908" s="12">
        <f t="shared" si="44"/>
        <v>1.9810287806838844</v>
      </c>
    </row>
    <row r="909" spans="1:8" x14ac:dyDescent="0.25">
      <c r="A909" s="1">
        <v>45247</v>
      </c>
      <c r="B909" s="8">
        <v>4508.24</v>
      </c>
      <c r="C909" s="2">
        <v>75.239999999999995</v>
      </c>
      <c r="E909" s="8">
        <f t="shared" si="42"/>
        <v>5.7800000000006548</v>
      </c>
      <c r="F909" s="8">
        <f t="shared" si="43"/>
        <v>-1.1199999999999903</v>
      </c>
      <c r="H909" s="12">
        <f t="shared" si="44"/>
        <v>1.9754810021286473</v>
      </c>
    </row>
    <row r="910" spans="1:8" x14ac:dyDescent="0.25">
      <c r="A910" s="1">
        <v>45250</v>
      </c>
      <c r="B910" s="8">
        <v>4514.0200000000004</v>
      </c>
      <c r="C910" s="2">
        <v>74.12</v>
      </c>
      <c r="E910" s="8">
        <f t="shared" si="42"/>
        <v>33.359999999999673</v>
      </c>
      <c r="F910" s="8">
        <f t="shared" si="43"/>
        <v>-0.56000000000000227</v>
      </c>
      <c r="H910" s="12">
        <f t="shared" si="44"/>
        <v>1.9633391813658521</v>
      </c>
    </row>
    <row r="911" spans="1:8" x14ac:dyDescent="0.25">
      <c r="A911" s="1">
        <v>45251</v>
      </c>
      <c r="B911" s="8">
        <v>4547.38</v>
      </c>
      <c r="C911" s="2">
        <v>73.56</v>
      </c>
      <c r="E911" s="8">
        <f t="shared" si="42"/>
        <v>-9.1900000000005093</v>
      </c>
      <c r="F911" s="8">
        <f t="shared" si="43"/>
        <v>-1.5600000000000023</v>
      </c>
      <c r="H911" s="12">
        <f t="shared" si="44"/>
        <v>1.9485149785936418</v>
      </c>
    </row>
    <row r="912" spans="1:8" x14ac:dyDescent="0.25">
      <c r="A912" s="1">
        <v>45252</v>
      </c>
      <c r="B912" s="8">
        <v>4538.1899999999996</v>
      </c>
      <c r="C912" s="2">
        <v>72</v>
      </c>
      <c r="E912" s="8">
        <f t="shared" si="42"/>
        <v>18.430000000000291</v>
      </c>
      <c r="F912" s="8">
        <f t="shared" si="43"/>
        <v>0.68000000000000682</v>
      </c>
      <c r="H912" s="12">
        <f t="shared" si="44"/>
        <v>1.9393455123104506</v>
      </c>
    </row>
    <row r="913" spans="1:8" x14ac:dyDescent="0.25">
      <c r="A913" s="1">
        <v>45254</v>
      </c>
      <c r="B913" s="8">
        <v>4556.62</v>
      </c>
      <c r="C913" s="2">
        <v>72.680000000000007</v>
      </c>
      <c r="E913" s="8">
        <f t="shared" si="42"/>
        <v>2.7200000000002547</v>
      </c>
      <c r="F913" s="8">
        <f t="shared" si="43"/>
        <v>-3.1200000000000045</v>
      </c>
      <c r="H913" s="12">
        <f t="shared" si="44"/>
        <v>1.9346040337976704</v>
      </c>
    </row>
    <row r="914" spans="1:8" x14ac:dyDescent="0.25">
      <c r="A914" s="1">
        <v>45257</v>
      </c>
      <c r="B914" s="8">
        <v>4559.34</v>
      </c>
      <c r="C914" s="2">
        <v>69.56</v>
      </c>
      <c r="E914" s="8">
        <f t="shared" si="42"/>
        <v>-8.9099999999998545</v>
      </c>
      <c r="F914" s="8">
        <f t="shared" si="43"/>
        <v>0.39999999999999147</v>
      </c>
      <c r="H914" s="12">
        <f t="shared" si="44"/>
        <v>1.9298604494251625</v>
      </c>
    </row>
    <row r="915" spans="1:8" x14ac:dyDescent="0.25">
      <c r="A915" s="1">
        <v>45258</v>
      </c>
      <c r="B915" s="8">
        <v>4550.43</v>
      </c>
      <c r="C915" s="2">
        <v>69.959999999999994</v>
      </c>
      <c r="E915" s="8">
        <f t="shared" si="42"/>
        <v>4.4600000000000364</v>
      </c>
      <c r="F915" s="8">
        <f t="shared" si="43"/>
        <v>-0.8399999999999892</v>
      </c>
      <c r="H915" s="12">
        <f t="shared" si="44"/>
        <v>1.9279427232809683</v>
      </c>
    </row>
    <row r="916" spans="1:8" x14ac:dyDescent="0.25">
      <c r="A916" s="1">
        <v>45259</v>
      </c>
      <c r="B916" s="8">
        <v>4554.8900000000003</v>
      </c>
      <c r="C916" s="2">
        <v>69.12</v>
      </c>
      <c r="E916" s="8">
        <f t="shared" si="42"/>
        <v>-4.3100000000004002</v>
      </c>
      <c r="F916" s="8">
        <f t="shared" si="43"/>
        <v>1.039999999999992</v>
      </c>
      <c r="H916" s="12">
        <f t="shared" si="44"/>
        <v>1.9198137440765652</v>
      </c>
    </row>
    <row r="917" spans="1:8" x14ac:dyDescent="0.25">
      <c r="A917" s="1">
        <v>45260</v>
      </c>
      <c r="B917" s="8">
        <v>4550.58</v>
      </c>
      <c r="C917" s="2">
        <v>70.16</v>
      </c>
      <c r="E917" s="8">
        <f t="shared" si="42"/>
        <v>17.220000000000255</v>
      </c>
      <c r="F917" s="8">
        <f t="shared" si="43"/>
        <v>-1.1199999999999903</v>
      </c>
      <c r="H917" s="12">
        <f t="shared" si="44"/>
        <v>1.9097675821028393</v>
      </c>
    </row>
    <row r="918" spans="1:8" x14ac:dyDescent="0.25">
      <c r="A918" s="1">
        <v>45261</v>
      </c>
      <c r="B918" s="8">
        <v>4567.8</v>
      </c>
      <c r="C918" s="2">
        <v>69.040000000000006</v>
      </c>
      <c r="E918" s="8">
        <f t="shared" si="42"/>
        <v>26.829999999999927</v>
      </c>
      <c r="F918" s="8">
        <f t="shared" si="43"/>
        <v>-0.44000000000001194</v>
      </c>
      <c r="H918" s="12">
        <f t="shared" si="44"/>
        <v>1.890959023599937</v>
      </c>
    </row>
    <row r="919" spans="1:8" x14ac:dyDescent="0.25">
      <c r="A919" s="1">
        <v>45264</v>
      </c>
      <c r="B919" s="8">
        <v>4594.63</v>
      </c>
      <c r="C919" s="2">
        <v>68.599999999999994</v>
      </c>
      <c r="E919" s="8">
        <f t="shared" si="42"/>
        <v>-24.850000000000364</v>
      </c>
      <c r="F919" s="8">
        <f t="shared" si="43"/>
        <v>0.40000000000000568</v>
      </c>
      <c r="H919" s="12">
        <f t="shared" si="44"/>
        <v>1.8699720199345771</v>
      </c>
    </row>
    <row r="920" spans="1:8" x14ac:dyDescent="0.25">
      <c r="A920" s="1">
        <v>45265</v>
      </c>
      <c r="B920" s="8">
        <v>4569.78</v>
      </c>
      <c r="C920" s="2">
        <v>69</v>
      </c>
      <c r="E920" s="8">
        <f t="shared" si="42"/>
        <v>-2.5999999999994543</v>
      </c>
      <c r="F920" s="8">
        <f t="shared" si="43"/>
        <v>-0.64000000000000057</v>
      </c>
      <c r="H920" s="12">
        <f t="shared" si="44"/>
        <v>1.8593073813671745</v>
      </c>
    </row>
    <row r="921" spans="1:8" x14ac:dyDescent="0.25">
      <c r="A921" s="1">
        <v>45266</v>
      </c>
      <c r="B921" s="8">
        <v>4567.18</v>
      </c>
      <c r="C921" s="2">
        <v>68.36</v>
      </c>
      <c r="E921" s="8">
        <f t="shared" si="42"/>
        <v>-17.840000000000146</v>
      </c>
      <c r="F921" s="8">
        <f t="shared" si="43"/>
        <v>0.43999999999999773</v>
      </c>
      <c r="H921" s="12">
        <f t="shared" si="44"/>
        <v>1.8502566446468951</v>
      </c>
    </row>
    <row r="922" spans="1:8" x14ac:dyDescent="0.25">
      <c r="A922" s="1">
        <v>45267</v>
      </c>
      <c r="B922" s="8">
        <v>4549.34</v>
      </c>
      <c r="C922" s="2">
        <v>68.8</v>
      </c>
      <c r="E922" s="8">
        <f t="shared" si="42"/>
        <v>36.25</v>
      </c>
      <c r="F922" s="8">
        <f t="shared" si="43"/>
        <v>0</v>
      </c>
      <c r="H922" s="12">
        <f t="shared" si="44"/>
        <v>1.8362329303491796</v>
      </c>
    </row>
    <row r="923" spans="1:8" x14ac:dyDescent="0.25">
      <c r="A923" s="1">
        <v>45268</v>
      </c>
      <c r="B923" s="8">
        <v>4585.59</v>
      </c>
      <c r="C923" s="2">
        <v>68.8</v>
      </c>
      <c r="E923" s="8">
        <f t="shared" si="42"/>
        <v>18.779999999999745</v>
      </c>
      <c r="F923" s="8">
        <f t="shared" si="43"/>
        <v>-2</v>
      </c>
      <c r="H923" s="12">
        <f t="shared" si="44"/>
        <v>1.8075033451994813</v>
      </c>
    </row>
    <row r="924" spans="1:8" x14ac:dyDescent="0.25">
      <c r="A924" s="1">
        <v>45271</v>
      </c>
      <c r="B924" s="8">
        <v>4604.37</v>
      </c>
      <c r="C924" s="2">
        <v>66.8</v>
      </c>
      <c r="E924" s="8">
        <f t="shared" si="42"/>
        <v>18.069999999999709</v>
      </c>
      <c r="F924" s="8">
        <f t="shared" si="43"/>
        <v>-1.4399999999999977</v>
      </c>
      <c r="H924" s="12">
        <f t="shared" si="44"/>
        <v>1.7892400769205854</v>
      </c>
    </row>
    <row r="925" spans="1:8" x14ac:dyDescent="0.25">
      <c r="A925" s="1">
        <v>45272</v>
      </c>
      <c r="B925" s="8">
        <v>4622.4399999999996</v>
      </c>
      <c r="C925" s="2">
        <v>65.36</v>
      </c>
      <c r="E925" s="8">
        <f t="shared" si="42"/>
        <v>21.260000000000218</v>
      </c>
      <c r="F925" s="8">
        <f t="shared" si="43"/>
        <v>-1.8399999999999963</v>
      </c>
      <c r="H925" s="12">
        <f t="shared" si="44"/>
        <v>1.783537266729831</v>
      </c>
    </row>
    <row r="926" spans="1:8" x14ac:dyDescent="0.25">
      <c r="A926" s="1">
        <v>45273</v>
      </c>
      <c r="B926" s="8">
        <v>4643.7</v>
      </c>
      <c r="C926" s="2">
        <v>63.52</v>
      </c>
      <c r="E926" s="8">
        <f t="shared" si="42"/>
        <v>63.390000000000327</v>
      </c>
      <c r="F926" s="8">
        <f t="shared" si="43"/>
        <v>-0.84000000000000341</v>
      </c>
      <c r="H926" s="12">
        <f t="shared" si="44"/>
        <v>1.7764736698912935</v>
      </c>
    </row>
    <row r="927" spans="1:8" x14ac:dyDescent="0.25">
      <c r="A927" s="1">
        <v>45274</v>
      </c>
      <c r="B927" s="8">
        <v>4707.09</v>
      </c>
      <c r="C927" s="2">
        <v>62.68</v>
      </c>
      <c r="E927" s="8">
        <f t="shared" si="42"/>
        <v>12.460000000000036</v>
      </c>
      <c r="F927" s="8">
        <f t="shared" si="43"/>
        <v>-0.24000000000000199</v>
      </c>
      <c r="H927" s="12">
        <f t="shared" si="44"/>
        <v>1.7908946829108279</v>
      </c>
    </row>
    <row r="928" spans="1:8" x14ac:dyDescent="0.25">
      <c r="A928" s="1">
        <v>45275</v>
      </c>
      <c r="B928" s="8">
        <v>4719.55</v>
      </c>
      <c r="C928" s="2">
        <v>62.44</v>
      </c>
      <c r="E928" s="8">
        <f t="shared" si="42"/>
        <v>-0.36000000000058208</v>
      </c>
      <c r="F928" s="8">
        <f t="shared" si="43"/>
        <v>1.960000000000008</v>
      </c>
      <c r="H928" s="12">
        <f t="shared" si="44"/>
        <v>1.8175664248093715</v>
      </c>
    </row>
    <row r="929" spans="1:8" x14ac:dyDescent="0.25">
      <c r="A929" s="1">
        <v>45278</v>
      </c>
      <c r="B929" s="8">
        <v>4719.1899999999996</v>
      </c>
      <c r="C929" s="2">
        <v>64.400000000000006</v>
      </c>
      <c r="E929" s="8">
        <f t="shared" si="42"/>
        <v>21.3700000000008</v>
      </c>
      <c r="F929" s="8">
        <f t="shared" si="43"/>
        <v>0.15999999999999659</v>
      </c>
      <c r="H929" s="12">
        <f t="shared" si="44"/>
        <v>1.8161354971499128</v>
      </c>
    </row>
    <row r="930" spans="1:8" x14ac:dyDescent="0.25">
      <c r="A930" s="1">
        <v>45279</v>
      </c>
      <c r="B930" s="8">
        <v>4740.5600000000004</v>
      </c>
      <c r="C930" s="2">
        <v>64.56</v>
      </c>
      <c r="E930" s="8">
        <f t="shared" si="42"/>
        <v>27.809999999999491</v>
      </c>
      <c r="F930" s="8">
        <f t="shared" si="43"/>
        <v>1</v>
      </c>
      <c r="H930" s="12">
        <f t="shared" si="44"/>
        <v>1.8289203841506467</v>
      </c>
    </row>
    <row r="931" spans="1:8" x14ac:dyDescent="0.25">
      <c r="A931" s="1">
        <v>45280</v>
      </c>
      <c r="B931" s="8">
        <v>4768.37</v>
      </c>
      <c r="C931" s="2">
        <v>65.56</v>
      </c>
      <c r="E931" s="8">
        <f t="shared" si="42"/>
        <v>-70.019999999999527</v>
      </c>
      <c r="F931" s="8">
        <f t="shared" si="43"/>
        <v>4.039999999999992</v>
      </c>
      <c r="H931" s="12">
        <f t="shared" si="44"/>
        <v>1.8612581030110842</v>
      </c>
    </row>
    <row r="932" spans="1:8" x14ac:dyDescent="0.25">
      <c r="A932" s="1">
        <v>45281</v>
      </c>
      <c r="B932" s="8">
        <v>4698.3500000000004</v>
      </c>
      <c r="C932" s="2">
        <v>69.599999999999994</v>
      </c>
      <c r="E932" s="8">
        <f t="shared" si="42"/>
        <v>48.399999999999636</v>
      </c>
      <c r="F932" s="8">
        <f t="shared" si="43"/>
        <v>-1.7199999999999989</v>
      </c>
      <c r="H932" s="12">
        <f t="shared" si="44"/>
        <v>1.8839188290582047</v>
      </c>
    </row>
    <row r="933" spans="1:8" x14ac:dyDescent="0.25">
      <c r="A933" s="1">
        <v>45282</v>
      </c>
      <c r="B933" s="8">
        <v>4746.75</v>
      </c>
      <c r="C933" s="2">
        <v>67.88</v>
      </c>
      <c r="E933" s="8">
        <f t="shared" si="42"/>
        <v>7.8800000000001091</v>
      </c>
      <c r="F933" s="8">
        <f t="shared" si="43"/>
        <v>-1.5600000000000023</v>
      </c>
      <c r="H933" s="12">
        <f t="shared" si="44"/>
        <v>1.8931133705341987</v>
      </c>
    </row>
    <row r="934" spans="1:8" x14ac:dyDescent="0.25">
      <c r="A934" s="1">
        <v>45286</v>
      </c>
      <c r="B934" s="8">
        <v>4754.63</v>
      </c>
      <c r="C934" s="2">
        <v>66.319999999999993</v>
      </c>
      <c r="E934" s="8">
        <f t="shared" si="42"/>
        <v>20.119999999999891</v>
      </c>
      <c r="F934" s="8">
        <f t="shared" si="43"/>
        <v>-1.8199999999999932</v>
      </c>
      <c r="H934" s="12">
        <f t="shared" si="44"/>
        <v>1.9207732500315331</v>
      </c>
    </row>
    <row r="935" spans="1:8" x14ac:dyDescent="0.25">
      <c r="A935" s="1">
        <v>45287</v>
      </c>
      <c r="B935" s="8">
        <v>4774.75</v>
      </c>
      <c r="C935" s="2">
        <v>64.5</v>
      </c>
      <c r="E935" s="8">
        <f t="shared" si="42"/>
        <v>6.8299999999999272</v>
      </c>
      <c r="F935" s="8">
        <f t="shared" si="43"/>
        <v>-2.6000000000000014</v>
      </c>
      <c r="H935" s="12">
        <f t="shared" si="44"/>
        <v>1.9437047168558839</v>
      </c>
    </row>
    <row r="936" spans="1:8" x14ac:dyDescent="0.25">
      <c r="A936" s="1">
        <v>45288</v>
      </c>
      <c r="B936" s="8">
        <v>4781.58</v>
      </c>
      <c r="C936" s="2">
        <v>61.9</v>
      </c>
      <c r="E936" s="8">
        <f t="shared" si="42"/>
        <v>1.7700000000004366</v>
      </c>
      <c r="F936" s="8">
        <f t="shared" si="43"/>
        <v>-0.10000000000000142</v>
      </c>
      <c r="H936" s="12">
        <f t="shared" si="44"/>
        <v>1.9718404204589761</v>
      </c>
    </row>
    <row r="937" spans="1:8" x14ac:dyDescent="0.25">
      <c r="A937" s="1">
        <v>45289</v>
      </c>
      <c r="B937" s="8">
        <v>4783.3500000000004</v>
      </c>
      <c r="C937" s="2">
        <v>61.8</v>
      </c>
      <c r="E937" s="8">
        <f t="shared" si="42"/>
        <v>-13.520000000000437</v>
      </c>
      <c r="F937" s="8">
        <f t="shared" si="43"/>
        <v>0.24000000000000199</v>
      </c>
      <c r="H937" s="12">
        <f t="shared" si="44"/>
        <v>1.9932738084084749</v>
      </c>
    </row>
    <row r="938" spans="1:8" x14ac:dyDescent="0.25">
      <c r="A938" s="1">
        <v>45293</v>
      </c>
      <c r="B938" s="8">
        <v>4769.83</v>
      </c>
      <c r="C938" s="2">
        <v>62.04</v>
      </c>
      <c r="E938" s="8">
        <f t="shared" si="42"/>
        <v>-27</v>
      </c>
      <c r="F938" s="8">
        <f t="shared" si="43"/>
        <v>0</v>
      </c>
      <c r="H938" s="12">
        <f t="shared" si="44"/>
        <v>1.9978202093311788</v>
      </c>
    </row>
    <row r="939" spans="1:8" x14ac:dyDescent="0.25">
      <c r="A939" s="1">
        <v>45294</v>
      </c>
      <c r="B939" s="8">
        <v>4742.83</v>
      </c>
      <c r="C939" s="2">
        <v>62.04</v>
      </c>
      <c r="E939" s="8">
        <f t="shared" si="42"/>
        <v>-38.019999999999527</v>
      </c>
      <c r="F939" s="8">
        <f t="shared" si="43"/>
        <v>2.1600000000000037</v>
      </c>
      <c r="H939" s="12">
        <f t="shared" si="44"/>
        <v>2.007161163714382</v>
      </c>
    </row>
    <row r="940" spans="1:8" x14ac:dyDescent="0.25">
      <c r="A940" s="1">
        <v>45295</v>
      </c>
      <c r="B940" s="8">
        <v>4704.8100000000004</v>
      </c>
      <c r="C940" s="2">
        <v>64.2</v>
      </c>
      <c r="E940" s="8">
        <f t="shared" si="42"/>
        <v>-16.130000000000109</v>
      </c>
      <c r="F940" s="8">
        <f t="shared" si="43"/>
        <v>-7.9999999999998295E-2</v>
      </c>
      <c r="H940" s="12">
        <f t="shared" si="44"/>
        <v>2.0155267463796394</v>
      </c>
    </row>
    <row r="941" spans="1:8" x14ac:dyDescent="0.25">
      <c r="A941" s="1">
        <v>45296</v>
      </c>
      <c r="B941" s="8">
        <v>4688.68</v>
      </c>
      <c r="C941" s="2">
        <v>64.12</v>
      </c>
      <c r="E941" s="8">
        <f t="shared" si="42"/>
        <v>8.5599999999994907</v>
      </c>
      <c r="F941" s="8">
        <f t="shared" si="43"/>
        <v>-2.1200000000000045</v>
      </c>
      <c r="H941" s="12">
        <f t="shared" si="44"/>
        <v>2.0080898688264646</v>
      </c>
    </row>
    <row r="942" spans="1:8" x14ac:dyDescent="0.25">
      <c r="A942" s="1">
        <v>45299</v>
      </c>
      <c r="B942" s="8">
        <v>4697.24</v>
      </c>
      <c r="C942" s="2">
        <v>62</v>
      </c>
      <c r="E942" s="8">
        <f t="shared" si="42"/>
        <v>66.300000000000182</v>
      </c>
      <c r="F942" s="8">
        <f t="shared" si="43"/>
        <v>-1.5200000000000031</v>
      </c>
      <c r="H942" s="12">
        <f t="shared" si="44"/>
        <v>1.9873004141915078</v>
      </c>
    </row>
    <row r="943" spans="1:8" x14ac:dyDescent="0.25">
      <c r="A943" s="1">
        <v>45300</v>
      </c>
      <c r="B943" s="8">
        <v>4763.54</v>
      </c>
      <c r="C943" s="2">
        <v>60.48</v>
      </c>
      <c r="E943" s="8">
        <f t="shared" si="42"/>
        <v>-7.0399999999999636</v>
      </c>
      <c r="F943" s="8">
        <f t="shared" si="43"/>
        <v>-1.3200000000000003</v>
      </c>
      <c r="H943" s="12">
        <f t="shared" si="44"/>
        <v>1.9636572580108986</v>
      </c>
    </row>
    <row r="944" spans="1:8" x14ac:dyDescent="0.25">
      <c r="A944" s="1">
        <v>45301</v>
      </c>
      <c r="B944" s="8">
        <v>4756.5</v>
      </c>
      <c r="C944" s="2">
        <v>59.16</v>
      </c>
      <c r="E944" s="8">
        <f t="shared" si="42"/>
        <v>26.949999999999818</v>
      </c>
      <c r="F944" s="8">
        <f t="shared" si="43"/>
        <v>-0.59999999999999432</v>
      </c>
      <c r="H944" s="12">
        <f t="shared" si="44"/>
        <v>1.9756210058619386</v>
      </c>
    </row>
    <row r="945" spans="1:8" x14ac:dyDescent="0.25">
      <c r="A945" s="1">
        <v>45302</v>
      </c>
      <c r="B945" s="8">
        <v>4783.45</v>
      </c>
      <c r="C945" s="2">
        <v>58.56</v>
      </c>
      <c r="E945" s="8">
        <f t="shared" si="42"/>
        <v>-3.2100000000000364</v>
      </c>
      <c r="F945" s="8">
        <f t="shared" si="43"/>
        <v>-0.24000000000000199</v>
      </c>
      <c r="H945" s="12">
        <f t="shared" si="44"/>
        <v>1.9806381753542828</v>
      </c>
    </row>
    <row r="946" spans="1:8" x14ac:dyDescent="0.25">
      <c r="A946" s="1">
        <v>45303</v>
      </c>
      <c r="B946" s="8">
        <v>4780.24</v>
      </c>
      <c r="C946" s="2">
        <v>58.32</v>
      </c>
      <c r="E946" s="8">
        <f t="shared" si="42"/>
        <v>3.5900000000001455</v>
      </c>
      <c r="F946" s="8">
        <f t="shared" si="43"/>
        <v>0.92000000000000171</v>
      </c>
      <c r="H946" s="12">
        <f t="shared" si="44"/>
        <v>1.9822146245152821</v>
      </c>
    </row>
    <row r="947" spans="1:8" x14ac:dyDescent="0.25">
      <c r="A947" s="1">
        <v>45307</v>
      </c>
      <c r="B947" s="8">
        <v>4783.83</v>
      </c>
      <c r="C947" s="2">
        <v>59.24</v>
      </c>
      <c r="E947" s="8">
        <f t="shared" si="42"/>
        <v>-17.850000000000364</v>
      </c>
      <c r="F947" s="8">
        <f t="shared" si="43"/>
        <v>1.9600000000000009</v>
      </c>
      <c r="H947" s="12">
        <f t="shared" si="44"/>
        <v>1.9808108339962438</v>
      </c>
    </row>
    <row r="948" spans="1:8" x14ac:dyDescent="0.25">
      <c r="A948" s="1">
        <v>45308</v>
      </c>
      <c r="B948" s="8">
        <v>4765.9799999999996</v>
      </c>
      <c r="C948" s="2">
        <v>61.2</v>
      </c>
      <c r="E948" s="8">
        <f t="shared" si="42"/>
        <v>-26.769999999999527</v>
      </c>
      <c r="F948" s="8">
        <f t="shared" si="43"/>
        <v>2.3200000000000003</v>
      </c>
      <c r="H948" s="12">
        <f t="shared" si="44"/>
        <v>1.974181496378816</v>
      </c>
    </row>
    <row r="949" spans="1:8" x14ac:dyDescent="0.25">
      <c r="A949" s="1">
        <v>45309</v>
      </c>
      <c r="B949" s="8">
        <v>4739.21</v>
      </c>
      <c r="C949" s="2">
        <v>63.52</v>
      </c>
      <c r="E949" s="8">
        <f t="shared" si="42"/>
        <v>41.729999999999563</v>
      </c>
      <c r="F949" s="8">
        <f t="shared" si="43"/>
        <v>-2.3200000000000003</v>
      </c>
      <c r="H949" s="12">
        <f t="shared" si="44"/>
        <v>1.9632099109348675</v>
      </c>
    </row>
    <row r="950" spans="1:8" x14ac:dyDescent="0.25">
      <c r="A950" s="1">
        <v>45310</v>
      </c>
      <c r="B950" s="8">
        <v>4780.9399999999996</v>
      </c>
      <c r="C950" s="2">
        <v>61.2</v>
      </c>
      <c r="E950" s="8">
        <f t="shared" si="42"/>
        <v>58.8700000000008</v>
      </c>
      <c r="F950" s="8">
        <f t="shared" si="43"/>
        <v>-1.4400000000000048</v>
      </c>
      <c r="H950" s="12">
        <f t="shared" si="44"/>
        <v>1.9458591603648638</v>
      </c>
    </row>
    <row r="951" spans="1:8" x14ac:dyDescent="0.25">
      <c r="A951" s="1">
        <v>45313</v>
      </c>
      <c r="B951" s="8">
        <v>4839.8100000000004</v>
      </c>
      <c r="C951" s="2">
        <v>59.76</v>
      </c>
      <c r="E951" s="8">
        <f t="shared" si="42"/>
        <v>10.619999999999891</v>
      </c>
      <c r="F951" s="8">
        <f t="shared" si="43"/>
        <v>-2.0799999999999983</v>
      </c>
      <c r="H951" s="12">
        <f t="shared" si="44"/>
        <v>1.9332182139609726</v>
      </c>
    </row>
    <row r="952" spans="1:8" x14ac:dyDescent="0.25">
      <c r="A952" s="1">
        <v>45314</v>
      </c>
      <c r="B952" s="8">
        <v>4850.43</v>
      </c>
      <c r="C952" s="2">
        <v>57.68</v>
      </c>
      <c r="E952" s="8">
        <f t="shared" si="42"/>
        <v>14.170000000000073</v>
      </c>
      <c r="F952" s="8">
        <f t="shared" si="43"/>
        <v>-1.4799999999999969</v>
      </c>
      <c r="H952" s="12">
        <f t="shared" si="44"/>
        <v>1.9211814781143426</v>
      </c>
    </row>
    <row r="953" spans="1:8" x14ac:dyDescent="0.25">
      <c r="A953" s="1">
        <v>45315</v>
      </c>
      <c r="B953" s="8">
        <v>4864.6000000000004</v>
      </c>
      <c r="C953" s="2">
        <v>56.2</v>
      </c>
      <c r="E953" s="8">
        <f t="shared" si="42"/>
        <v>3.9499999999998181</v>
      </c>
      <c r="F953" s="8">
        <f t="shared" si="43"/>
        <v>1.4799999999999969</v>
      </c>
      <c r="H953" s="12">
        <f t="shared" si="44"/>
        <v>1.9131894669340954</v>
      </c>
    </row>
    <row r="954" spans="1:8" x14ac:dyDescent="0.25">
      <c r="A954" s="1">
        <v>45316</v>
      </c>
      <c r="B954" s="8">
        <v>4868.55</v>
      </c>
      <c r="C954" s="2">
        <v>57.68</v>
      </c>
      <c r="E954" s="8">
        <f t="shared" si="42"/>
        <v>25.609999999999673</v>
      </c>
      <c r="F954" s="8">
        <f t="shared" si="43"/>
        <v>0.67999999999999972</v>
      </c>
      <c r="H954" s="12">
        <f t="shared" si="44"/>
        <v>1.9187706366731714</v>
      </c>
    </row>
    <row r="955" spans="1:8" x14ac:dyDescent="0.25">
      <c r="A955" s="1">
        <v>45317</v>
      </c>
      <c r="B955" s="8">
        <v>4894.16</v>
      </c>
      <c r="C955" s="2">
        <v>58.36</v>
      </c>
      <c r="E955" s="8">
        <f t="shared" si="42"/>
        <v>-3.1899999999995998</v>
      </c>
      <c r="F955" s="8">
        <f t="shared" si="43"/>
        <v>-0.64000000000000057</v>
      </c>
      <c r="H955" s="12">
        <f t="shared" si="44"/>
        <v>1.911126928038128</v>
      </c>
    </row>
    <row r="956" spans="1:8" x14ac:dyDescent="0.25">
      <c r="A956" s="1">
        <v>45320</v>
      </c>
      <c r="B956" s="8">
        <v>4890.97</v>
      </c>
      <c r="C956" s="2">
        <v>57.72</v>
      </c>
      <c r="E956" s="8">
        <f t="shared" si="42"/>
        <v>36.960000000000036</v>
      </c>
      <c r="F956" s="8">
        <f t="shared" si="43"/>
        <v>0.71999999999999886</v>
      </c>
      <c r="H956" s="12">
        <f t="shared" si="44"/>
        <v>1.9052660541726671</v>
      </c>
    </row>
    <row r="957" spans="1:8" x14ac:dyDescent="0.25">
      <c r="A957" s="1">
        <v>45321</v>
      </c>
      <c r="B957" s="8">
        <v>4927.93</v>
      </c>
      <c r="C957" s="2">
        <v>58.44</v>
      </c>
      <c r="E957" s="8">
        <f t="shared" si="42"/>
        <v>-2.9600000000000364</v>
      </c>
      <c r="F957" s="8">
        <f t="shared" si="43"/>
        <v>-1.0799999999999983</v>
      </c>
      <c r="H957" s="12">
        <f t="shared" si="44"/>
        <v>1.9093102714102268</v>
      </c>
    </row>
    <row r="958" spans="1:8" x14ac:dyDescent="0.25">
      <c r="A958" s="1">
        <v>45322</v>
      </c>
      <c r="B958" s="8">
        <v>4924.97</v>
      </c>
      <c r="C958" s="2">
        <v>57.36</v>
      </c>
      <c r="E958" s="8">
        <f t="shared" si="42"/>
        <v>-79.320000000000618</v>
      </c>
      <c r="F958" s="8">
        <f t="shared" si="43"/>
        <v>2.9600000000000009</v>
      </c>
      <c r="H958" s="12">
        <f t="shared" si="44"/>
        <v>1.9151447679564124</v>
      </c>
    </row>
    <row r="959" spans="1:8" x14ac:dyDescent="0.25">
      <c r="A959" s="1">
        <v>45323</v>
      </c>
      <c r="B959" s="8">
        <v>4845.6499999999996</v>
      </c>
      <c r="C959" s="2">
        <v>60.32</v>
      </c>
      <c r="E959" s="8">
        <f t="shared" si="42"/>
        <v>60.539999999999964</v>
      </c>
      <c r="F959" s="8">
        <f t="shared" si="43"/>
        <v>-0.56000000000000227</v>
      </c>
      <c r="H959" s="12">
        <f t="shared" si="44"/>
        <v>1.9129625299218134</v>
      </c>
    </row>
    <row r="960" spans="1:8" x14ac:dyDescent="0.25">
      <c r="A960" s="1">
        <v>45324</v>
      </c>
      <c r="B960" s="8">
        <v>4906.1899999999996</v>
      </c>
      <c r="C960" s="2">
        <v>59.76</v>
      </c>
      <c r="E960" s="8">
        <f t="shared" si="42"/>
        <v>52.420000000000073</v>
      </c>
      <c r="F960" s="8">
        <f t="shared" si="43"/>
        <v>-0.15999999999999659</v>
      </c>
      <c r="H960" s="12">
        <f t="shared" si="44"/>
        <v>1.8697463865576387</v>
      </c>
    </row>
    <row r="961" spans="1:8" x14ac:dyDescent="0.25">
      <c r="A961" s="1">
        <v>45327</v>
      </c>
      <c r="B961" s="8">
        <v>4958.6099999999997</v>
      </c>
      <c r="C961" s="2">
        <v>59.6</v>
      </c>
      <c r="E961" s="8">
        <f t="shared" si="42"/>
        <v>-15.799999999999272</v>
      </c>
      <c r="F961" s="8">
        <f t="shared" si="43"/>
        <v>-2.1200000000000045</v>
      </c>
      <c r="H961" s="12">
        <f t="shared" si="44"/>
        <v>1.8496725844689288</v>
      </c>
    </row>
    <row r="962" spans="1:8" x14ac:dyDescent="0.25">
      <c r="A962" s="1">
        <v>45328</v>
      </c>
      <c r="B962" s="8">
        <v>4942.8100000000004</v>
      </c>
      <c r="C962" s="2">
        <v>57.48</v>
      </c>
      <c r="E962" s="8">
        <f t="shared" si="42"/>
        <v>11.419999999999163</v>
      </c>
      <c r="F962" s="8">
        <f t="shared" si="43"/>
        <v>-1.4399999999999977</v>
      </c>
      <c r="H962" s="12">
        <f t="shared" si="44"/>
        <v>1.8511444430209809</v>
      </c>
    </row>
    <row r="963" spans="1:8" x14ac:dyDescent="0.25">
      <c r="A963" s="1">
        <v>45329</v>
      </c>
      <c r="B963" s="8">
        <v>4954.2299999999996</v>
      </c>
      <c r="C963" s="2">
        <v>56.04</v>
      </c>
      <c r="E963" s="8">
        <f t="shared" ref="E963:E1026" si="45">B964-B963</f>
        <v>40.830000000000837</v>
      </c>
      <c r="F963" s="8">
        <f t="shared" ref="F963:F1026" si="46">C964-C963</f>
        <v>-0.28000000000000114</v>
      </c>
      <c r="H963" s="12">
        <f t="shared" ref="H963:H1026" si="47">LOG(_xlfn.STDEV.P(B963:B993))</f>
        <v>1.8584349744223652</v>
      </c>
    </row>
    <row r="964" spans="1:8" x14ac:dyDescent="0.25">
      <c r="A964" s="1">
        <v>45330</v>
      </c>
      <c r="B964" s="8">
        <v>4995.0600000000004</v>
      </c>
      <c r="C964" s="2">
        <v>55.76</v>
      </c>
      <c r="E964" s="8">
        <f t="shared" si="45"/>
        <v>2.8499999999994543</v>
      </c>
      <c r="F964" s="8">
        <f t="shared" si="46"/>
        <v>-0.28000000000000114</v>
      </c>
      <c r="H964" s="12">
        <f t="shared" si="47"/>
        <v>1.8693182479054853</v>
      </c>
    </row>
    <row r="965" spans="1:8" x14ac:dyDescent="0.25">
      <c r="A965" s="1">
        <v>45331</v>
      </c>
      <c r="B965" s="8">
        <v>4997.91</v>
      </c>
      <c r="C965" s="2">
        <v>55.48</v>
      </c>
      <c r="E965" s="8">
        <f t="shared" si="45"/>
        <v>28.699999999999818</v>
      </c>
      <c r="F965" s="8">
        <f t="shared" si="46"/>
        <v>0.52000000000000313</v>
      </c>
      <c r="H965" s="12">
        <f t="shared" si="47"/>
        <v>1.8827721712086134</v>
      </c>
    </row>
    <row r="966" spans="1:8" x14ac:dyDescent="0.25">
      <c r="A966" s="1">
        <v>45334</v>
      </c>
      <c r="B966" s="8">
        <v>5026.6099999999997</v>
      </c>
      <c r="C966" s="2">
        <v>56</v>
      </c>
      <c r="E966" s="8">
        <f t="shared" si="45"/>
        <v>-4.7699999999995271</v>
      </c>
      <c r="F966" s="8">
        <f t="shared" si="46"/>
        <v>1</v>
      </c>
      <c r="H966" s="12">
        <f t="shared" si="47"/>
        <v>1.887339538197365</v>
      </c>
    </row>
    <row r="967" spans="1:8" x14ac:dyDescent="0.25">
      <c r="A967" s="1">
        <v>45335</v>
      </c>
      <c r="B967" s="8">
        <v>5021.84</v>
      </c>
      <c r="C967" s="2">
        <v>57</v>
      </c>
      <c r="E967" s="8">
        <f t="shared" si="45"/>
        <v>-68.670000000000073</v>
      </c>
      <c r="F967" s="8">
        <f t="shared" si="46"/>
        <v>4.2000000000000028</v>
      </c>
      <c r="H967" s="12">
        <f t="shared" si="47"/>
        <v>1.8912016658094737</v>
      </c>
    </row>
    <row r="968" spans="1:8" x14ac:dyDescent="0.25">
      <c r="A968" s="1">
        <v>45336</v>
      </c>
      <c r="B968" s="8">
        <v>4953.17</v>
      </c>
      <c r="C968" s="2">
        <v>61.2</v>
      </c>
      <c r="E968" s="8">
        <f t="shared" si="45"/>
        <v>47.449999999999818</v>
      </c>
      <c r="F968" s="8">
        <f t="shared" si="46"/>
        <v>-3.3200000000000003</v>
      </c>
      <c r="H968" s="12">
        <f t="shared" si="47"/>
        <v>1.9028901191036147</v>
      </c>
    </row>
    <row r="969" spans="1:8" x14ac:dyDescent="0.25">
      <c r="A969" s="1">
        <v>45337</v>
      </c>
      <c r="B969" s="8">
        <v>5000.62</v>
      </c>
      <c r="C969" s="2">
        <v>57.88</v>
      </c>
      <c r="E969" s="8">
        <f t="shared" si="45"/>
        <v>29.109999999999673</v>
      </c>
      <c r="F969" s="8">
        <f t="shared" si="46"/>
        <v>-0.48000000000000398</v>
      </c>
      <c r="H969" s="12">
        <f t="shared" si="47"/>
        <v>1.8913696716936319</v>
      </c>
    </row>
    <row r="970" spans="1:8" x14ac:dyDescent="0.25">
      <c r="A970" s="1">
        <v>45338</v>
      </c>
      <c r="B970" s="8">
        <v>5029.7299999999996</v>
      </c>
      <c r="C970" s="2">
        <v>57.4</v>
      </c>
      <c r="E970" s="8">
        <f t="shared" si="45"/>
        <v>-24.159999999999854</v>
      </c>
      <c r="F970" s="8">
        <f t="shared" si="46"/>
        <v>-7.9999999999998295E-2</v>
      </c>
      <c r="H970" s="12">
        <f t="shared" si="47"/>
        <v>1.8872022039661112</v>
      </c>
    </row>
    <row r="971" spans="1:8" x14ac:dyDescent="0.25">
      <c r="A971" s="1">
        <v>45342</v>
      </c>
      <c r="B971" s="8">
        <v>5005.57</v>
      </c>
      <c r="C971" s="2">
        <v>57.32</v>
      </c>
      <c r="E971" s="8">
        <f t="shared" si="45"/>
        <v>-30.059999999999491</v>
      </c>
      <c r="F971" s="8">
        <f t="shared" si="46"/>
        <v>1.7199999999999989</v>
      </c>
      <c r="H971" s="12">
        <f t="shared" si="47"/>
        <v>1.8793767150655052</v>
      </c>
    </row>
    <row r="972" spans="1:8" x14ac:dyDescent="0.25">
      <c r="A972" s="1">
        <v>45343</v>
      </c>
      <c r="B972" s="8">
        <v>4975.51</v>
      </c>
      <c r="C972" s="2">
        <v>59.04</v>
      </c>
      <c r="E972" s="8">
        <f t="shared" si="45"/>
        <v>6.2899999999999636</v>
      </c>
      <c r="F972" s="8">
        <f t="shared" si="46"/>
        <v>-0.24000000000000199</v>
      </c>
      <c r="H972" s="12">
        <f t="shared" si="47"/>
        <v>1.8616072570781401</v>
      </c>
    </row>
    <row r="973" spans="1:8" x14ac:dyDescent="0.25">
      <c r="A973" s="1">
        <v>45344</v>
      </c>
      <c r="B973" s="8">
        <v>4981.8</v>
      </c>
      <c r="C973" s="2">
        <v>58.8</v>
      </c>
      <c r="E973" s="8">
        <f t="shared" si="45"/>
        <v>105.22999999999956</v>
      </c>
      <c r="F973" s="8">
        <f t="shared" si="46"/>
        <v>-1.1999999999999957</v>
      </c>
      <c r="H973" s="12">
        <f t="shared" si="47"/>
        <v>1.8177997559837886</v>
      </c>
    </row>
    <row r="974" spans="1:8" x14ac:dyDescent="0.25">
      <c r="A974" s="1">
        <v>45345</v>
      </c>
      <c r="B974" s="8">
        <v>5087.03</v>
      </c>
      <c r="C974" s="2">
        <v>57.6</v>
      </c>
      <c r="E974" s="8">
        <f t="shared" si="45"/>
        <v>1.7700000000004366</v>
      </c>
      <c r="F974" s="8">
        <f t="shared" si="46"/>
        <v>-2.240000000000002</v>
      </c>
      <c r="H974" s="12">
        <f t="shared" si="47"/>
        <v>1.7678504863149167</v>
      </c>
    </row>
    <row r="975" spans="1:8" x14ac:dyDescent="0.25">
      <c r="A975" s="1">
        <v>45348</v>
      </c>
      <c r="B975" s="8">
        <v>5088.8</v>
      </c>
      <c r="C975" s="2">
        <v>55.36</v>
      </c>
      <c r="E975" s="8">
        <f t="shared" si="45"/>
        <v>-19.270000000000437</v>
      </c>
      <c r="F975" s="8">
        <f t="shared" si="46"/>
        <v>-0.56000000000000227</v>
      </c>
      <c r="H975" s="12">
        <f t="shared" si="47"/>
        <v>1.7603530936014464</v>
      </c>
    </row>
    <row r="976" spans="1:8" x14ac:dyDescent="0.25">
      <c r="A976" s="1">
        <v>45349</v>
      </c>
      <c r="B976" s="8">
        <v>5069.53</v>
      </c>
      <c r="C976" s="2">
        <v>54.8</v>
      </c>
      <c r="E976" s="8">
        <f t="shared" si="45"/>
        <v>8.6500000000005457</v>
      </c>
      <c r="F976" s="8">
        <f t="shared" si="46"/>
        <v>-0.9199999999999946</v>
      </c>
      <c r="H976" s="12">
        <f t="shared" si="47"/>
        <v>1.7526340464771524</v>
      </c>
    </row>
    <row r="977" spans="1:8" x14ac:dyDescent="0.25">
      <c r="A977" s="1">
        <v>45350</v>
      </c>
      <c r="B977" s="8">
        <v>5078.18</v>
      </c>
      <c r="C977" s="2">
        <v>53.88</v>
      </c>
      <c r="E977" s="8">
        <f t="shared" si="45"/>
        <v>-8.4200000000000728</v>
      </c>
      <c r="F977" s="8">
        <f t="shared" si="46"/>
        <v>0.83999999999999631</v>
      </c>
      <c r="H977" s="12">
        <f t="shared" si="47"/>
        <v>1.7306120238022513</v>
      </c>
    </row>
    <row r="978" spans="1:8" x14ac:dyDescent="0.25">
      <c r="A978" s="1">
        <v>45351</v>
      </c>
      <c r="B978" s="8">
        <v>5069.76</v>
      </c>
      <c r="C978" s="2">
        <v>54.72</v>
      </c>
      <c r="E978" s="8">
        <f t="shared" si="45"/>
        <v>26.510000000000218</v>
      </c>
      <c r="F978" s="8">
        <f t="shared" si="46"/>
        <v>-0.75999999999999801</v>
      </c>
      <c r="H978" s="12">
        <f t="shared" si="47"/>
        <v>1.7107594576137866</v>
      </c>
    </row>
    <row r="979" spans="1:8" x14ac:dyDescent="0.25">
      <c r="A979" s="1">
        <v>45352</v>
      </c>
      <c r="B979" s="8">
        <v>5096.2700000000004</v>
      </c>
      <c r="C979" s="2">
        <v>53.96</v>
      </c>
      <c r="E979" s="8">
        <f t="shared" si="45"/>
        <v>40.809999999999491</v>
      </c>
      <c r="F979" s="8">
        <f t="shared" si="46"/>
        <v>0.11999999999999744</v>
      </c>
      <c r="H979" s="12">
        <f t="shared" si="47"/>
        <v>1.6875659599643937</v>
      </c>
    </row>
    <row r="980" spans="1:8" x14ac:dyDescent="0.25">
      <c r="A980" s="1">
        <v>45355</v>
      </c>
      <c r="B980" s="8">
        <v>5137.08</v>
      </c>
      <c r="C980" s="2">
        <v>54.08</v>
      </c>
      <c r="E980" s="8">
        <f t="shared" si="45"/>
        <v>-6.1300000000001091</v>
      </c>
      <c r="F980" s="8">
        <f t="shared" si="46"/>
        <v>-3.9999999999999147E-2</v>
      </c>
      <c r="H980" s="12">
        <f t="shared" si="47"/>
        <v>1.7061011823808059</v>
      </c>
    </row>
    <row r="981" spans="1:8" x14ac:dyDescent="0.25">
      <c r="A981" s="1">
        <v>45356</v>
      </c>
      <c r="B981" s="8">
        <v>5130.95</v>
      </c>
      <c r="C981" s="2">
        <v>54.04</v>
      </c>
      <c r="E981" s="8">
        <f t="shared" si="45"/>
        <v>-52.300000000000182</v>
      </c>
      <c r="F981" s="8">
        <f t="shared" si="46"/>
        <v>2.1600000000000037</v>
      </c>
      <c r="H981" s="12">
        <f t="shared" si="47"/>
        <v>1.7395986960483973</v>
      </c>
    </row>
    <row r="982" spans="1:8" x14ac:dyDescent="0.25">
      <c r="A982" s="1">
        <v>45357</v>
      </c>
      <c r="B982" s="8">
        <v>5078.6499999999996</v>
      </c>
      <c r="C982" s="2">
        <v>56.2</v>
      </c>
      <c r="E982" s="8">
        <f t="shared" si="45"/>
        <v>26.110000000000582</v>
      </c>
      <c r="F982" s="8">
        <f t="shared" si="46"/>
        <v>0.27999999999999403</v>
      </c>
      <c r="H982" s="12">
        <f t="shared" si="47"/>
        <v>1.7819337684083127</v>
      </c>
    </row>
    <row r="983" spans="1:8" x14ac:dyDescent="0.25">
      <c r="A983" s="1">
        <v>45358</v>
      </c>
      <c r="B983" s="8">
        <v>5104.76</v>
      </c>
      <c r="C983" s="2">
        <v>56.48</v>
      </c>
      <c r="E983" s="8">
        <f t="shared" si="45"/>
        <v>52.599999999999454</v>
      </c>
      <c r="F983" s="8">
        <f t="shared" si="46"/>
        <v>-0.39999999999999858</v>
      </c>
      <c r="H983" s="12">
        <f t="shared" si="47"/>
        <v>1.8112070272844782</v>
      </c>
    </row>
    <row r="984" spans="1:8" x14ac:dyDescent="0.25">
      <c r="A984" s="1">
        <v>45359</v>
      </c>
      <c r="B984" s="8">
        <v>5157.3599999999997</v>
      </c>
      <c r="C984" s="2">
        <v>56.08</v>
      </c>
      <c r="E984" s="8">
        <f t="shared" si="45"/>
        <v>-33.670000000000073</v>
      </c>
      <c r="F984" s="8">
        <f t="shared" si="46"/>
        <v>1.5200000000000031</v>
      </c>
      <c r="H984" s="12">
        <f t="shared" si="47"/>
        <v>1.8628800881239511</v>
      </c>
    </row>
    <row r="985" spans="1:8" x14ac:dyDescent="0.25">
      <c r="A985" s="1">
        <v>45362</v>
      </c>
      <c r="B985" s="8">
        <v>5123.6899999999996</v>
      </c>
      <c r="C985" s="2">
        <v>57.6</v>
      </c>
      <c r="E985" s="8">
        <f t="shared" si="45"/>
        <v>-5.75</v>
      </c>
      <c r="F985" s="8">
        <f t="shared" si="46"/>
        <v>-0.56000000000000227</v>
      </c>
      <c r="H985" s="12">
        <f t="shared" si="47"/>
        <v>1.8898771113033321</v>
      </c>
    </row>
    <row r="986" spans="1:8" x14ac:dyDescent="0.25">
      <c r="A986" s="1">
        <v>45363</v>
      </c>
      <c r="B986" s="8">
        <v>5117.9399999999996</v>
      </c>
      <c r="C986" s="2">
        <v>57.04</v>
      </c>
      <c r="E986" s="8">
        <f t="shared" si="45"/>
        <v>57.330000000000837</v>
      </c>
      <c r="F986" s="8">
        <f t="shared" si="46"/>
        <v>-2.8399999999999963</v>
      </c>
      <c r="H986" s="12">
        <f t="shared" si="47"/>
        <v>1.8969304120675796</v>
      </c>
    </row>
    <row r="987" spans="1:8" x14ac:dyDescent="0.25">
      <c r="A987" s="1">
        <v>45364</v>
      </c>
      <c r="B987" s="8">
        <v>5175.2700000000004</v>
      </c>
      <c r="C987" s="2">
        <v>54.2</v>
      </c>
      <c r="E987" s="8">
        <f t="shared" si="45"/>
        <v>-9.9600000000000364</v>
      </c>
      <c r="F987" s="8">
        <f t="shared" si="46"/>
        <v>-0.35999999999999943</v>
      </c>
      <c r="H987" s="12">
        <f t="shared" si="47"/>
        <v>1.9029698677211762</v>
      </c>
    </row>
    <row r="988" spans="1:8" x14ac:dyDescent="0.25">
      <c r="A988" s="1">
        <v>45365</v>
      </c>
      <c r="B988" s="8">
        <v>5165.3100000000004</v>
      </c>
      <c r="C988" s="2">
        <v>53.84</v>
      </c>
      <c r="E988" s="8">
        <f t="shared" si="45"/>
        <v>-14.830000000000837</v>
      </c>
      <c r="F988" s="8">
        <f t="shared" si="46"/>
        <v>1.4799999999999969</v>
      </c>
      <c r="H988" s="12">
        <f t="shared" si="47"/>
        <v>1.9135092864786929</v>
      </c>
    </row>
    <row r="989" spans="1:8" x14ac:dyDescent="0.25">
      <c r="A989" s="1">
        <v>45366</v>
      </c>
      <c r="B989" s="8">
        <v>5150.4799999999996</v>
      </c>
      <c r="C989" s="2">
        <v>55.32</v>
      </c>
      <c r="E989" s="8">
        <f t="shared" si="45"/>
        <v>-33.389999999999418</v>
      </c>
      <c r="F989" s="8">
        <f t="shared" si="46"/>
        <v>1</v>
      </c>
      <c r="H989" s="12">
        <f t="shared" si="47"/>
        <v>1.9155423682070647</v>
      </c>
    </row>
    <row r="990" spans="1:8" x14ac:dyDescent="0.25">
      <c r="A990" s="1">
        <v>45369</v>
      </c>
      <c r="B990" s="8">
        <v>5117.09</v>
      </c>
      <c r="C990" s="2">
        <v>56.32</v>
      </c>
      <c r="E990" s="8">
        <f t="shared" si="45"/>
        <v>32.329999999999927</v>
      </c>
      <c r="F990" s="8">
        <f t="shared" si="46"/>
        <v>-1.2000000000000028</v>
      </c>
      <c r="H990" s="12">
        <f t="shared" si="47"/>
        <v>1.91644000660415</v>
      </c>
    </row>
    <row r="991" spans="1:8" x14ac:dyDescent="0.25">
      <c r="A991" s="1">
        <v>45370</v>
      </c>
      <c r="B991" s="8">
        <v>5149.42</v>
      </c>
      <c r="C991" s="2">
        <v>55.12</v>
      </c>
      <c r="E991" s="8">
        <f t="shared" si="45"/>
        <v>29.090000000000146</v>
      </c>
      <c r="F991" s="8">
        <f t="shared" si="46"/>
        <v>-1.4399999999999977</v>
      </c>
      <c r="H991" s="12">
        <f t="shared" si="47"/>
        <v>1.9275056867421714</v>
      </c>
    </row>
    <row r="992" spans="1:8" x14ac:dyDescent="0.25">
      <c r="A992" s="1">
        <v>45371</v>
      </c>
      <c r="B992" s="8">
        <v>5178.51</v>
      </c>
      <c r="C992" s="2">
        <v>53.68</v>
      </c>
      <c r="E992" s="8">
        <f t="shared" si="45"/>
        <v>46.109999999999673</v>
      </c>
      <c r="F992" s="8">
        <f t="shared" si="46"/>
        <v>-1.3999999999999986</v>
      </c>
      <c r="H992" s="12">
        <f t="shared" si="47"/>
        <v>1.9415999908015327</v>
      </c>
    </row>
    <row r="993" spans="1:8" x14ac:dyDescent="0.25">
      <c r="A993" s="1">
        <v>45372</v>
      </c>
      <c r="B993" s="8">
        <v>5224.62</v>
      </c>
      <c r="C993" s="2">
        <v>52.28</v>
      </c>
      <c r="E993" s="8">
        <f t="shared" si="45"/>
        <v>16.909999999999854</v>
      </c>
      <c r="F993" s="8">
        <f t="shared" si="46"/>
        <v>-0.28000000000000114</v>
      </c>
      <c r="H993" s="12">
        <f t="shared" si="47"/>
        <v>1.9448042565442132</v>
      </c>
    </row>
    <row r="994" spans="1:8" x14ac:dyDescent="0.25">
      <c r="A994" s="1">
        <v>45373</v>
      </c>
      <c r="B994" s="8">
        <v>5241.53</v>
      </c>
      <c r="C994" s="2">
        <v>52</v>
      </c>
      <c r="E994" s="8">
        <f t="shared" si="45"/>
        <v>-7.3499999999994543</v>
      </c>
      <c r="F994" s="8">
        <f t="shared" si="46"/>
        <v>0.28000000000000114</v>
      </c>
      <c r="H994" s="12">
        <f t="shared" si="47"/>
        <v>1.9371765033160662</v>
      </c>
    </row>
    <row r="995" spans="1:8" x14ac:dyDescent="0.25">
      <c r="A995" s="1">
        <v>45376</v>
      </c>
      <c r="B995" s="8">
        <v>5234.18</v>
      </c>
      <c r="C995" s="2">
        <v>52.28</v>
      </c>
      <c r="E995" s="8">
        <f t="shared" si="45"/>
        <v>-15.990000000000691</v>
      </c>
      <c r="F995" s="8">
        <f t="shared" si="46"/>
        <v>-0.35999999999999943</v>
      </c>
      <c r="H995" s="12">
        <f t="shared" si="47"/>
        <v>1.9278429611219423</v>
      </c>
    </row>
    <row r="996" spans="1:8" x14ac:dyDescent="0.25">
      <c r="A996" s="1">
        <v>45377</v>
      </c>
      <c r="B996" s="8">
        <v>5218.1899999999996</v>
      </c>
      <c r="C996" s="2">
        <v>51.92</v>
      </c>
      <c r="E996" s="8">
        <f t="shared" si="45"/>
        <v>-14.609999999999673</v>
      </c>
      <c r="F996" s="8">
        <f t="shared" si="46"/>
        <v>-0.20000000000000284</v>
      </c>
      <c r="H996" s="12">
        <f t="shared" si="47"/>
        <v>1.9202814430107218</v>
      </c>
    </row>
    <row r="997" spans="1:8" x14ac:dyDescent="0.25">
      <c r="A997" s="1">
        <v>45378</v>
      </c>
      <c r="B997" s="8">
        <v>5203.58</v>
      </c>
      <c r="C997" s="2">
        <v>51.72</v>
      </c>
      <c r="E997" s="8">
        <f t="shared" si="45"/>
        <v>44.909999999999854</v>
      </c>
      <c r="F997" s="8">
        <f t="shared" si="46"/>
        <v>-1</v>
      </c>
      <c r="H997" s="12">
        <f t="shared" si="47"/>
        <v>1.9155964545307258</v>
      </c>
    </row>
    <row r="998" spans="1:8" x14ac:dyDescent="0.25">
      <c r="A998" s="1">
        <v>45379</v>
      </c>
      <c r="B998" s="8">
        <v>5248.49</v>
      </c>
      <c r="C998" s="2">
        <v>50.72</v>
      </c>
      <c r="E998" s="8">
        <f t="shared" si="45"/>
        <v>5.8600000000005821</v>
      </c>
      <c r="F998" s="8">
        <f t="shared" si="46"/>
        <v>1.1200000000000045</v>
      </c>
      <c r="H998" s="12">
        <f t="shared" si="47"/>
        <v>1.917353670908498</v>
      </c>
    </row>
    <row r="999" spans="1:8" x14ac:dyDescent="0.25">
      <c r="A999" s="1">
        <v>45383</v>
      </c>
      <c r="B999" s="8">
        <v>5254.35</v>
      </c>
      <c r="C999" s="2">
        <v>51.84</v>
      </c>
      <c r="E999" s="8">
        <f t="shared" si="45"/>
        <v>-10.579999999999927</v>
      </c>
      <c r="F999" s="8">
        <f t="shared" si="46"/>
        <v>0.27999999999999403</v>
      </c>
      <c r="H999" s="12">
        <f t="shared" si="47"/>
        <v>1.9115461647269958</v>
      </c>
    </row>
    <row r="1000" spans="1:8" x14ac:dyDescent="0.25">
      <c r="A1000" s="1">
        <v>45384</v>
      </c>
      <c r="B1000" s="8">
        <v>5243.77</v>
      </c>
      <c r="C1000" s="2">
        <v>52.12</v>
      </c>
      <c r="E1000" s="8">
        <f t="shared" si="45"/>
        <v>-37.960000000000036</v>
      </c>
      <c r="F1000" s="8">
        <f t="shared" si="46"/>
        <v>1.4000000000000057</v>
      </c>
      <c r="H1000" s="12">
        <f t="shared" si="47"/>
        <v>1.9036703573588556</v>
      </c>
    </row>
    <row r="1001" spans="1:8" x14ac:dyDescent="0.25">
      <c r="A1001" s="1">
        <v>45385</v>
      </c>
      <c r="B1001" s="8">
        <v>5205.8100000000004</v>
      </c>
      <c r="C1001" s="2">
        <v>53.52</v>
      </c>
      <c r="E1001" s="8">
        <f t="shared" si="45"/>
        <v>5.6799999999993815</v>
      </c>
      <c r="F1001" s="8">
        <f t="shared" si="46"/>
        <v>-0.24000000000000199</v>
      </c>
      <c r="H1001" s="12">
        <f t="shared" si="47"/>
        <v>1.9044274971947623</v>
      </c>
    </row>
    <row r="1002" spans="1:8" x14ac:dyDescent="0.25">
      <c r="A1002" s="1">
        <v>45386</v>
      </c>
      <c r="B1002" s="8">
        <v>5211.49</v>
      </c>
      <c r="C1002" s="2">
        <v>53.28</v>
      </c>
      <c r="E1002" s="8">
        <f t="shared" si="45"/>
        <v>-64.279999999999745</v>
      </c>
      <c r="F1002" s="8">
        <f t="shared" si="46"/>
        <v>2.3999999999999986</v>
      </c>
      <c r="H1002" s="12">
        <f t="shared" si="47"/>
        <v>1.9314891966890375</v>
      </c>
    </row>
    <row r="1003" spans="1:8" x14ac:dyDescent="0.25">
      <c r="A1003" s="1">
        <v>45387</v>
      </c>
      <c r="B1003" s="8">
        <v>5147.21</v>
      </c>
      <c r="C1003" s="2">
        <v>55.68</v>
      </c>
      <c r="E1003" s="8">
        <f t="shared" si="45"/>
        <v>57.130000000000109</v>
      </c>
      <c r="F1003" s="8">
        <f t="shared" si="46"/>
        <v>1.0799999999999983</v>
      </c>
      <c r="H1003" s="12">
        <f t="shared" si="47"/>
        <v>1.9509359111759372</v>
      </c>
    </row>
    <row r="1004" spans="1:8" x14ac:dyDescent="0.25">
      <c r="A1004" s="1">
        <v>45390</v>
      </c>
      <c r="B1004" s="8">
        <v>5204.34</v>
      </c>
      <c r="C1004" s="2">
        <v>56.76</v>
      </c>
      <c r="E1004" s="8">
        <f t="shared" si="45"/>
        <v>-1.9499999999998181</v>
      </c>
      <c r="F1004" s="8">
        <f t="shared" si="46"/>
        <v>-2.2800000000000011</v>
      </c>
      <c r="H1004" s="12">
        <f t="shared" si="47"/>
        <v>1.9744888530090345</v>
      </c>
    </row>
    <row r="1005" spans="1:8" x14ac:dyDescent="0.25">
      <c r="A1005" s="1">
        <v>45391</v>
      </c>
      <c r="B1005" s="8">
        <v>5202.3900000000003</v>
      </c>
      <c r="C1005" s="2">
        <v>54.48</v>
      </c>
      <c r="E1005" s="8">
        <f t="shared" si="45"/>
        <v>7.5199999999995271</v>
      </c>
      <c r="F1005" s="8">
        <f t="shared" si="46"/>
        <v>-0.23999999999999488</v>
      </c>
      <c r="H1005" s="12">
        <f t="shared" si="47"/>
        <v>1.9929125810213597</v>
      </c>
    </row>
    <row r="1006" spans="1:8" x14ac:dyDescent="0.25">
      <c r="A1006" s="1">
        <v>45392</v>
      </c>
      <c r="B1006" s="8">
        <v>5209.91</v>
      </c>
      <c r="C1006" s="2">
        <v>54.24</v>
      </c>
      <c r="E1006" s="8">
        <f t="shared" si="45"/>
        <v>-49.269999999999527</v>
      </c>
      <c r="F1006" s="8">
        <f t="shared" si="46"/>
        <v>0.83999999999999631</v>
      </c>
      <c r="H1006" s="12">
        <f t="shared" si="47"/>
        <v>2.0126046596984239</v>
      </c>
    </row>
    <row r="1007" spans="1:8" x14ac:dyDescent="0.25">
      <c r="A1007" s="1">
        <v>45393</v>
      </c>
      <c r="B1007" s="8">
        <v>5160.6400000000003</v>
      </c>
      <c r="C1007" s="2">
        <v>55.08</v>
      </c>
      <c r="E1007" s="8">
        <f t="shared" si="45"/>
        <v>38.420000000000073</v>
      </c>
      <c r="F1007" s="8">
        <f t="shared" si="46"/>
        <v>-1.0399999999999991</v>
      </c>
      <c r="H1007" s="12">
        <f t="shared" si="47"/>
        <v>2.0266124321853161</v>
      </c>
    </row>
    <row r="1008" spans="1:8" x14ac:dyDescent="0.25">
      <c r="A1008" s="1">
        <v>45394</v>
      </c>
      <c r="B1008" s="8">
        <v>5199.0600000000004</v>
      </c>
      <c r="C1008" s="2">
        <v>54.04</v>
      </c>
      <c r="E1008" s="8">
        <f t="shared" si="45"/>
        <v>-75.650000000000546</v>
      </c>
      <c r="F1008" s="8">
        <f t="shared" si="46"/>
        <v>4.759999999999998</v>
      </c>
      <c r="H1008" s="12">
        <f t="shared" si="47"/>
        <v>2.0351077873251948</v>
      </c>
    </row>
    <row r="1009" spans="1:8" x14ac:dyDescent="0.25">
      <c r="A1009" s="1">
        <v>45397</v>
      </c>
      <c r="B1009" s="8">
        <v>5123.41</v>
      </c>
      <c r="C1009" s="2">
        <v>58.8</v>
      </c>
      <c r="E1009" s="8">
        <f t="shared" si="45"/>
        <v>-61.590000000000146</v>
      </c>
      <c r="F1009" s="8">
        <f t="shared" si="46"/>
        <v>3.3200000000000003</v>
      </c>
      <c r="H1009" s="12">
        <f t="shared" si="47"/>
        <v>2.0472805720436313</v>
      </c>
    </row>
    <row r="1010" spans="1:8" x14ac:dyDescent="0.25">
      <c r="A1010" s="1">
        <v>45398</v>
      </c>
      <c r="B1010" s="8">
        <v>5061.82</v>
      </c>
      <c r="C1010" s="2">
        <v>62.12</v>
      </c>
      <c r="E1010" s="8">
        <f t="shared" si="45"/>
        <v>-10.409999999999854</v>
      </c>
      <c r="F1010" s="8">
        <f t="shared" si="46"/>
        <v>-2.0799999999999983</v>
      </c>
      <c r="H1010" s="12">
        <f t="shared" si="47"/>
        <v>2.0588243692906856</v>
      </c>
    </row>
    <row r="1011" spans="1:8" x14ac:dyDescent="0.25">
      <c r="A1011" s="1">
        <v>45399</v>
      </c>
      <c r="B1011" s="8">
        <v>5051.41</v>
      </c>
      <c r="C1011" s="2">
        <v>60.04</v>
      </c>
      <c r="E1011" s="8">
        <f t="shared" si="45"/>
        <v>-29.199999999999818</v>
      </c>
      <c r="F1011" s="8">
        <f t="shared" si="46"/>
        <v>-0.56000000000000227</v>
      </c>
      <c r="H1011" s="12">
        <f t="shared" si="47"/>
        <v>2.059047253935852</v>
      </c>
    </row>
    <row r="1012" spans="1:8" x14ac:dyDescent="0.25">
      <c r="A1012" s="1">
        <v>45400</v>
      </c>
      <c r="B1012" s="8">
        <v>5022.21</v>
      </c>
      <c r="C1012" s="2">
        <v>59.48</v>
      </c>
      <c r="E1012" s="8">
        <f t="shared" si="45"/>
        <v>-11.090000000000146</v>
      </c>
      <c r="F1012" s="8">
        <f t="shared" si="46"/>
        <v>0.52000000000000313</v>
      </c>
      <c r="H1012" s="12">
        <f t="shared" si="47"/>
        <v>2.0538375662912323</v>
      </c>
    </row>
    <row r="1013" spans="1:8" x14ac:dyDescent="0.25">
      <c r="A1013" s="1">
        <v>45401</v>
      </c>
      <c r="B1013" s="8">
        <v>5011.12</v>
      </c>
      <c r="C1013" s="2">
        <v>60</v>
      </c>
      <c r="E1013" s="8">
        <f t="shared" si="45"/>
        <v>-43.890000000000327</v>
      </c>
      <c r="F1013" s="8">
        <f t="shared" si="46"/>
        <v>1.4399999999999977</v>
      </c>
      <c r="H1013" s="12">
        <f t="shared" si="47"/>
        <v>2.046204433683338</v>
      </c>
    </row>
    <row r="1014" spans="1:8" x14ac:dyDescent="0.25">
      <c r="A1014" s="1">
        <v>45404</v>
      </c>
      <c r="B1014" s="8">
        <v>4967.2299999999996</v>
      </c>
      <c r="C1014" s="2">
        <v>61.44</v>
      </c>
      <c r="E1014" s="8">
        <f t="shared" si="45"/>
        <v>43.3700000000008</v>
      </c>
      <c r="F1014" s="8">
        <f t="shared" si="46"/>
        <v>-4.6400000000000006</v>
      </c>
      <c r="H1014" s="12">
        <f t="shared" si="47"/>
        <v>2.0341657619443607</v>
      </c>
    </row>
    <row r="1015" spans="1:8" x14ac:dyDescent="0.25">
      <c r="A1015" s="1">
        <v>45405</v>
      </c>
      <c r="B1015" s="8">
        <v>5010.6000000000004</v>
      </c>
      <c r="C1015" s="2">
        <v>56.8</v>
      </c>
      <c r="E1015" s="8">
        <f t="shared" si="45"/>
        <v>59.949999999999818</v>
      </c>
      <c r="F1015" s="8">
        <f t="shared" si="46"/>
        <v>-2.3200000000000003</v>
      </c>
      <c r="H1015" s="12">
        <f t="shared" si="47"/>
        <v>2.007107478724639</v>
      </c>
    </row>
    <row r="1016" spans="1:8" x14ac:dyDescent="0.25">
      <c r="A1016" s="1">
        <v>45406</v>
      </c>
      <c r="B1016" s="8">
        <v>5070.55</v>
      </c>
      <c r="C1016" s="2">
        <v>54.48</v>
      </c>
      <c r="E1016" s="8">
        <f t="shared" si="45"/>
        <v>1.0799999999999272</v>
      </c>
      <c r="F1016" s="8">
        <f t="shared" si="46"/>
        <v>-0.47999999999999687</v>
      </c>
      <c r="H1016" s="12">
        <f t="shared" si="47"/>
        <v>1.9959719151964537</v>
      </c>
    </row>
    <row r="1017" spans="1:8" x14ac:dyDescent="0.25">
      <c r="A1017" s="1">
        <v>45407</v>
      </c>
      <c r="B1017" s="8">
        <v>5071.63</v>
      </c>
      <c r="C1017" s="2">
        <v>54</v>
      </c>
      <c r="E1017" s="8">
        <f t="shared" si="45"/>
        <v>-23.210000000000036</v>
      </c>
      <c r="F1017" s="8">
        <f t="shared" si="46"/>
        <v>1.2000000000000028</v>
      </c>
      <c r="H1017" s="12">
        <f t="shared" si="47"/>
        <v>1.9943674541774139</v>
      </c>
    </row>
    <row r="1018" spans="1:8" x14ac:dyDescent="0.25">
      <c r="A1018" s="1">
        <v>45408</v>
      </c>
      <c r="B1018" s="8">
        <v>5048.42</v>
      </c>
      <c r="C1018" s="2">
        <v>55.2</v>
      </c>
      <c r="E1018" s="8">
        <f t="shared" si="45"/>
        <v>51.539999999999964</v>
      </c>
      <c r="F1018" s="8">
        <f t="shared" si="46"/>
        <v>-1.8000000000000043</v>
      </c>
      <c r="H1018" s="12">
        <f t="shared" si="47"/>
        <v>1.9881803001379026</v>
      </c>
    </row>
    <row r="1019" spans="1:8" x14ac:dyDescent="0.25">
      <c r="A1019" s="1">
        <v>45411</v>
      </c>
      <c r="B1019" s="8">
        <v>5099.96</v>
      </c>
      <c r="C1019" s="2">
        <v>53.4</v>
      </c>
      <c r="E1019" s="8">
        <f t="shared" si="45"/>
        <v>16.210000000000036</v>
      </c>
      <c r="F1019" s="8">
        <f t="shared" si="46"/>
        <v>-0.71999999999999886</v>
      </c>
      <c r="H1019" s="12">
        <f t="shared" si="47"/>
        <v>1.9740564868352266</v>
      </c>
    </row>
    <row r="1020" spans="1:8" x14ac:dyDescent="0.25">
      <c r="A1020" s="1">
        <v>45412</v>
      </c>
      <c r="B1020" s="8">
        <v>5116.17</v>
      </c>
      <c r="C1020" s="2">
        <v>52.68</v>
      </c>
      <c r="E1020" s="8">
        <f t="shared" si="45"/>
        <v>-80.480000000000473</v>
      </c>
      <c r="F1020" s="8">
        <f t="shared" si="46"/>
        <v>1.4799999999999969</v>
      </c>
      <c r="H1020" s="12">
        <f t="shared" si="47"/>
        <v>1.9714163301466971</v>
      </c>
    </row>
    <row r="1021" spans="1:8" x14ac:dyDescent="0.25">
      <c r="A1021" s="1">
        <v>45413</v>
      </c>
      <c r="B1021" s="8">
        <v>5035.6899999999996</v>
      </c>
      <c r="C1021" s="2">
        <v>54.16</v>
      </c>
      <c r="E1021" s="8">
        <f t="shared" si="45"/>
        <v>-17.299999999999272</v>
      </c>
      <c r="F1021" s="8">
        <f t="shared" si="46"/>
        <v>0.12000000000000455</v>
      </c>
      <c r="H1021" s="12">
        <f t="shared" si="47"/>
        <v>1.9788699811835044</v>
      </c>
    </row>
    <row r="1022" spans="1:8" x14ac:dyDescent="0.25">
      <c r="A1022" s="1">
        <v>45414</v>
      </c>
      <c r="B1022" s="8">
        <v>5018.3900000000003</v>
      </c>
      <c r="C1022" s="2">
        <v>54.28</v>
      </c>
      <c r="E1022" s="8">
        <f t="shared" si="45"/>
        <v>45.809999999999491</v>
      </c>
      <c r="F1022" s="8">
        <f t="shared" si="46"/>
        <v>-1.7199999999999989</v>
      </c>
      <c r="H1022" s="12">
        <f t="shared" si="47"/>
        <v>1.9598307665452019</v>
      </c>
    </row>
    <row r="1023" spans="1:8" x14ac:dyDescent="0.25">
      <c r="A1023" s="1">
        <v>45415</v>
      </c>
      <c r="B1023" s="8">
        <v>5064.2</v>
      </c>
      <c r="C1023" s="2">
        <v>52.56</v>
      </c>
      <c r="E1023" s="8">
        <f t="shared" si="45"/>
        <v>63.590000000000146</v>
      </c>
      <c r="F1023" s="8">
        <f t="shared" si="46"/>
        <v>-1.8000000000000043</v>
      </c>
      <c r="H1023" s="12">
        <f t="shared" si="47"/>
        <v>1.9198204115510877</v>
      </c>
    </row>
    <row r="1024" spans="1:8" x14ac:dyDescent="0.25">
      <c r="A1024" s="1">
        <v>45418</v>
      </c>
      <c r="B1024" s="8">
        <v>5127.79</v>
      </c>
      <c r="C1024" s="2">
        <v>50.76</v>
      </c>
      <c r="E1024" s="8">
        <f t="shared" si="45"/>
        <v>52.949999999999818</v>
      </c>
      <c r="F1024" s="8">
        <f t="shared" si="46"/>
        <v>-1.2800000000000011</v>
      </c>
      <c r="H1024" s="12">
        <f t="shared" si="47"/>
        <v>1.900768036305315</v>
      </c>
    </row>
    <row r="1025" spans="1:8" x14ac:dyDescent="0.25">
      <c r="A1025" s="1">
        <v>45419</v>
      </c>
      <c r="B1025" s="8">
        <v>5180.74</v>
      </c>
      <c r="C1025" s="2">
        <v>49.48</v>
      </c>
      <c r="E1025" s="8">
        <f t="shared" si="45"/>
        <v>6.9600000000000364</v>
      </c>
      <c r="F1025" s="8">
        <f t="shared" si="46"/>
        <v>-0.19999999999999574</v>
      </c>
      <c r="H1025" s="12">
        <f t="shared" si="47"/>
        <v>1.9041589116057298</v>
      </c>
    </row>
    <row r="1026" spans="1:8" x14ac:dyDescent="0.25">
      <c r="A1026" s="1">
        <v>45420</v>
      </c>
      <c r="B1026" s="8">
        <v>5187.7</v>
      </c>
      <c r="C1026" s="2">
        <v>49.28</v>
      </c>
      <c r="E1026" s="8">
        <f t="shared" si="45"/>
        <v>-2.9999999999745341E-2</v>
      </c>
      <c r="F1026" s="8">
        <f t="shared" si="46"/>
        <v>-0.43999999999999773</v>
      </c>
      <c r="H1026" s="12">
        <f t="shared" si="47"/>
        <v>1.912490442278663</v>
      </c>
    </row>
    <row r="1027" spans="1:8" x14ac:dyDescent="0.25">
      <c r="A1027" s="1">
        <v>45421</v>
      </c>
      <c r="B1027" s="8">
        <v>5187.67</v>
      </c>
      <c r="C1027" s="2">
        <v>48.84</v>
      </c>
      <c r="E1027" s="8">
        <f t="shared" ref="E1027:E1090" si="48">B1028-B1027</f>
        <v>26.409999999999854</v>
      </c>
      <c r="F1027" s="8">
        <f t="shared" ref="F1027:F1090" si="49">C1028-C1027</f>
        <v>-0.28000000000000114</v>
      </c>
      <c r="H1027" s="12">
        <f t="shared" ref="H1027:H1090" si="50">LOG(_xlfn.STDEV.P(B1027:B1057))</f>
        <v>1.9144297743745009</v>
      </c>
    </row>
    <row r="1028" spans="1:8" x14ac:dyDescent="0.25">
      <c r="A1028" s="1">
        <v>45422</v>
      </c>
      <c r="B1028" s="8">
        <v>5214.08</v>
      </c>
      <c r="C1028" s="2">
        <v>48.56</v>
      </c>
      <c r="E1028" s="8">
        <f t="shared" si="48"/>
        <v>8.6000000000003638</v>
      </c>
      <c r="F1028" s="8">
        <f t="shared" si="49"/>
        <v>-0.60000000000000142</v>
      </c>
      <c r="H1028" s="12">
        <f t="shared" si="50"/>
        <v>1.9068958500214281</v>
      </c>
    </row>
    <row r="1029" spans="1:8" x14ac:dyDescent="0.25">
      <c r="A1029" s="1">
        <v>45425</v>
      </c>
      <c r="B1029" s="8">
        <v>5222.68</v>
      </c>
      <c r="C1029" s="2">
        <v>47.96</v>
      </c>
      <c r="E1029" s="8">
        <f t="shared" si="48"/>
        <v>-1.2600000000002183</v>
      </c>
      <c r="F1029" s="8">
        <f t="shared" si="49"/>
        <v>0.64000000000000057</v>
      </c>
      <c r="H1029" s="12">
        <f t="shared" si="50"/>
        <v>1.9079414996767552</v>
      </c>
    </row>
    <row r="1030" spans="1:8" x14ac:dyDescent="0.25">
      <c r="A1030" s="1">
        <v>45426</v>
      </c>
      <c r="B1030" s="8">
        <v>5221.42</v>
      </c>
      <c r="C1030" s="2">
        <v>48.6</v>
      </c>
      <c r="E1030" s="8">
        <f t="shared" si="48"/>
        <v>25.260000000000218</v>
      </c>
      <c r="F1030" s="8">
        <f t="shared" si="49"/>
        <v>-0.92000000000000171</v>
      </c>
      <c r="H1030" s="12">
        <f t="shared" si="50"/>
        <v>1.9091816433789206</v>
      </c>
    </row>
    <row r="1031" spans="1:8" x14ac:dyDescent="0.25">
      <c r="A1031" s="1">
        <v>45427</v>
      </c>
      <c r="B1031" s="8">
        <v>5246.68</v>
      </c>
      <c r="C1031" s="2">
        <v>47.68</v>
      </c>
      <c r="E1031" s="8">
        <f t="shared" si="48"/>
        <v>61.469999999999345</v>
      </c>
      <c r="F1031" s="8">
        <f t="shared" si="49"/>
        <v>-1.9600000000000009</v>
      </c>
      <c r="H1031" s="12">
        <f t="shared" si="50"/>
        <v>1.9068306781765121</v>
      </c>
    </row>
    <row r="1032" spans="1:8" x14ac:dyDescent="0.25">
      <c r="A1032" s="1">
        <v>45428</v>
      </c>
      <c r="B1032" s="8">
        <v>5308.15</v>
      </c>
      <c r="C1032" s="2">
        <v>45.72</v>
      </c>
      <c r="E1032" s="8">
        <f t="shared" si="48"/>
        <v>-11.049999999999272</v>
      </c>
      <c r="F1032" s="8">
        <f t="shared" si="49"/>
        <v>0</v>
      </c>
      <c r="H1032" s="12">
        <f t="shared" si="50"/>
        <v>1.9019778933941918</v>
      </c>
    </row>
    <row r="1033" spans="1:8" x14ac:dyDescent="0.25">
      <c r="A1033" s="1">
        <v>45429</v>
      </c>
      <c r="B1033" s="8">
        <v>5297.1</v>
      </c>
      <c r="C1033" s="2">
        <v>45.72</v>
      </c>
      <c r="E1033" s="8">
        <f t="shared" si="48"/>
        <v>6.1700000000000728</v>
      </c>
      <c r="F1033" s="8">
        <f t="shared" si="49"/>
        <v>-0.39999999999999858</v>
      </c>
      <c r="H1033" s="12">
        <f t="shared" si="50"/>
        <v>1.9097229737362462</v>
      </c>
    </row>
    <row r="1034" spans="1:8" x14ac:dyDescent="0.25">
      <c r="A1034" s="1">
        <v>45432</v>
      </c>
      <c r="B1034" s="8">
        <v>5303.27</v>
      </c>
      <c r="C1034" s="2">
        <v>45.32</v>
      </c>
      <c r="E1034" s="8">
        <f t="shared" si="48"/>
        <v>4.8599999999996726</v>
      </c>
      <c r="F1034" s="8">
        <f t="shared" si="49"/>
        <v>0.11999999999999744</v>
      </c>
      <c r="H1034" s="12">
        <f t="shared" si="50"/>
        <v>1.9214540501588933</v>
      </c>
    </row>
    <row r="1035" spans="1:8" x14ac:dyDescent="0.25">
      <c r="A1035" s="1">
        <v>45433</v>
      </c>
      <c r="B1035" s="8">
        <v>5308.13</v>
      </c>
      <c r="C1035" s="2">
        <v>45.44</v>
      </c>
      <c r="E1035" s="8">
        <f t="shared" si="48"/>
        <v>13.279999999999745</v>
      </c>
      <c r="F1035" s="8">
        <f t="shared" si="49"/>
        <v>-1.0399999999999991</v>
      </c>
      <c r="H1035" s="12">
        <f t="shared" si="50"/>
        <v>1.9380554558157053</v>
      </c>
    </row>
    <row r="1036" spans="1:8" x14ac:dyDescent="0.25">
      <c r="A1036" s="1">
        <v>45434</v>
      </c>
      <c r="B1036" s="8">
        <v>5321.41</v>
      </c>
      <c r="C1036" s="2">
        <v>44.4</v>
      </c>
      <c r="E1036" s="8">
        <f t="shared" si="48"/>
        <v>-14.399999999999636</v>
      </c>
      <c r="F1036" s="8">
        <f t="shared" si="49"/>
        <v>1.1200000000000045</v>
      </c>
      <c r="H1036" s="12">
        <f t="shared" si="50"/>
        <v>1.9593116305687404</v>
      </c>
    </row>
    <row r="1037" spans="1:8" x14ac:dyDescent="0.25">
      <c r="A1037" s="1">
        <v>45435</v>
      </c>
      <c r="B1037" s="8">
        <v>5307.01</v>
      </c>
      <c r="C1037" s="2">
        <v>45.52</v>
      </c>
      <c r="E1037" s="8">
        <f t="shared" si="48"/>
        <v>-39.170000000000073</v>
      </c>
      <c r="F1037" s="8">
        <f t="shared" si="49"/>
        <v>0.59999999999999432</v>
      </c>
      <c r="H1037" s="12">
        <f t="shared" si="50"/>
        <v>1.9786069002098994</v>
      </c>
    </row>
    <row r="1038" spans="1:8" x14ac:dyDescent="0.25">
      <c r="A1038" s="1">
        <v>45436</v>
      </c>
      <c r="B1038" s="8">
        <v>5267.84</v>
      </c>
      <c r="C1038" s="2">
        <v>46.12</v>
      </c>
      <c r="E1038" s="8">
        <f t="shared" si="48"/>
        <v>36.880000000000109</v>
      </c>
      <c r="F1038" s="8">
        <f t="shared" si="49"/>
        <v>-1.5599999999999952</v>
      </c>
      <c r="H1038" s="12">
        <f t="shared" si="50"/>
        <v>1.9923339472990587</v>
      </c>
    </row>
    <row r="1039" spans="1:8" x14ac:dyDescent="0.25">
      <c r="A1039" s="1">
        <v>45440</v>
      </c>
      <c r="B1039" s="8">
        <v>5304.72</v>
      </c>
      <c r="C1039" s="2">
        <v>44.56</v>
      </c>
      <c r="E1039" s="8">
        <f t="shared" si="48"/>
        <v>1.319999999999709</v>
      </c>
      <c r="F1039" s="8">
        <f t="shared" si="49"/>
        <v>1.1199999999999974</v>
      </c>
      <c r="H1039" s="12">
        <f t="shared" si="50"/>
        <v>2.0089838036793002</v>
      </c>
    </row>
    <row r="1040" spans="1:8" x14ac:dyDescent="0.25">
      <c r="A1040" s="1">
        <v>45441</v>
      </c>
      <c r="B1040" s="8">
        <v>5306.04</v>
      </c>
      <c r="C1040" s="2">
        <v>45.68</v>
      </c>
      <c r="E1040" s="8">
        <f t="shared" si="48"/>
        <v>-39.090000000000146</v>
      </c>
      <c r="F1040" s="8">
        <f t="shared" si="49"/>
        <v>1.6799999999999997</v>
      </c>
      <c r="H1040" s="12">
        <f t="shared" si="50"/>
        <v>2.0148868838780833</v>
      </c>
    </row>
    <row r="1041" spans="1:8" x14ac:dyDescent="0.25">
      <c r="A1041" s="1">
        <v>45442</v>
      </c>
      <c r="B1041" s="8">
        <v>5266.95</v>
      </c>
      <c r="C1041" s="2">
        <v>47.36</v>
      </c>
      <c r="E1041" s="8">
        <f t="shared" si="48"/>
        <v>-31.470000000000255</v>
      </c>
      <c r="F1041" s="8">
        <f t="shared" si="49"/>
        <v>-7.9999999999998295E-2</v>
      </c>
      <c r="H1041" s="12">
        <f t="shared" si="50"/>
        <v>2.0237944236365846</v>
      </c>
    </row>
    <row r="1042" spans="1:8" x14ac:dyDescent="0.25">
      <c r="A1042" s="1">
        <v>45443</v>
      </c>
      <c r="B1042" s="8">
        <v>5235.4799999999996</v>
      </c>
      <c r="C1042" s="2">
        <v>47.28</v>
      </c>
      <c r="E1042" s="8">
        <f t="shared" si="48"/>
        <v>42.030000000000655</v>
      </c>
      <c r="F1042" s="8">
        <f t="shared" si="49"/>
        <v>-1.5200000000000031</v>
      </c>
      <c r="H1042" s="12">
        <f t="shared" si="50"/>
        <v>2.0237936859596162</v>
      </c>
    </row>
    <row r="1043" spans="1:8" x14ac:dyDescent="0.25">
      <c r="A1043" s="1">
        <v>45446</v>
      </c>
      <c r="B1043" s="8">
        <v>5277.51</v>
      </c>
      <c r="C1043" s="2">
        <v>45.76</v>
      </c>
      <c r="E1043" s="8">
        <f t="shared" si="48"/>
        <v>5.8899999999994179</v>
      </c>
      <c r="F1043" s="8">
        <f t="shared" si="49"/>
        <v>-0.23999999999999488</v>
      </c>
      <c r="H1043" s="12">
        <f t="shared" si="50"/>
        <v>2.0179788596830401</v>
      </c>
    </row>
    <row r="1044" spans="1:8" x14ac:dyDescent="0.25">
      <c r="A1044" s="1">
        <v>45447</v>
      </c>
      <c r="B1044" s="8">
        <v>5283.4</v>
      </c>
      <c r="C1044" s="2">
        <v>45.52</v>
      </c>
      <c r="E1044" s="8">
        <f t="shared" si="48"/>
        <v>7.9400000000005093</v>
      </c>
      <c r="F1044" s="8">
        <f t="shared" si="49"/>
        <v>0.23999999999999488</v>
      </c>
      <c r="H1044" s="12">
        <f t="shared" si="50"/>
        <v>2.000887939704584</v>
      </c>
    </row>
    <row r="1045" spans="1:8" x14ac:dyDescent="0.25">
      <c r="A1045" s="1">
        <v>45448</v>
      </c>
      <c r="B1045" s="8">
        <v>5291.34</v>
      </c>
      <c r="C1045" s="2">
        <v>45.76</v>
      </c>
      <c r="E1045" s="8">
        <f t="shared" si="48"/>
        <v>62.6899999999996</v>
      </c>
      <c r="F1045" s="8">
        <f t="shared" si="49"/>
        <v>-0.9199999999999946</v>
      </c>
      <c r="H1045" s="12">
        <f t="shared" si="50"/>
        <v>1.9741100310102024</v>
      </c>
    </row>
    <row r="1046" spans="1:8" x14ac:dyDescent="0.25">
      <c r="A1046" s="1">
        <v>45449</v>
      </c>
      <c r="B1046" s="8">
        <v>5354.03</v>
      </c>
      <c r="C1046" s="2">
        <v>44.84</v>
      </c>
      <c r="E1046" s="8">
        <f t="shared" si="48"/>
        <v>-1.069999999999709</v>
      </c>
      <c r="F1046" s="8">
        <f t="shared" si="49"/>
        <v>-0.32000000000000028</v>
      </c>
      <c r="H1046" s="12">
        <f t="shared" si="50"/>
        <v>1.9403899462866951</v>
      </c>
    </row>
    <row r="1047" spans="1:8" x14ac:dyDescent="0.25">
      <c r="A1047" s="1">
        <v>45450</v>
      </c>
      <c r="B1047" s="8">
        <v>5352.96</v>
      </c>
      <c r="C1047" s="2">
        <v>44.52</v>
      </c>
      <c r="E1047" s="8">
        <f t="shared" si="48"/>
        <v>-5.9700000000002547</v>
      </c>
      <c r="F1047" s="8">
        <f t="shared" si="49"/>
        <v>-0.44000000000000483</v>
      </c>
      <c r="H1047" s="12">
        <f t="shared" si="50"/>
        <v>1.9249601345604614</v>
      </c>
    </row>
    <row r="1048" spans="1:8" x14ac:dyDescent="0.25">
      <c r="A1048" s="1">
        <v>45453</v>
      </c>
      <c r="B1048" s="8">
        <v>5346.99</v>
      </c>
      <c r="C1048" s="2">
        <v>44.08</v>
      </c>
      <c r="E1048" s="8">
        <f t="shared" si="48"/>
        <v>13.800000000000182</v>
      </c>
      <c r="F1048" s="8">
        <f t="shared" si="49"/>
        <v>0.12000000000000455</v>
      </c>
      <c r="H1048" s="12">
        <f t="shared" si="50"/>
        <v>1.9039312844317693</v>
      </c>
    </row>
    <row r="1049" spans="1:8" x14ac:dyDescent="0.25">
      <c r="A1049" s="1">
        <v>45454</v>
      </c>
      <c r="B1049" s="8">
        <v>5360.79</v>
      </c>
      <c r="C1049" s="2">
        <v>44.2</v>
      </c>
      <c r="E1049" s="8">
        <f t="shared" si="48"/>
        <v>14.529999999999745</v>
      </c>
      <c r="F1049" s="8">
        <f t="shared" si="49"/>
        <v>-4.0000000000006253E-2</v>
      </c>
      <c r="H1049" s="12">
        <f t="shared" si="50"/>
        <v>1.8815321586560168</v>
      </c>
    </row>
    <row r="1050" spans="1:8" x14ac:dyDescent="0.25">
      <c r="A1050" s="1">
        <v>45455</v>
      </c>
      <c r="B1050" s="8">
        <v>5375.32</v>
      </c>
      <c r="C1050" s="2">
        <v>44.16</v>
      </c>
      <c r="E1050" s="8">
        <f t="shared" si="48"/>
        <v>45.710000000000036</v>
      </c>
      <c r="F1050" s="8">
        <f t="shared" si="49"/>
        <v>-0.95999999999999375</v>
      </c>
      <c r="H1050" s="12">
        <f t="shared" si="50"/>
        <v>1.8690313212227943</v>
      </c>
    </row>
    <row r="1051" spans="1:8" x14ac:dyDescent="0.25">
      <c r="A1051" s="1">
        <v>45456</v>
      </c>
      <c r="B1051" s="8">
        <v>5421.03</v>
      </c>
      <c r="C1051" s="2">
        <v>43.2</v>
      </c>
      <c r="E1051" s="8">
        <f t="shared" si="48"/>
        <v>12.710000000000036</v>
      </c>
      <c r="F1051" s="8">
        <f t="shared" si="49"/>
        <v>0</v>
      </c>
      <c r="H1051" s="12">
        <f t="shared" si="50"/>
        <v>1.8475053195631801</v>
      </c>
    </row>
    <row r="1052" spans="1:8" x14ac:dyDescent="0.25">
      <c r="A1052" s="1">
        <v>45457</v>
      </c>
      <c r="B1052" s="8">
        <v>5433.74</v>
      </c>
      <c r="C1052" s="2">
        <v>43.2</v>
      </c>
      <c r="E1052" s="8">
        <f t="shared" si="48"/>
        <v>-2.1399999999994179</v>
      </c>
      <c r="F1052" s="8">
        <f t="shared" si="49"/>
        <v>1.4399999999999977</v>
      </c>
      <c r="H1052" s="12">
        <f t="shared" si="50"/>
        <v>1.8386128571086089</v>
      </c>
    </row>
    <row r="1053" spans="1:8" x14ac:dyDescent="0.25">
      <c r="A1053" s="1">
        <v>45460</v>
      </c>
      <c r="B1053" s="8">
        <v>5431.6</v>
      </c>
      <c r="C1053" s="2">
        <v>44.64</v>
      </c>
      <c r="E1053" s="8">
        <f t="shared" si="48"/>
        <v>41.6299999999992</v>
      </c>
      <c r="F1053" s="8">
        <f t="shared" si="49"/>
        <v>-0.32000000000000028</v>
      </c>
      <c r="H1053" s="12">
        <f t="shared" si="50"/>
        <v>1.837972363869447</v>
      </c>
    </row>
    <row r="1054" spans="1:8" x14ac:dyDescent="0.25">
      <c r="A1054" s="1">
        <v>45461</v>
      </c>
      <c r="B1054" s="8">
        <v>5473.23</v>
      </c>
      <c r="C1054" s="2">
        <v>44.32</v>
      </c>
      <c r="E1054" s="8">
        <f t="shared" si="48"/>
        <v>13.800000000000182</v>
      </c>
      <c r="F1054" s="8">
        <f t="shared" si="49"/>
        <v>-0.32000000000000028</v>
      </c>
      <c r="H1054" s="12">
        <f t="shared" si="50"/>
        <v>1.826963903042623</v>
      </c>
    </row>
    <row r="1055" spans="1:8" x14ac:dyDescent="0.25">
      <c r="A1055" s="1">
        <v>45463</v>
      </c>
      <c r="B1055" s="8">
        <v>5487.03</v>
      </c>
      <c r="C1055" s="2">
        <v>44</v>
      </c>
      <c r="E1055" s="8">
        <f t="shared" si="48"/>
        <v>-13.859999999999673</v>
      </c>
      <c r="F1055" s="8">
        <f t="shared" si="49"/>
        <v>1.5600000000000023</v>
      </c>
      <c r="H1055" s="12">
        <f t="shared" si="50"/>
        <v>1.8317050867733033</v>
      </c>
    </row>
    <row r="1056" spans="1:8" x14ac:dyDescent="0.25">
      <c r="A1056" s="1">
        <v>45464</v>
      </c>
      <c r="B1056" s="8">
        <v>5473.17</v>
      </c>
      <c r="C1056" s="2">
        <v>45.56</v>
      </c>
      <c r="E1056" s="8">
        <f t="shared" si="48"/>
        <v>-8.5500000000001819</v>
      </c>
      <c r="F1056" s="8">
        <f t="shared" si="49"/>
        <v>-0.80000000000000426</v>
      </c>
      <c r="H1056" s="12">
        <f t="shared" si="50"/>
        <v>1.870183648841524</v>
      </c>
    </row>
    <row r="1057" spans="1:8" x14ac:dyDescent="0.25">
      <c r="A1057" s="1">
        <v>45467</v>
      </c>
      <c r="B1057" s="8">
        <v>5464.62</v>
      </c>
      <c r="C1057" s="2">
        <v>44.76</v>
      </c>
      <c r="E1057" s="8">
        <f t="shared" si="48"/>
        <v>-16.75</v>
      </c>
      <c r="F1057" s="8">
        <f t="shared" si="49"/>
        <v>-0.23999999999999488</v>
      </c>
      <c r="H1057" s="12">
        <f t="shared" si="50"/>
        <v>1.9724177810272894</v>
      </c>
    </row>
    <row r="1058" spans="1:8" x14ac:dyDescent="0.25">
      <c r="A1058" s="1">
        <v>45468</v>
      </c>
      <c r="B1058" s="8">
        <v>5447.87</v>
      </c>
      <c r="C1058" s="2">
        <v>44.52</v>
      </c>
      <c r="E1058" s="8">
        <f t="shared" si="48"/>
        <v>21.430000000000291</v>
      </c>
      <c r="F1058" s="8">
        <f t="shared" si="49"/>
        <v>-1</v>
      </c>
      <c r="H1058" s="12">
        <f t="shared" si="50"/>
        <v>2.0197053733033301</v>
      </c>
    </row>
    <row r="1059" spans="1:8" x14ac:dyDescent="0.25">
      <c r="A1059" s="1">
        <v>45469</v>
      </c>
      <c r="B1059" s="8">
        <v>5469.3</v>
      </c>
      <c r="C1059" s="2">
        <v>43.52</v>
      </c>
      <c r="E1059" s="8">
        <f t="shared" si="48"/>
        <v>8.5999999999994543</v>
      </c>
      <c r="F1059" s="8">
        <f t="shared" si="49"/>
        <v>-0.44000000000000483</v>
      </c>
      <c r="H1059" s="12">
        <f t="shared" si="50"/>
        <v>2.0676656242731184</v>
      </c>
    </row>
    <row r="1060" spans="1:8" x14ac:dyDescent="0.25">
      <c r="A1060" s="1">
        <v>45470</v>
      </c>
      <c r="B1060" s="8">
        <v>5477.9</v>
      </c>
      <c r="C1060" s="2">
        <v>43.08</v>
      </c>
      <c r="E1060" s="8">
        <f t="shared" si="48"/>
        <v>4.9700000000002547</v>
      </c>
      <c r="F1060" s="8">
        <f t="shared" si="49"/>
        <v>-0.35999999999999943</v>
      </c>
      <c r="H1060" s="12">
        <f t="shared" si="50"/>
        <v>2.0813574524297347</v>
      </c>
    </row>
    <row r="1061" spans="1:8" x14ac:dyDescent="0.25">
      <c r="A1061" s="1">
        <v>45471</v>
      </c>
      <c r="B1061" s="8">
        <v>5482.87</v>
      </c>
      <c r="C1061" s="2">
        <v>42.72</v>
      </c>
      <c r="E1061" s="8">
        <f t="shared" si="48"/>
        <v>-22.390000000000327</v>
      </c>
      <c r="F1061" s="8">
        <f t="shared" si="49"/>
        <v>0.67999999999999972</v>
      </c>
      <c r="H1061" s="12">
        <f t="shared" si="50"/>
        <v>2.0902600183151443</v>
      </c>
    </row>
    <row r="1062" spans="1:8" x14ac:dyDescent="0.25">
      <c r="A1062" s="1">
        <v>45474</v>
      </c>
      <c r="B1062" s="8">
        <v>5460.48</v>
      </c>
      <c r="C1062" s="2">
        <v>43.4</v>
      </c>
      <c r="E1062" s="8">
        <f t="shared" si="48"/>
        <v>14.610000000000582</v>
      </c>
      <c r="F1062" s="8">
        <f t="shared" si="49"/>
        <v>-1.740000000000002</v>
      </c>
      <c r="H1062" s="12">
        <f t="shared" si="50"/>
        <v>2.0982479954679079</v>
      </c>
    </row>
    <row r="1063" spans="1:8" x14ac:dyDescent="0.25">
      <c r="A1063" s="1">
        <v>45475</v>
      </c>
      <c r="B1063" s="8">
        <v>5475.09</v>
      </c>
      <c r="C1063" s="2">
        <v>41.66</v>
      </c>
      <c r="E1063" s="8">
        <f t="shared" si="48"/>
        <v>33.920000000000073</v>
      </c>
      <c r="F1063" s="8">
        <f t="shared" si="49"/>
        <v>-0.5</v>
      </c>
      <c r="H1063" s="12">
        <f t="shared" si="50"/>
        <v>2.0988756475816679</v>
      </c>
    </row>
    <row r="1064" spans="1:8" x14ac:dyDescent="0.25">
      <c r="A1064" s="1">
        <v>45476</v>
      </c>
      <c r="B1064" s="8">
        <v>5509.01</v>
      </c>
      <c r="C1064" s="2">
        <v>41.16</v>
      </c>
      <c r="E1064" s="8">
        <f t="shared" si="48"/>
        <v>28.010000000000218</v>
      </c>
      <c r="F1064" s="8">
        <f t="shared" si="49"/>
        <v>0.20000000000000284</v>
      </c>
      <c r="H1064" s="12">
        <f t="shared" si="50"/>
        <v>2.0990282446240158</v>
      </c>
    </row>
    <row r="1065" spans="1:8" x14ac:dyDescent="0.25">
      <c r="A1065" s="1">
        <v>45478</v>
      </c>
      <c r="B1065" s="8">
        <v>5537.02</v>
      </c>
      <c r="C1065" s="2">
        <v>41.36</v>
      </c>
      <c r="E1065" s="8">
        <f t="shared" si="48"/>
        <v>30.169999999999163</v>
      </c>
      <c r="F1065" s="8">
        <f t="shared" si="49"/>
        <v>0.11999999999999744</v>
      </c>
      <c r="H1065" s="12">
        <f t="shared" si="50"/>
        <v>2.1006048106969031</v>
      </c>
    </row>
    <row r="1066" spans="1:8" x14ac:dyDescent="0.25">
      <c r="A1066" s="1">
        <v>45481</v>
      </c>
      <c r="B1066" s="8">
        <v>5567.19</v>
      </c>
      <c r="C1066" s="2">
        <v>41.48</v>
      </c>
      <c r="E1066" s="8">
        <f t="shared" si="48"/>
        <v>5.660000000000764</v>
      </c>
      <c r="F1066" s="8">
        <f t="shared" si="49"/>
        <v>-0.67999999999999972</v>
      </c>
      <c r="H1066" s="12">
        <f t="shared" si="50"/>
        <v>2.1016771935532796</v>
      </c>
    </row>
    <row r="1067" spans="1:8" x14ac:dyDescent="0.25">
      <c r="A1067" s="1">
        <v>45482</v>
      </c>
      <c r="B1067" s="8">
        <v>5572.85</v>
      </c>
      <c r="C1067" s="2">
        <v>40.799999999999997</v>
      </c>
      <c r="E1067" s="8">
        <f t="shared" si="48"/>
        <v>4.1299999999991996</v>
      </c>
      <c r="F1067" s="8">
        <f t="shared" si="49"/>
        <v>0</v>
      </c>
      <c r="H1067" s="12">
        <f t="shared" si="50"/>
        <v>2.1056713232439428</v>
      </c>
    </row>
    <row r="1068" spans="1:8" x14ac:dyDescent="0.25">
      <c r="A1068" s="1">
        <v>45483</v>
      </c>
      <c r="B1068" s="8">
        <v>5576.98</v>
      </c>
      <c r="C1068" s="2">
        <v>40.799999999999997</v>
      </c>
      <c r="E1068" s="8">
        <f t="shared" si="48"/>
        <v>56.930000000000291</v>
      </c>
      <c r="F1068" s="8">
        <f t="shared" si="49"/>
        <v>-7.9999999999998295E-2</v>
      </c>
      <c r="H1068" s="12">
        <f t="shared" si="50"/>
        <v>2.1079197526960796</v>
      </c>
    </row>
    <row r="1069" spans="1:8" x14ac:dyDescent="0.25">
      <c r="A1069" s="1">
        <v>45484</v>
      </c>
      <c r="B1069" s="8">
        <v>5633.91</v>
      </c>
      <c r="C1069" s="2">
        <v>40.72</v>
      </c>
      <c r="E1069" s="8">
        <f t="shared" si="48"/>
        <v>-49.369999999999891</v>
      </c>
      <c r="F1069" s="8">
        <f t="shared" si="49"/>
        <v>0.12000000000000455</v>
      </c>
      <c r="H1069" s="12">
        <f t="shared" si="50"/>
        <v>2.1123962866878014</v>
      </c>
    </row>
    <row r="1070" spans="1:8" x14ac:dyDescent="0.25">
      <c r="A1070" s="1">
        <v>45485</v>
      </c>
      <c r="B1070" s="8">
        <v>5584.54</v>
      </c>
      <c r="C1070" s="2">
        <v>40.840000000000003</v>
      </c>
      <c r="E1070" s="8">
        <f t="shared" si="48"/>
        <v>30.8100000000004</v>
      </c>
      <c r="F1070" s="8">
        <f t="shared" si="49"/>
        <v>-0.68000000000000682</v>
      </c>
      <c r="H1070" s="12">
        <f t="shared" si="50"/>
        <v>2.1057103545505926</v>
      </c>
    </row>
    <row r="1071" spans="1:8" x14ac:dyDescent="0.25">
      <c r="A1071" s="1">
        <v>45488</v>
      </c>
      <c r="B1071" s="8">
        <v>5615.35</v>
      </c>
      <c r="C1071" s="2">
        <v>40.159999999999997</v>
      </c>
      <c r="E1071" s="8">
        <f t="shared" si="48"/>
        <v>15.869999999999891</v>
      </c>
      <c r="F1071" s="8">
        <f t="shared" si="49"/>
        <v>0.80000000000000426</v>
      </c>
      <c r="H1071" s="12">
        <f t="shared" si="50"/>
        <v>2.1113341267365278</v>
      </c>
    </row>
    <row r="1072" spans="1:8" x14ac:dyDescent="0.25">
      <c r="A1072" s="1">
        <v>45489</v>
      </c>
      <c r="B1072" s="8">
        <v>5631.22</v>
      </c>
      <c r="C1072" s="2">
        <v>40.96</v>
      </c>
      <c r="E1072" s="8">
        <f t="shared" si="48"/>
        <v>35.979999999999563</v>
      </c>
      <c r="F1072" s="8">
        <f t="shared" si="49"/>
        <v>0.15999999999999659</v>
      </c>
      <c r="H1072" s="12">
        <f t="shared" si="50"/>
        <v>2.1115063749860297</v>
      </c>
    </row>
    <row r="1073" spans="1:8" x14ac:dyDescent="0.25">
      <c r="A1073" s="1">
        <v>45490</v>
      </c>
      <c r="B1073" s="8">
        <v>5667.2</v>
      </c>
      <c r="C1073" s="2">
        <v>41.12</v>
      </c>
      <c r="E1073" s="8">
        <f t="shared" si="48"/>
        <v>-78.929999999999382</v>
      </c>
      <c r="F1073" s="8">
        <f t="shared" si="49"/>
        <v>1.4000000000000057</v>
      </c>
      <c r="H1073" s="12">
        <f t="shared" si="50"/>
        <v>2.1108222815445243</v>
      </c>
    </row>
    <row r="1074" spans="1:8" x14ac:dyDescent="0.25">
      <c r="A1074" s="1">
        <v>45491</v>
      </c>
      <c r="B1074" s="8">
        <v>5588.27</v>
      </c>
      <c r="C1074" s="2">
        <v>42.52</v>
      </c>
      <c r="E1074" s="8">
        <f t="shared" si="48"/>
        <v>-43.680000000000291</v>
      </c>
      <c r="F1074" s="8">
        <f t="shared" si="49"/>
        <v>1.279999999999994</v>
      </c>
      <c r="H1074" s="12">
        <f t="shared" si="50"/>
        <v>2.1009617609934796</v>
      </c>
    </row>
    <row r="1075" spans="1:8" x14ac:dyDescent="0.25">
      <c r="A1075" s="1">
        <v>45492</v>
      </c>
      <c r="B1075" s="8">
        <v>5544.59</v>
      </c>
      <c r="C1075" s="2">
        <v>43.8</v>
      </c>
      <c r="E1075" s="8">
        <f t="shared" si="48"/>
        <v>-39.590000000000146</v>
      </c>
      <c r="F1075" s="8">
        <f t="shared" si="49"/>
        <v>1.9200000000000017</v>
      </c>
      <c r="H1075" s="12">
        <f t="shared" si="50"/>
        <v>2.1013328557421067</v>
      </c>
    </row>
    <row r="1076" spans="1:8" x14ac:dyDescent="0.25">
      <c r="A1076" s="1">
        <v>45495</v>
      </c>
      <c r="B1076" s="8">
        <v>5505</v>
      </c>
      <c r="C1076" s="2">
        <v>45.72</v>
      </c>
      <c r="E1076" s="8">
        <f t="shared" si="48"/>
        <v>59.409999999999854</v>
      </c>
      <c r="F1076" s="8">
        <f t="shared" si="49"/>
        <v>-2.4799999999999969</v>
      </c>
      <c r="H1076" s="12">
        <f t="shared" si="50"/>
        <v>2.1119250116153823</v>
      </c>
    </row>
    <row r="1077" spans="1:8" x14ac:dyDescent="0.25">
      <c r="A1077" s="1">
        <v>45496</v>
      </c>
      <c r="B1077" s="8">
        <v>5564.41</v>
      </c>
      <c r="C1077" s="2">
        <v>43.24</v>
      </c>
      <c r="E1077" s="8">
        <f t="shared" si="48"/>
        <v>-8.6700000000000728</v>
      </c>
      <c r="F1077" s="8">
        <f t="shared" si="49"/>
        <v>-0.39999999999999858</v>
      </c>
      <c r="H1077" s="12">
        <f t="shared" si="50"/>
        <v>2.1126731711779669</v>
      </c>
    </row>
    <row r="1078" spans="1:8" x14ac:dyDescent="0.25">
      <c r="A1078" s="1">
        <v>45497</v>
      </c>
      <c r="B1078" s="8">
        <v>5555.74</v>
      </c>
      <c r="C1078" s="2">
        <v>42.84</v>
      </c>
      <c r="E1078" s="8">
        <f t="shared" si="48"/>
        <v>-128.60999999999967</v>
      </c>
      <c r="F1078" s="8">
        <f t="shared" si="49"/>
        <v>5.9599999999999937</v>
      </c>
      <c r="H1078" s="12">
        <f t="shared" si="50"/>
        <v>2.110330056104214</v>
      </c>
    </row>
    <row r="1079" spans="1:8" x14ac:dyDescent="0.25">
      <c r="A1079" s="1">
        <v>45498</v>
      </c>
      <c r="B1079" s="8">
        <v>5427.13</v>
      </c>
      <c r="C1079" s="2">
        <v>48.8</v>
      </c>
      <c r="E1079" s="8">
        <f t="shared" si="48"/>
        <v>-27.909999999999854</v>
      </c>
      <c r="F1079" s="8">
        <f t="shared" si="49"/>
        <v>0.40000000000000568</v>
      </c>
      <c r="H1079" s="12">
        <f t="shared" si="50"/>
        <v>2.1080274266060037</v>
      </c>
    </row>
    <row r="1080" spans="1:8" x14ac:dyDescent="0.25">
      <c r="A1080" s="1">
        <v>45499</v>
      </c>
      <c r="B1080" s="8">
        <v>5399.22</v>
      </c>
      <c r="C1080" s="2">
        <v>49.2</v>
      </c>
      <c r="E1080" s="8">
        <f t="shared" si="48"/>
        <v>59.880000000000109</v>
      </c>
      <c r="F1080" s="8">
        <f t="shared" si="49"/>
        <v>-2.8000000000000043</v>
      </c>
      <c r="H1080" s="12">
        <f t="shared" si="50"/>
        <v>2.1089613934702638</v>
      </c>
    </row>
    <row r="1081" spans="1:8" x14ac:dyDescent="0.25">
      <c r="A1081" s="1">
        <v>45502</v>
      </c>
      <c r="B1081" s="8">
        <v>5459.1</v>
      </c>
      <c r="C1081" s="2">
        <v>46.4</v>
      </c>
      <c r="E1081" s="8">
        <f t="shared" si="48"/>
        <v>4.4399999999995998</v>
      </c>
      <c r="F1081" s="8">
        <f t="shared" si="49"/>
        <v>-0.71999999999999886</v>
      </c>
      <c r="H1081" s="12">
        <f t="shared" si="50"/>
        <v>2.1063736033231892</v>
      </c>
    </row>
    <row r="1082" spans="1:8" x14ac:dyDescent="0.25">
      <c r="A1082" s="1">
        <v>45503</v>
      </c>
      <c r="B1082" s="8">
        <v>5463.54</v>
      </c>
      <c r="C1082" s="2">
        <v>45.68</v>
      </c>
      <c r="E1082" s="8">
        <f t="shared" si="48"/>
        <v>-27.100000000000364</v>
      </c>
      <c r="F1082" s="8">
        <f t="shared" si="49"/>
        <v>1.3999999999999986</v>
      </c>
      <c r="H1082" s="12">
        <f t="shared" si="50"/>
        <v>2.1063175465291235</v>
      </c>
    </row>
    <row r="1083" spans="1:8" x14ac:dyDescent="0.25">
      <c r="A1083" s="1">
        <v>45504</v>
      </c>
      <c r="B1083" s="8">
        <v>5436.44</v>
      </c>
      <c r="C1083" s="2">
        <v>47.08</v>
      </c>
      <c r="E1083" s="8">
        <f t="shared" si="48"/>
        <v>85.860000000000582</v>
      </c>
      <c r="F1083" s="8">
        <f t="shared" si="49"/>
        <v>-1.2800000000000011</v>
      </c>
      <c r="H1083" s="12">
        <f t="shared" si="50"/>
        <v>2.1084601665469003</v>
      </c>
    </row>
    <row r="1084" spans="1:8" x14ac:dyDescent="0.25">
      <c r="A1084" s="1">
        <v>45505</v>
      </c>
      <c r="B1084" s="8">
        <v>5522.3</v>
      </c>
      <c r="C1084" s="2">
        <v>45.8</v>
      </c>
      <c r="E1084" s="8">
        <f t="shared" si="48"/>
        <v>-75.619999999999891</v>
      </c>
      <c r="F1084" s="8">
        <f t="shared" si="49"/>
        <v>4.1200000000000045</v>
      </c>
      <c r="H1084" s="12">
        <f t="shared" si="50"/>
        <v>2.1126080435557819</v>
      </c>
    </row>
    <row r="1085" spans="1:8" x14ac:dyDescent="0.25">
      <c r="A1085" s="1">
        <v>45506</v>
      </c>
      <c r="B1085" s="8">
        <v>5446.68</v>
      </c>
      <c r="C1085" s="2">
        <v>49.92</v>
      </c>
      <c r="E1085" s="8">
        <f t="shared" si="48"/>
        <v>-100.11999999999989</v>
      </c>
      <c r="F1085" s="8">
        <f t="shared" si="49"/>
        <v>11.96</v>
      </c>
      <c r="H1085" s="12">
        <f t="shared" si="50"/>
        <v>2.1198175126316707</v>
      </c>
    </row>
    <row r="1086" spans="1:8" x14ac:dyDescent="0.25">
      <c r="A1086" s="1">
        <v>45509</v>
      </c>
      <c r="B1086" s="8">
        <v>5346.56</v>
      </c>
      <c r="C1086" s="2">
        <v>61.88</v>
      </c>
      <c r="E1086" s="8">
        <f t="shared" si="48"/>
        <v>-160.23000000000047</v>
      </c>
      <c r="F1086" s="8">
        <f t="shared" si="49"/>
        <v>26.639999999999993</v>
      </c>
      <c r="H1086" s="12">
        <f t="shared" si="50"/>
        <v>2.1265961505339197</v>
      </c>
    </row>
    <row r="1087" spans="1:8" x14ac:dyDescent="0.25">
      <c r="A1087" s="1">
        <v>45510</v>
      </c>
      <c r="B1087" s="8">
        <v>5186.33</v>
      </c>
      <c r="C1087" s="2">
        <v>88.52</v>
      </c>
      <c r="E1087" s="8">
        <f t="shared" si="48"/>
        <v>53.699999999999818</v>
      </c>
      <c r="F1087" s="8">
        <f t="shared" si="49"/>
        <v>-18.159999999999997</v>
      </c>
      <c r="H1087" s="12">
        <f t="shared" si="50"/>
        <v>2.1240617382894507</v>
      </c>
    </row>
    <row r="1088" spans="1:8" x14ac:dyDescent="0.25">
      <c r="A1088" s="1">
        <v>45511</v>
      </c>
      <c r="B1088" s="8">
        <v>5240.03</v>
      </c>
      <c r="C1088" s="2">
        <v>70.36</v>
      </c>
      <c r="E1088" s="8">
        <f t="shared" si="48"/>
        <v>-40.529999999999745</v>
      </c>
      <c r="F1088" s="8">
        <f t="shared" si="49"/>
        <v>-2.1200000000000045</v>
      </c>
      <c r="H1088" s="12">
        <f t="shared" si="50"/>
        <v>2.0823384444736002</v>
      </c>
    </row>
    <row r="1089" spans="1:8" x14ac:dyDescent="0.25">
      <c r="A1089" s="1">
        <v>45512</v>
      </c>
      <c r="B1089" s="8">
        <v>5199.5</v>
      </c>
      <c r="C1089" s="2">
        <v>68.239999999999995</v>
      </c>
      <c r="E1089" s="8">
        <f t="shared" si="48"/>
        <v>119.8100000000004</v>
      </c>
      <c r="F1089" s="8">
        <f t="shared" si="49"/>
        <v>-5.4799999999999969</v>
      </c>
      <c r="H1089" s="12">
        <f t="shared" si="50"/>
        <v>2.057777290344923</v>
      </c>
    </row>
    <row r="1090" spans="1:8" x14ac:dyDescent="0.25">
      <c r="A1090" s="1">
        <v>45513</v>
      </c>
      <c r="B1090" s="8">
        <v>5319.31</v>
      </c>
      <c r="C1090" s="2">
        <v>62.76</v>
      </c>
      <c r="E1090" s="8">
        <f t="shared" si="48"/>
        <v>24.849999999999454</v>
      </c>
      <c r="F1090" s="8">
        <f t="shared" si="49"/>
        <v>-8.36</v>
      </c>
      <c r="H1090" s="12">
        <f t="shared" si="50"/>
        <v>2.0008604447987901</v>
      </c>
    </row>
    <row r="1091" spans="1:8" x14ac:dyDescent="0.25">
      <c r="A1091" s="1">
        <v>45516</v>
      </c>
      <c r="B1091" s="8">
        <v>5344.16</v>
      </c>
      <c r="C1091" s="2">
        <v>54.4</v>
      </c>
      <c r="E1091" s="8">
        <f t="shared" ref="E1091:E1154" si="51">B1092-B1091</f>
        <v>0.23000000000047294</v>
      </c>
      <c r="F1091" s="8">
        <f t="shared" ref="F1091:F1154" si="52">C1092-C1091</f>
        <v>-0.19999999999999574</v>
      </c>
      <c r="H1091" s="12">
        <f t="shared" ref="H1091:H1154" si="53">LOG(_xlfn.STDEV.P(B1091:B1121))</f>
        <v>1.9777562271180478</v>
      </c>
    </row>
    <row r="1092" spans="1:8" x14ac:dyDescent="0.25">
      <c r="A1092" s="1">
        <v>45517</v>
      </c>
      <c r="B1092" s="8">
        <v>5344.39</v>
      </c>
      <c r="C1092" s="2">
        <v>54.2</v>
      </c>
      <c r="E1092" s="8">
        <f t="shared" si="51"/>
        <v>90.039999999999964</v>
      </c>
      <c r="F1092" s="8">
        <f t="shared" si="52"/>
        <v>-4.240000000000002</v>
      </c>
      <c r="H1092" s="12">
        <f t="shared" si="53"/>
        <v>1.9572395018812156</v>
      </c>
    </row>
    <row r="1093" spans="1:8" x14ac:dyDescent="0.25">
      <c r="A1093" s="1">
        <v>45518</v>
      </c>
      <c r="B1093" s="8">
        <v>5434.43</v>
      </c>
      <c r="C1093" s="2">
        <v>49.96</v>
      </c>
      <c r="E1093" s="8">
        <f t="shared" si="51"/>
        <v>20.779999999999745</v>
      </c>
      <c r="F1093" s="8">
        <f t="shared" si="52"/>
        <v>-3.3599999999999994</v>
      </c>
      <c r="H1093" s="12">
        <f t="shared" si="53"/>
        <v>1.922328465361796</v>
      </c>
    </row>
    <row r="1094" spans="1:8" x14ac:dyDescent="0.25">
      <c r="A1094" s="1">
        <v>45519</v>
      </c>
      <c r="B1094" s="8">
        <v>5455.21</v>
      </c>
      <c r="C1094" s="2">
        <v>46.6</v>
      </c>
      <c r="E1094" s="8">
        <f t="shared" si="51"/>
        <v>88.010000000000218</v>
      </c>
      <c r="F1094" s="8">
        <f t="shared" si="52"/>
        <v>-1.7199999999999989</v>
      </c>
      <c r="H1094" s="12">
        <f t="shared" si="53"/>
        <v>1.9194658839706293</v>
      </c>
    </row>
    <row r="1095" spans="1:8" x14ac:dyDescent="0.25">
      <c r="A1095" s="1">
        <v>45520</v>
      </c>
      <c r="B1095" s="8">
        <v>5543.22</v>
      </c>
      <c r="C1095" s="2">
        <v>44.88</v>
      </c>
      <c r="E1095" s="8">
        <f t="shared" si="51"/>
        <v>11.029999999999745</v>
      </c>
      <c r="F1095" s="8">
        <f t="shared" si="52"/>
        <v>-3.9999999999999147E-2</v>
      </c>
      <c r="H1095" s="12">
        <f t="shared" si="53"/>
        <v>1.9151999919310709</v>
      </c>
    </row>
    <row r="1096" spans="1:8" x14ac:dyDescent="0.25">
      <c r="A1096" s="1">
        <v>45523</v>
      </c>
      <c r="B1096" s="8">
        <v>5554.25</v>
      </c>
      <c r="C1096" s="2">
        <v>44.84</v>
      </c>
      <c r="E1096" s="8">
        <f t="shared" si="51"/>
        <v>54</v>
      </c>
      <c r="F1096" s="8">
        <f t="shared" si="52"/>
        <v>-1</v>
      </c>
      <c r="H1096" s="12">
        <f t="shared" si="53"/>
        <v>1.9329329558361847</v>
      </c>
    </row>
    <row r="1097" spans="1:8" x14ac:dyDescent="0.25">
      <c r="A1097" s="1">
        <v>45524</v>
      </c>
      <c r="B1097" s="8">
        <v>5608.25</v>
      </c>
      <c r="C1097" s="2">
        <v>43.84</v>
      </c>
      <c r="E1097" s="8">
        <f t="shared" si="51"/>
        <v>-11.130000000000109</v>
      </c>
      <c r="F1097" s="8">
        <f t="shared" si="52"/>
        <v>1.9199999999999946</v>
      </c>
      <c r="H1097" s="12">
        <f t="shared" si="53"/>
        <v>1.9368262891909276</v>
      </c>
    </row>
    <row r="1098" spans="1:8" x14ac:dyDescent="0.25">
      <c r="A1098" s="1">
        <v>45525</v>
      </c>
      <c r="B1098" s="8">
        <v>5597.12</v>
      </c>
      <c r="C1098" s="2">
        <v>45.76</v>
      </c>
      <c r="E1098" s="8">
        <f t="shared" si="51"/>
        <v>23.730000000000473</v>
      </c>
      <c r="F1098" s="8">
        <f t="shared" si="52"/>
        <v>0.48000000000000398</v>
      </c>
      <c r="H1098" s="12">
        <f t="shared" si="53"/>
        <v>1.9436641426898538</v>
      </c>
    </row>
    <row r="1099" spans="1:8" x14ac:dyDescent="0.25">
      <c r="A1099" s="1">
        <v>45526</v>
      </c>
      <c r="B1099" s="8">
        <v>5620.85</v>
      </c>
      <c r="C1099" s="2">
        <v>46.24</v>
      </c>
      <c r="E1099" s="8">
        <f t="shared" si="51"/>
        <v>-50.210000000000036</v>
      </c>
      <c r="F1099" s="8">
        <f t="shared" si="52"/>
        <v>2.0799999999999983</v>
      </c>
      <c r="H1099" s="12">
        <f t="shared" si="53"/>
        <v>1.9479055000897272</v>
      </c>
    </row>
    <row r="1100" spans="1:8" x14ac:dyDescent="0.25">
      <c r="A1100" s="1">
        <v>45527</v>
      </c>
      <c r="B1100" s="8">
        <v>5570.64</v>
      </c>
      <c r="C1100" s="2">
        <v>48.32</v>
      </c>
      <c r="E1100" s="8">
        <f t="shared" si="51"/>
        <v>63.969999999999345</v>
      </c>
      <c r="F1100" s="8">
        <f t="shared" si="52"/>
        <v>-2.9200000000000017</v>
      </c>
      <c r="H1100" s="12">
        <f t="shared" si="53"/>
        <v>1.9606516469931379</v>
      </c>
    </row>
    <row r="1101" spans="1:8" x14ac:dyDescent="0.25">
      <c r="A1101" s="1">
        <v>45530</v>
      </c>
      <c r="B1101" s="8">
        <v>5634.61</v>
      </c>
      <c r="C1101" s="2">
        <v>45.4</v>
      </c>
      <c r="E1101" s="8">
        <f t="shared" si="51"/>
        <v>-17.769999999999527</v>
      </c>
      <c r="F1101" s="8">
        <f t="shared" si="52"/>
        <v>7.9999999999998295E-2</v>
      </c>
      <c r="H1101" s="12">
        <f t="shared" si="53"/>
        <v>1.9606136337660296</v>
      </c>
    </row>
    <row r="1102" spans="1:8" x14ac:dyDescent="0.25">
      <c r="A1102" s="1">
        <v>45531</v>
      </c>
      <c r="B1102" s="8">
        <v>5616.84</v>
      </c>
      <c r="C1102" s="2">
        <v>45.48</v>
      </c>
      <c r="E1102" s="8">
        <f t="shared" si="51"/>
        <v>8.9600000000000364</v>
      </c>
      <c r="F1102" s="8">
        <f t="shared" si="52"/>
        <v>-1.0399999999999991</v>
      </c>
      <c r="H1102" s="12">
        <f t="shared" si="53"/>
        <v>1.9712120200455823</v>
      </c>
    </row>
    <row r="1103" spans="1:8" x14ac:dyDescent="0.25">
      <c r="A1103" s="1">
        <v>45532</v>
      </c>
      <c r="B1103" s="8">
        <v>5625.8</v>
      </c>
      <c r="C1103" s="2">
        <v>44.44</v>
      </c>
      <c r="E1103" s="8">
        <f t="shared" si="51"/>
        <v>-33.619999999999891</v>
      </c>
      <c r="F1103" s="8">
        <f t="shared" si="52"/>
        <v>2.5600000000000023</v>
      </c>
      <c r="H1103" s="12">
        <f t="shared" si="53"/>
        <v>1.9880212599755298</v>
      </c>
    </row>
    <row r="1104" spans="1:8" x14ac:dyDescent="0.25">
      <c r="A1104" s="1">
        <v>45533</v>
      </c>
      <c r="B1104" s="8">
        <v>5592.18</v>
      </c>
      <c r="C1104" s="2">
        <v>47</v>
      </c>
      <c r="E1104" s="8">
        <f t="shared" si="51"/>
        <v>-0.22000000000025466</v>
      </c>
      <c r="F1104" s="8">
        <f t="shared" si="52"/>
        <v>-1.6799999999999997</v>
      </c>
      <c r="H1104" s="12">
        <f t="shared" si="53"/>
        <v>2.0003463450995032</v>
      </c>
    </row>
    <row r="1105" spans="1:8" x14ac:dyDescent="0.25">
      <c r="A1105" s="1">
        <v>45534</v>
      </c>
      <c r="B1105" s="8">
        <v>5591.96</v>
      </c>
      <c r="C1105" s="2">
        <v>45.32</v>
      </c>
      <c r="E1105" s="8">
        <f t="shared" si="51"/>
        <v>56.4399999999996</v>
      </c>
      <c r="F1105" s="8">
        <f t="shared" si="52"/>
        <v>-1.3200000000000003</v>
      </c>
      <c r="H1105" s="12">
        <f t="shared" si="53"/>
        <v>2.0154363047800508</v>
      </c>
    </row>
    <row r="1106" spans="1:8" x14ac:dyDescent="0.25">
      <c r="A1106" s="1">
        <v>45538</v>
      </c>
      <c r="B1106" s="8">
        <v>5648.4</v>
      </c>
      <c r="C1106" s="2">
        <v>44</v>
      </c>
      <c r="E1106" s="8">
        <f t="shared" si="51"/>
        <v>-119.46999999999935</v>
      </c>
      <c r="F1106" s="8">
        <f t="shared" si="52"/>
        <v>8.9200000000000017</v>
      </c>
      <c r="H1106" s="12">
        <f t="shared" si="53"/>
        <v>2.0368925048695701</v>
      </c>
    </row>
    <row r="1107" spans="1:8" x14ac:dyDescent="0.25">
      <c r="A1107" s="1">
        <v>45539</v>
      </c>
      <c r="B1107" s="8">
        <v>5528.93</v>
      </c>
      <c r="C1107" s="2">
        <v>52.92</v>
      </c>
      <c r="E1107" s="8">
        <f t="shared" si="51"/>
        <v>-8.8600000000005821</v>
      </c>
      <c r="F1107" s="8">
        <f t="shared" si="52"/>
        <v>1.1199999999999974</v>
      </c>
      <c r="H1107" s="12">
        <f t="shared" si="53"/>
        <v>2.0490562810468527</v>
      </c>
    </row>
    <row r="1108" spans="1:8" x14ac:dyDescent="0.25">
      <c r="A1108" s="1">
        <v>45540</v>
      </c>
      <c r="B1108" s="8">
        <v>5520.07</v>
      </c>
      <c r="C1108" s="2">
        <v>54.04</v>
      </c>
      <c r="E1108" s="8">
        <f t="shared" si="51"/>
        <v>-16.659999999999854</v>
      </c>
      <c r="F1108" s="8">
        <f t="shared" si="52"/>
        <v>-2.3200000000000003</v>
      </c>
      <c r="H1108" s="12">
        <f t="shared" si="53"/>
        <v>2.0523781534681276</v>
      </c>
    </row>
    <row r="1109" spans="1:8" x14ac:dyDescent="0.25">
      <c r="A1109" s="1">
        <v>45541</v>
      </c>
      <c r="B1109" s="8">
        <v>5503.41</v>
      </c>
      <c r="C1109" s="2">
        <v>51.72</v>
      </c>
      <c r="E1109" s="8">
        <f t="shared" si="51"/>
        <v>-94.989999999999782</v>
      </c>
      <c r="F1109" s="8">
        <f t="shared" si="52"/>
        <v>3.6799999999999997</v>
      </c>
      <c r="H1109" s="12">
        <f t="shared" si="53"/>
        <v>2.0503813096924484</v>
      </c>
    </row>
    <row r="1110" spans="1:8" x14ac:dyDescent="0.25">
      <c r="A1110" s="1">
        <v>45544</v>
      </c>
      <c r="B1110" s="8">
        <v>5408.42</v>
      </c>
      <c r="C1110" s="2">
        <v>55.4</v>
      </c>
      <c r="E1110" s="8">
        <f t="shared" si="51"/>
        <v>62.630000000000109</v>
      </c>
      <c r="F1110" s="8">
        <f t="shared" si="52"/>
        <v>-3.4399999999999977</v>
      </c>
      <c r="H1110" s="12">
        <f t="shared" si="53"/>
        <v>2.0449527753928005</v>
      </c>
    </row>
    <row r="1111" spans="1:8" x14ac:dyDescent="0.25">
      <c r="A1111" s="1">
        <v>45545</v>
      </c>
      <c r="B1111" s="8">
        <v>5471.05</v>
      </c>
      <c r="C1111" s="2">
        <v>51.96</v>
      </c>
      <c r="E1111" s="8">
        <f t="shared" si="51"/>
        <v>24.470000000000255</v>
      </c>
      <c r="F1111" s="8">
        <f t="shared" si="52"/>
        <v>-1</v>
      </c>
      <c r="H1111" s="12">
        <f t="shared" si="53"/>
        <v>2.0004984953874581</v>
      </c>
    </row>
    <row r="1112" spans="1:8" x14ac:dyDescent="0.25">
      <c r="A1112" s="1">
        <v>45546</v>
      </c>
      <c r="B1112" s="8">
        <v>5495.52</v>
      </c>
      <c r="C1112" s="2">
        <v>50.96</v>
      </c>
      <c r="E1112" s="8">
        <f t="shared" si="51"/>
        <v>58.609999999999673</v>
      </c>
      <c r="F1112" s="8">
        <f t="shared" si="52"/>
        <v>-2.2000000000000028</v>
      </c>
      <c r="H1112" s="12">
        <f t="shared" si="53"/>
        <v>1.9643907366752016</v>
      </c>
    </row>
    <row r="1113" spans="1:8" x14ac:dyDescent="0.25">
      <c r="A1113" s="1">
        <v>45547</v>
      </c>
      <c r="B1113" s="8">
        <v>5554.13</v>
      </c>
      <c r="C1113" s="2">
        <v>48.76</v>
      </c>
      <c r="E1113" s="8">
        <f t="shared" si="51"/>
        <v>41.630000000000109</v>
      </c>
      <c r="F1113" s="8">
        <f t="shared" si="52"/>
        <v>-0.32000000000000028</v>
      </c>
      <c r="H1113" s="12">
        <f t="shared" si="53"/>
        <v>1.9152439961091858</v>
      </c>
    </row>
    <row r="1114" spans="1:8" x14ac:dyDescent="0.25">
      <c r="A1114" s="1">
        <v>45548</v>
      </c>
      <c r="B1114" s="8">
        <v>5595.76</v>
      </c>
      <c r="C1114" s="2">
        <v>48.44</v>
      </c>
      <c r="E1114" s="8">
        <f t="shared" si="51"/>
        <v>30.260000000000218</v>
      </c>
      <c r="F1114" s="8">
        <f t="shared" si="52"/>
        <v>-0.19999999999999574</v>
      </c>
      <c r="H1114" s="12">
        <f t="shared" si="53"/>
        <v>1.8798324161356714</v>
      </c>
    </row>
    <row r="1115" spans="1:8" x14ac:dyDescent="0.25">
      <c r="A1115" s="1">
        <v>45551</v>
      </c>
      <c r="B1115" s="8">
        <v>5626.02</v>
      </c>
      <c r="C1115" s="2">
        <v>48.24</v>
      </c>
      <c r="E1115" s="8">
        <f t="shared" si="51"/>
        <v>7.069999999999709</v>
      </c>
      <c r="F1115" s="8">
        <f t="shared" si="52"/>
        <v>0.32000000000000028</v>
      </c>
      <c r="H1115" s="12">
        <f t="shared" si="53"/>
        <v>1.852676796802428</v>
      </c>
    </row>
    <row r="1116" spans="1:8" x14ac:dyDescent="0.25">
      <c r="A1116" s="1">
        <v>45552</v>
      </c>
      <c r="B1116" s="8">
        <v>5633.09</v>
      </c>
      <c r="C1116" s="2">
        <v>48.56</v>
      </c>
      <c r="E1116" s="8">
        <f t="shared" si="51"/>
        <v>1.4899999999997817</v>
      </c>
      <c r="F1116" s="8">
        <f t="shared" si="52"/>
        <v>1.2399999999999949</v>
      </c>
      <c r="H1116" s="12">
        <f t="shared" si="53"/>
        <v>1.8338234522658241</v>
      </c>
    </row>
    <row r="1117" spans="1:8" x14ac:dyDescent="0.25">
      <c r="A1117" s="1">
        <v>45553</v>
      </c>
      <c r="B1117" s="8">
        <v>5634.58</v>
      </c>
      <c r="C1117" s="2">
        <v>49.8</v>
      </c>
      <c r="E1117" s="8">
        <f t="shared" si="51"/>
        <v>-16.319999999999709</v>
      </c>
      <c r="F1117" s="8">
        <f t="shared" si="52"/>
        <v>-0.59999999999999432</v>
      </c>
      <c r="H1117" s="12">
        <f t="shared" si="53"/>
        <v>1.8141273521089309</v>
      </c>
    </row>
    <row r="1118" spans="1:8" x14ac:dyDescent="0.25">
      <c r="A1118" s="1">
        <v>45554</v>
      </c>
      <c r="B1118" s="8">
        <v>5618.26</v>
      </c>
      <c r="C1118" s="2">
        <v>49.2</v>
      </c>
      <c r="E1118" s="8">
        <f t="shared" si="51"/>
        <v>95.380000000000109</v>
      </c>
      <c r="F1118" s="8">
        <f t="shared" si="52"/>
        <v>-1.8400000000000034</v>
      </c>
      <c r="H1118" s="12">
        <f t="shared" si="53"/>
        <v>1.7849178749981167</v>
      </c>
    </row>
    <row r="1119" spans="1:8" x14ac:dyDescent="0.25">
      <c r="A1119" s="1">
        <v>45555</v>
      </c>
      <c r="B1119" s="8">
        <v>5713.64</v>
      </c>
      <c r="C1119" s="2">
        <v>47.36</v>
      </c>
      <c r="E1119" s="8">
        <f t="shared" si="51"/>
        <v>-11.090000000000146</v>
      </c>
      <c r="F1119" s="8">
        <f t="shared" si="52"/>
        <v>-0.32000000000000028</v>
      </c>
      <c r="H1119" s="12">
        <f t="shared" si="53"/>
        <v>1.7442169426953098</v>
      </c>
    </row>
    <row r="1120" spans="1:8" x14ac:dyDescent="0.25">
      <c r="A1120" s="1">
        <v>45558</v>
      </c>
      <c r="B1120" s="8">
        <v>5702.55</v>
      </c>
      <c r="C1120" s="2">
        <v>47.04</v>
      </c>
      <c r="E1120" s="8">
        <f t="shared" si="51"/>
        <v>16.019999999999527</v>
      </c>
      <c r="F1120" s="8">
        <f t="shared" si="52"/>
        <v>0.16000000000000369</v>
      </c>
      <c r="H1120" s="12">
        <f t="shared" si="53"/>
        <v>1.7403805827906995</v>
      </c>
    </row>
    <row r="1121" spans="1:8" x14ac:dyDescent="0.25">
      <c r="A1121" s="1">
        <v>45559</v>
      </c>
      <c r="B1121" s="8">
        <v>5718.57</v>
      </c>
      <c r="C1121" s="2">
        <v>47.2</v>
      </c>
      <c r="E1121" s="8">
        <f t="shared" si="51"/>
        <v>14.360000000000582</v>
      </c>
      <c r="F1121" s="8">
        <f t="shared" si="52"/>
        <v>3.9999999999999147E-2</v>
      </c>
      <c r="H1121" s="12">
        <f t="shared" si="53"/>
        <v>1.7371094833333987</v>
      </c>
    </row>
    <row r="1122" spans="1:8" x14ac:dyDescent="0.25">
      <c r="A1122" s="1">
        <v>45560</v>
      </c>
      <c r="B1122" s="8">
        <v>5732.93</v>
      </c>
      <c r="C1122" s="2">
        <v>47.24</v>
      </c>
      <c r="E1122" s="8">
        <f t="shared" si="51"/>
        <v>-10.670000000000073</v>
      </c>
      <c r="F1122" s="8">
        <f t="shared" si="52"/>
        <v>0.51999999999999602</v>
      </c>
      <c r="H1122" s="12">
        <f t="shared" si="53"/>
        <v>1.7287129403628378</v>
      </c>
    </row>
    <row r="1123" spans="1:8" x14ac:dyDescent="0.25">
      <c r="A1123" s="1">
        <v>45561</v>
      </c>
      <c r="B1123" s="8">
        <v>5722.26</v>
      </c>
      <c r="C1123" s="2">
        <v>47.76</v>
      </c>
      <c r="E1123" s="8">
        <f t="shared" si="51"/>
        <v>23.109999999999673</v>
      </c>
      <c r="F1123" s="8">
        <f t="shared" si="52"/>
        <v>3.9999999999999147E-2</v>
      </c>
      <c r="H1123" s="12">
        <f t="shared" si="53"/>
        <v>1.771087265885837</v>
      </c>
    </row>
    <row r="1124" spans="1:8" x14ac:dyDescent="0.25">
      <c r="A1124" s="1">
        <v>45562</v>
      </c>
      <c r="B1124" s="8">
        <v>5745.37</v>
      </c>
      <c r="C1124" s="2">
        <v>47.8</v>
      </c>
      <c r="E1124" s="8">
        <f t="shared" si="51"/>
        <v>-7.1999999999998181</v>
      </c>
      <c r="F1124" s="8">
        <f t="shared" si="52"/>
        <v>2.240000000000002</v>
      </c>
      <c r="H1124" s="12">
        <f t="shared" si="53"/>
        <v>1.8231275925055426</v>
      </c>
    </row>
    <row r="1125" spans="1:8" x14ac:dyDescent="0.25">
      <c r="A1125" s="1">
        <v>45565</v>
      </c>
      <c r="B1125" s="8">
        <v>5738.17</v>
      </c>
      <c r="C1125" s="2">
        <v>50.04</v>
      </c>
      <c r="E1125" s="8">
        <f t="shared" si="51"/>
        <v>24.309999999999491</v>
      </c>
      <c r="F1125" s="8">
        <f t="shared" si="52"/>
        <v>-1.0399999999999991</v>
      </c>
      <c r="H1125" s="12">
        <f t="shared" si="53"/>
        <v>1.8743590985144898</v>
      </c>
    </row>
    <row r="1126" spans="1:8" x14ac:dyDescent="0.25">
      <c r="A1126" s="1">
        <v>45566</v>
      </c>
      <c r="B1126" s="8">
        <v>5762.48</v>
      </c>
      <c r="C1126" s="2">
        <v>49</v>
      </c>
      <c r="E1126" s="8">
        <f t="shared" si="51"/>
        <v>-53.729999999999563</v>
      </c>
      <c r="F1126" s="8">
        <f t="shared" si="52"/>
        <v>3.8400000000000034</v>
      </c>
      <c r="H1126" s="12">
        <f t="shared" si="53"/>
        <v>1.9128457339007474</v>
      </c>
    </row>
    <row r="1127" spans="1:8" x14ac:dyDescent="0.25">
      <c r="A1127" s="1">
        <v>45567</v>
      </c>
      <c r="B1127" s="8">
        <v>5708.75</v>
      </c>
      <c r="C1127" s="2">
        <v>52.84</v>
      </c>
      <c r="E1127" s="8">
        <f t="shared" si="51"/>
        <v>0.78999999999996362</v>
      </c>
      <c r="F1127" s="8">
        <f t="shared" si="52"/>
        <v>-0.84000000000000341</v>
      </c>
      <c r="H1127" s="12">
        <f t="shared" si="53"/>
        <v>1.9388909290314849</v>
      </c>
    </row>
    <row r="1128" spans="1:8" x14ac:dyDescent="0.25">
      <c r="A1128" s="1">
        <v>45568</v>
      </c>
      <c r="B1128" s="8">
        <v>5709.54</v>
      </c>
      <c r="C1128" s="2">
        <v>52</v>
      </c>
      <c r="E1128" s="8">
        <f t="shared" si="51"/>
        <v>-9.6000000000003638</v>
      </c>
      <c r="F1128" s="8">
        <f t="shared" si="52"/>
        <v>2.2800000000000011</v>
      </c>
      <c r="H1128" s="12">
        <f t="shared" si="53"/>
        <v>1.9515989924356132</v>
      </c>
    </row>
    <row r="1129" spans="1:8" x14ac:dyDescent="0.25">
      <c r="A1129" s="1">
        <v>45569</v>
      </c>
      <c r="B1129" s="8">
        <v>5699.94</v>
      </c>
      <c r="C1129" s="2">
        <v>54.28</v>
      </c>
      <c r="E1129" s="8">
        <f t="shared" si="51"/>
        <v>51.130000000000109</v>
      </c>
      <c r="F1129" s="8">
        <f t="shared" si="52"/>
        <v>-1.9200000000000017</v>
      </c>
      <c r="H1129" s="12">
        <f t="shared" si="53"/>
        <v>1.9513679912898398</v>
      </c>
    </row>
    <row r="1130" spans="1:8" x14ac:dyDescent="0.25">
      <c r="A1130" s="1">
        <v>45572</v>
      </c>
      <c r="B1130" s="8">
        <v>5751.07</v>
      </c>
      <c r="C1130" s="2">
        <v>52.36</v>
      </c>
      <c r="E1130" s="8">
        <f t="shared" si="51"/>
        <v>-55.130000000000109</v>
      </c>
      <c r="F1130" s="8">
        <f t="shared" si="52"/>
        <v>4.5600000000000023</v>
      </c>
      <c r="H1130" s="12">
        <f t="shared" si="53"/>
        <v>1.9354713491269693</v>
      </c>
    </row>
    <row r="1131" spans="1:8" x14ac:dyDescent="0.25">
      <c r="A1131" s="1">
        <v>45573</v>
      </c>
      <c r="B1131" s="8">
        <v>5695.94</v>
      </c>
      <c r="C1131" s="2">
        <v>56.92</v>
      </c>
      <c r="E1131" s="8">
        <f t="shared" si="51"/>
        <v>55.190000000000509</v>
      </c>
      <c r="F1131" s="8">
        <f t="shared" si="52"/>
        <v>-2.2800000000000011</v>
      </c>
      <c r="H1131" s="12">
        <f t="shared" si="53"/>
        <v>1.9302395019095284</v>
      </c>
    </row>
    <row r="1132" spans="1:8" x14ac:dyDescent="0.25">
      <c r="A1132" s="1">
        <v>45574</v>
      </c>
      <c r="B1132" s="8">
        <v>5751.13</v>
      </c>
      <c r="C1132" s="2">
        <v>54.64</v>
      </c>
      <c r="E1132" s="8">
        <f t="shared" si="51"/>
        <v>40.909999999999854</v>
      </c>
      <c r="F1132" s="8">
        <f t="shared" si="52"/>
        <v>-1.3599999999999994</v>
      </c>
      <c r="H1132" s="12">
        <f t="shared" si="53"/>
        <v>1.9119964120348643</v>
      </c>
    </row>
    <row r="1133" spans="1:8" x14ac:dyDescent="0.25">
      <c r="A1133" s="1">
        <v>45575</v>
      </c>
      <c r="B1133" s="8">
        <v>5792.04</v>
      </c>
      <c r="C1133" s="2">
        <v>53.28</v>
      </c>
      <c r="E1133" s="8">
        <f t="shared" si="51"/>
        <v>-11.989999999999782</v>
      </c>
      <c r="F1133" s="8">
        <f t="shared" si="52"/>
        <v>0.71999999999999886</v>
      </c>
      <c r="H1133" s="12">
        <f t="shared" si="53"/>
        <v>1.905065184322577</v>
      </c>
    </row>
    <row r="1134" spans="1:8" x14ac:dyDescent="0.25">
      <c r="A1134" s="1">
        <v>45576</v>
      </c>
      <c r="B1134" s="8">
        <v>5780.05</v>
      </c>
      <c r="C1134" s="2">
        <v>54</v>
      </c>
      <c r="E1134" s="8">
        <f t="shared" si="51"/>
        <v>34.979999999999563</v>
      </c>
      <c r="F1134" s="8">
        <f t="shared" si="52"/>
        <v>-0.56000000000000227</v>
      </c>
      <c r="H1134" s="12">
        <f t="shared" si="53"/>
        <v>1.908934962012206</v>
      </c>
    </row>
    <row r="1135" spans="1:8" x14ac:dyDescent="0.25">
      <c r="A1135" s="1">
        <v>45579</v>
      </c>
      <c r="B1135" s="8">
        <v>5815.03</v>
      </c>
      <c r="C1135" s="2">
        <v>53.44</v>
      </c>
      <c r="E1135" s="8">
        <f t="shared" si="51"/>
        <v>44.820000000000618</v>
      </c>
      <c r="F1135" s="8">
        <f t="shared" si="52"/>
        <v>-1.8799999999999955</v>
      </c>
      <c r="H1135" s="12">
        <f t="shared" si="53"/>
        <v>1.9130221192412675</v>
      </c>
    </row>
    <row r="1136" spans="1:8" x14ac:dyDescent="0.25">
      <c r="A1136" s="1">
        <v>45580</v>
      </c>
      <c r="B1136" s="8">
        <v>5859.85</v>
      </c>
      <c r="C1136" s="2">
        <v>51.56</v>
      </c>
      <c r="E1136" s="8">
        <f t="shared" si="51"/>
        <v>-44.590000000000146</v>
      </c>
      <c r="F1136" s="8">
        <f t="shared" si="52"/>
        <v>1.5999999999999943</v>
      </c>
      <c r="H1136" s="12">
        <f t="shared" si="53"/>
        <v>1.9238822655059404</v>
      </c>
    </row>
    <row r="1137" spans="1:8" x14ac:dyDescent="0.25">
      <c r="A1137" s="1">
        <v>45581</v>
      </c>
      <c r="B1137" s="8">
        <v>5815.26</v>
      </c>
      <c r="C1137" s="2">
        <v>53.16</v>
      </c>
      <c r="E1137" s="8">
        <f t="shared" si="51"/>
        <v>27.210000000000036</v>
      </c>
      <c r="F1137" s="8">
        <f t="shared" si="52"/>
        <v>-0.47999999999999687</v>
      </c>
      <c r="H1137" s="12">
        <f t="shared" si="53"/>
        <v>1.9438673919638372</v>
      </c>
    </row>
    <row r="1138" spans="1:8" x14ac:dyDescent="0.25">
      <c r="A1138" s="1">
        <v>45582</v>
      </c>
      <c r="B1138" s="8">
        <v>5842.47</v>
      </c>
      <c r="C1138" s="2">
        <v>52.68</v>
      </c>
      <c r="E1138" s="8">
        <f t="shared" si="51"/>
        <v>-1</v>
      </c>
      <c r="F1138" s="8">
        <f t="shared" si="52"/>
        <v>-0.88000000000000256</v>
      </c>
      <c r="H1138" s="12">
        <f t="shared" si="53"/>
        <v>1.9522719201430117</v>
      </c>
    </row>
    <row r="1139" spans="1:8" x14ac:dyDescent="0.25">
      <c r="A1139" s="1">
        <v>45583</v>
      </c>
      <c r="B1139" s="8">
        <v>5841.47</v>
      </c>
      <c r="C1139" s="2">
        <v>51.8</v>
      </c>
      <c r="E1139" s="8">
        <f t="shared" si="51"/>
        <v>23.199999999999818</v>
      </c>
      <c r="F1139" s="8">
        <f t="shared" si="52"/>
        <v>-1.1999999999999957</v>
      </c>
      <c r="H1139" s="12">
        <f t="shared" si="53"/>
        <v>1.9682877611914797</v>
      </c>
    </row>
    <row r="1140" spans="1:8" x14ac:dyDescent="0.25">
      <c r="A1140" s="1">
        <v>45586</v>
      </c>
      <c r="B1140" s="8">
        <v>5864.67</v>
      </c>
      <c r="C1140" s="2">
        <v>50.6</v>
      </c>
      <c r="E1140" s="8">
        <f t="shared" si="51"/>
        <v>-10.690000000000509</v>
      </c>
      <c r="F1140" s="8">
        <f t="shared" si="52"/>
        <v>3.9999999999999147E-2</v>
      </c>
      <c r="H1140" s="12">
        <f t="shared" si="53"/>
        <v>1.9845528893776121</v>
      </c>
    </row>
    <row r="1141" spans="1:8" x14ac:dyDescent="0.25">
      <c r="A1141" s="1">
        <v>45587</v>
      </c>
      <c r="B1141" s="8">
        <v>5853.98</v>
      </c>
      <c r="C1141" s="2">
        <v>50.64</v>
      </c>
      <c r="E1141" s="8">
        <f t="shared" si="51"/>
        <v>-2.7799999999997453</v>
      </c>
      <c r="F1141" s="8">
        <f t="shared" si="52"/>
        <v>-0.11999999999999744</v>
      </c>
      <c r="H1141" s="12">
        <f t="shared" si="53"/>
        <v>1.9999599865480757</v>
      </c>
    </row>
    <row r="1142" spans="1:8" x14ac:dyDescent="0.25">
      <c r="A1142" s="1">
        <v>45588</v>
      </c>
      <c r="B1142" s="8">
        <v>5851.2</v>
      </c>
      <c r="C1142" s="2">
        <v>50.52</v>
      </c>
      <c r="E1142" s="8">
        <f t="shared" si="51"/>
        <v>-53.779999999999745</v>
      </c>
      <c r="F1142" s="8">
        <f t="shared" si="52"/>
        <v>2.4799999999999969</v>
      </c>
      <c r="H1142" s="12">
        <f t="shared" si="53"/>
        <v>2.0197308888992107</v>
      </c>
    </row>
    <row r="1143" spans="1:8" x14ac:dyDescent="0.25">
      <c r="A1143" s="1">
        <v>45589</v>
      </c>
      <c r="B1143" s="8">
        <v>5797.42</v>
      </c>
      <c r="C1143" s="2">
        <v>53</v>
      </c>
      <c r="E1143" s="8">
        <f t="shared" si="51"/>
        <v>12.4399999999996</v>
      </c>
      <c r="F1143" s="8">
        <f t="shared" si="52"/>
        <v>-0.88000000000000256</v>
      </c>
      <c r="H1143" s="12">
        <f t="shared" si="53"/>
        <v>2.0333562457073251</v>
      </c>
    </row>
    <row r="1144" spans="1:8" x14ac:dyDescent="0.25">
      <c r="A1144" s="1">
        <v>45590</v>
      </c>
      <c r="B1144" s="8">
        <v>5809.86</v>
      </c>
      <c r="C1144" s="2">
        <v>52.12</v>
      </c>
      <c r="E1144" s="8">
        <f t="shared" si="51"/>
        <v>-1.7399999999997817</v>
      </c>
      <c r="F1144" s="8">
        <f t="shared" si="52"/>
        <v>2.4000000000000057</v>
      </c>
      <c r="H1144" s="12">
        <f t="shared" si="53"/>
        <v>2.0407742107759024</v>
      </c>
    </row>
    <row r="1145" spans="1:8" x14ac:dyDescent="0.25">
      <c r="A1145" s="1">
        <v>45593</v>
      </c>
      <c r="B1145" s="8">
        <v>5808.12</v>
      </c>
      <c r="C1145" s="2">
        <v>54.52</v>
      </c>
      <c r="E1145" s="8">
        <f t="shared" si="51"/>
        <v>15.400000000000546</v>
      </c>
      <c r="F1145" s="8">
        <f t="shared" si="52"/>
        <v>-2.480000000000004</v>
      </c>
      <c r="H1145" s="12">
        <f t="shared" si="53"/>
        <v>2.0408629298083336</v>
      </c>
    </row>
    <row r="1146" spans="1:8" x14ac:dyDescent="0.25">
      <c r="A1146" s="1">
        <v>45594</v>
      </c>
      <c r="B1146" s="8">
        <v>5823.52</v>
      </c>
      <c r="C1146" s="2">
        <v>52.04</v>
      </c>
      <c r="E1146" s="8">
        <f t="shared" si="51"/>
        <v>9.3999999999996362</v>
      </c>
      <c r="F1146" s="8">
        <f t="shared" si="52"/>
        <v>-0.28000000000000114</v>
      </c>
      <c r="H1146" s="12">
        <f t="shared" si="53"/>
        <v>2.0363138511864993</v>
      </c>
    </row>
    <row r="1147" spans="1:8" x14ac:dyDescent="0.25">
      <c r="A1147" s="1">
        <v>45595</v>
      </c>
      <c r="B1147" s="8">
        <v>5832.92</v>
      </c>
      <c r="C1147" s="2">
        <v>51.76</v>
      </c>
      <c r="E1147" s="8">
        <f t="shared" si="51"/>
        <v>-19.25</v>
      </c>
      <c r="F1147" s="8">
        <f t="shared" si="52"/>
        <v>1.2000000000000028</v>
      </c>
      <c r="H1147" s="12">
        <f t="shared" si="53"/>
        <v>2.0385805240483323</v>
      </c>
    </row>
    <row r="1148" spans="1:8" x14ac:dyDescent="0.25">
      <c r="A1148" s="1">
        <v>45596</v>
      </c>
      <c r="B1148" s="8">
        <v>5813.67</v>
      </c>
      <c r="C1148" s="2">
        <v>52.96</v>
      </c>
      <c r="E1148" s="8">
        <f t="shared" si="51"/>
        <v>-108.22000000000025</v>
      </c>
      <c r="F1148" s="8">
        <f t="shared" si="52"/>
        <v>4.240000000000002</v>
      </c>
      <c r="H1148" s="12">
        <f t="shared" si="53"/>
        <v>2.0354542775582081</v>
      </c>
    </row>
    <row r="1149" spans="1:8" x14ac:dyDescent="0.25">
      <c r="A1149" s="1">
        <v>45597</v>
      </c>
      <c r="B1149" s="8">
        <v>5705.45</v>
      </c>
      <c r="C1149" s="2">
        <v>57.2</v>
      </c>
      <c r="E1149" s="8">
        <f t="shared" si="51"/>
        <v>23.350000000000364</v>
      </c>
      <c r="F1149" s="8">
        <f t="shared" si="52"/>
        <v>-1</v>
      </c>
      <c r="H1149" s="12">
        <f t="shared" si="53"/>
        <v>2.0270511715259416</v>
      </c>
    </row>
    <row r="1150" spans="1:8" x14ac:dyDescent="0.25">
      <c r="A1150" s="1">
        <v>45600</v>
      </c>
      <c r="B1150" s="8">
        <v>5728.8</v>
      </c>
      <c r="C1150" s="2">
        <v>56.2</v>
      </c>
      <c r="E1150" s="8">
        <f t="shared" si="51"/>
        <v>-16.110000000000582</v>
      </c>
      <c r="F1150" s="8">
        <f t="shared" si="52"/>
        <v>-2.480000000000004</v>
      </c>
      <c r="H1150" s="12">
        <f t="shared" si="53"/>
        <v>1.986259054735295</v>
      </c>
    </row>
    <row r="1151" spans="1:8" x14ac:dyDescent="0.25">
      <c r="A1151" s="1">
        <v>45601</v>
      </c>
      <c r="B1151" s="8">
        <v>5712.69</v>
      </c>
      <c r="C1151" s="2">
        <v>53.72</v>
      </c>
      <c r="E1151" s="8">
        <f t="shared" si="51"/>
        <v>70.070000000000618</v>
      </c>
      <c r="F1151" s="8">
        <f t="shared" si="52"/>
        <v>-2.8399999999999963</v>
      </c>
      <c r="H1151" s="12">
        <f t="shared" si="53"/>
        <v>1.9363950583232414</v>
      </c>
    </row>
    <row r="1152" spans="1:8" x14ac:dyDescent="0.25">
      <c r="A1152" s="1">
        <v>45602</v>
      </c>
      <c r="B1152" s="8">
        <v>5782.76</v>
      </c>
      <c r="C1152" s="2">
        <v>50.88</v>
      </c>
      <c r="E1152" s="8">
        <f t="shared" si="51"/>
        <v>146.27999999999975</v>
      </c>
      <c r="F1152" s="8">
        <f t="shared" si="52"/>
        <v>-5.1200000000000045</v>
      </c>
      <c r="H1152" s="12">
        <f t="shared" si="53"/>
        <v>1.8672312899598336</v>
      </c>
    </row>
    <row r="1153" spans="1:8" x14ac:dyDescent="0.25">
      <c r="A1153" s="1">
        <v>45603</v>
      </c>
      <c r="B1153" s="8">
        <v>5929.04</v>
      </c>
      <c r="C1153" s="2">
        <v>45.76</v>
      </c>
      <c r="E1153" s="8">
        <f t="shared" si="51"/>
        <v>44.0600000000004</v>
      </c>
      <c r="F1153" s="8">
        <f t="shared" si="52"/>
        <v>-1.3999999999999986</v>
      </c>
      <c r="H1153" s="12">
        <f t="shared" si="53"/>
        <v>1.8268525603407204</v>
      </c>
    </row>
    <row r="1154" spans="1:8" x14ac:dyDescent="0.25">
      <c r="A1154" s="1">
        <v>45604</v>
      </c>
      <c r="B1154" s="8">
        <v>5973.1</v>
      </c>
      <c r="C1154" s="2">
        <v>44.36</v>
      </c>
      <c r="E1154" s="8">
        <f t="shared" si="51"/>
        <v>22.4399999999996</v>
      </c>
      <c r="F1154" s="8">
        <f t="shared" si="52"/>
        <v>-0.18999999999999773</v>
      </c>
      <c r="H1154" s="12">
        <f t="shared" si="53"/>
        <v>1.8264829772002062</v>
      </c>
    </row>
    <row r="1155" spans="1:8" x14ac:dyDescent="0.25">
      <c r="A1155" s="1">
        <v>45607</v>
      </c>
      <c r="B1155" s="8">
        <v>5995.54</v>
      </c>
      <c r="C1155" s="2">
        <v>44.17</v>
      </c>
      <c r="E1155" s="8">
        <f t="shared" ref="E1155:E1218" si="54">B1156-B1155</f>
        <v>5.8100000000004002</v>
      </c>
      <c r="F1155" s="8">
        <f t="shared" ref="F1155:F1218" si="55">C1156-C1155</f>
        <v>-0.10000000000000142</v>
      </c>
      <c r="H1155" s="12">
        <f t="shared" ref="H1155:H1218" si="56">LOG(_xlfn.STDEV.P(B1155:B1185))</f>
        <v>1.826416459011343</v>
      </c>
    </row>
    <row r="1156" spans="1:8" x14ac:dyDescent="0.25">
      <c r="A1156" s="1">
        <v>45608</v>
      </c>
      <c r="B1156" s="8">
        <v>6001.35</v>
      </c>
      <c r="C1156" s="2">
        <v>44.07</v>
      </c>
      <c r="E1156" s="8">
        <f t="shared" si="54"/>
        <v>-17.360000000000582</v>
      </c>
      <c r="F1156" s="8">
        <f t="shared" si="55"/>
        <v>-9.0000000000003411E-2</v>
      </c>
      <c r="H1156" s="12">
        <f t="shared" si="56"/>
        <v>1.8293719329233233</v>
      </c>
    </row>
    <row r="1157" spans="1:8" x14ac:dyDescent="0.25">
      <c r="A1157" s="1">
        <v>45609</v>
      </c>
      <c r="B1157" s="8">
        <v>5983.99</v>
      </c>
      <c r="C1157" s="2">
        <v>43.98</v>
      </c>
      <c r="E1157" s="8">
        <f t="shared" si="54"/>
        <v>1.3900000000003274</v>
      </c>
      <c r="F1157" s="8">
        <f t="shared" si="55"/>
        <v>-1.0599999999999952</v>
      </c>
      <c r="H1157" s="12">
        <f t="shared" si="56"/>
        <v>1.8317910657052325</v>
      </c>
    </row>
    <row r="1158" spans="1:8" x14ac:dyDescent="0.25">
      <c r="A1158" s="1">
        <v>45610</v>
      </c>
      <c r="B1158" s="8">
        <v>5985.38</v>
      </c>
      <c r="C1158" s="2">
        <v>42.92</v>
      </c>
      <c r="E1158" s="8">
        <f t="shared" si="54"/>
        <v>-36.210000000000036</v>
      </c>
      <c r="F1158" s="8">
        <f t="shared" si="55"/>
        <v>-3.9999999999999147E-2</v>
      </c>
      <c r="H1158" s="12">
        <f t="shared" si="56"/>
        <v>1.8326125272862064</v>
      </c>
    </row>
    <row r="1159" spans="1:8" x14ac:dyDescent="0.25">
      <c r="A1159" s="1">
        <v>45611</v>
      </c>
      <c r="B1159" s="8">
        <v>5949.17</v>
      </c>
      <c r="C1159" s="2">
        <v>42.88</v>
      </c>
      <c r="E1159" s="8">
        <f t="shared" si="54"/>
        <v>-78.550000000000182</v>
      </c>
      <c r="F1159" s="8">
        <f t="shared" si="55"/>
        <v>2.9899999999999949</v>
      </c>
      <c r="H1159" s="12">
        <f t="shared" si="56"/>
        <v>1.8442587161106663</v>
      </c>
    </row>
    <row r="1160" spans="1:8" x14ac:dyDescent="0.25">
      <c r="A1160" s="1">
        <v>45614</v>
      </c>
      <c r="B1160" s="8">
        <v>5870.62</v>
      </c>
      <c r="C1160" s="2">
        <v>45.87</v>
      </c>
      <c r="E1160" s="8">
        <f t="shared" si="54"/>
        <v>23</v>
      </c>
      <c r="F1160" s="8">
        <f t="shared" si="55"/>
        <v>-1.6699999999999946</v>
      </c>
      <c r="H1160" s="12">
        <f t="shared" si="56"/>
        <v>1.8590158037890827</v>
      </c>
    </row>
    <row r="1161" spans="1:8" x14ac:dyDescent="0.25">
      <c r="A1161" s="1">
        <v>45615</v>
      </c>
      <c r="B1161" s="8">
        <v>5893.62</v>
      </c>
      <c r="C1161" s="2">
        <v>44.2</v>
      </c>
      <c r="E1161" s="8">
        <f t="shared" si="54"/>
        <v>23.359999999999673</v>
      </c>
      <c r="F1161" s="8">
        <f t="shared" si="55"/>
        <v>1.5999999999999943</v>
      </c>
      <c r="H1161" s="12">
        <f t="shared" si="56"/>
        <v>1.8597000623041033</v>
      </c>
    </row>
    <row r="1162" spans="1:8" x14ac:dyDescent="0.25">
      <c r="A1162" s="1">
        <v>45616</v>
      </c>
      <c r="B1162" s="8">
        <v>5916.98</v>
      </c>
      <c r="C1162" s="2">
        <v>45.8</v>
      </c>
      <c r="E1162" s="8">
        <f t="shared" si="54"/>
        <v>0.13000000000010914</v>
      </c>
      <c r="F1162" s="8">
        <f t="shared" si="55"/>
        <v>1.5200000000000031</v>
      </c>
      <c r="H1162" s="12">
        <f t="shared" si="56"/>
        <v>1.8495747292399491</v>
      </c>
    </row>
    <row r="1163" spans="1:8" x14ac:dyDescent="0.25">
      <c r="A1163" s="1">
        <v>45617</v>
      </c>
      <c r="B1163" s="8">
        <v>5917.11</v>
      </c>
      <c r="C1163" s="2">
        <v>47.32</v>
      </c>
      <c r="E1163" s="8">
        <f t="shared" si="54"/>
        <v>31.600000000000364</v>
      </c>
      <c r="F1163" s="8">
        <f t="shared" si="55"/>
        <v>-0.35000000000000142</v>
      </c>
      <c r="H1163" s="12">
        <f t="shared" si="56"/>
        <v>1.8413483162516511</v>
      </c>
    </row>
    <row r="1164" spans="1:8" x14ac:dyDescent="0.25">
      <c r="A1164" s="1">
        <v>45618</v>
      </c>
      <c r="B1164" s="8">
        <v>5948.71</v>
      </c>
      <c r="C1164" s="2">
        <v>46.97</v>
      </c>
      <c r="E1164" s="8">
        <f t="shared" si="54"/>
        <v>20.630000000000109</v>
      </c>
      <c r="F1164" s="8">
        <f t="shared" si="55"/>
        <v>-1.9299999999999997</v>
      </c>
      <c r="H1164" s="12">
        <f t="shared" si="56"/>
        <v>1.8432968422725382</v>
      </c>
    </row>
    <row r="1165" spans="1:8" x14ac:dyDescent="0.25">
      <c r="A1165" s="1">
        <v>45621</v>
      </c>
      <c r="B1165" s="8">
        <v>5969.34</v>
      </c>
      <c r="C1165" s="2">
        <v>45.04</v>
      </c>
      <c r="E1165" s="8">
        <f t="shared" si="54"/>
        <v>18.029999999999745</v>
      </c>
      <c r="F1165" s="8">
        <f t="shared" si="55"/>
        <v>-1.5799999999999983</v>
      </c>
      <c r="H1165" s="12">
        <f t="shared" si="56"/>
        <v>1.8486950339550836</v>
      </c>
    </row>
    <row r="1166" spans="1:8" x14ac:dyDescent="0.25">
      <c r="A1166" s="1">
        <v>45622</v>
      </c>
      <c r="B1166" s="8">
        <v>5987.37</v>
      </c>
      <c r="C1166" s="2">
        <v>43.46</v>
      </c>
      <c r="E1166" s="8">
        <f t="shared" si="54"/>
        <v>34.260000000000218</v>
      </c>
      <c r="F1166" s="8">
        <f t="shared" si="55"/>
        <v>-0.45000000000000284</v>
      </c>
      <c r="H1166" s="12">
        <f t="shared" si="56"/>
        <v>1.8836406091930393</v>
      </c>
    </row>
    <row r="1167" spans="1:8" x14ac:dyDescent="0.25">
      <c r="A1167" s="1">
        <v>45623</v>
      </c>
      <c r="B1167" s="8">
        <v>6021.63</v>
      </c>
      <c r="C1167" s="2">
        <v>43.01</v>
      </c>
      <c r="E1167" s="8">
        <f t="shared" si="54"/>
        <v>-22.890000000000327</v>
      </c>
      <c r="F1167" s="8">
        <f t="shared" si="55"/>
        <v>-0.18999999999999773</v>
      </c>
      <c r="H1167" s="12">
        <f t="shared" si="56"/>
        <v>1.9096668677809672</v>
      </c>
    </row>
    <row r="1168" spans="1:8" x14ac:dyDescent="0.25">
      <c r="A1168" s="1">
        <v>45625</v>
      </c>
      <c r="B1168" s="8">
        <v>5998.74</v>
      </c>
      <c r="C1168" s="2">
        <v>42.82</v>
      </c>
      <c r="E1168" s="8">
        <f t="shared" si="54"/>
        <v>33.640000000000327</v>
      </c>
      <c r="F1168" s="8">
        <f t="shared" si="55"/>
        <v>-0.82999999999999829</v>
      </c>
      <c r="H1168" s="12">
        <f t="shared" si="56"/>
        <v>1.9280744500594971</v>
      </c>
    </row>
    <row r="1169" spans="1:8" x14ac:dyDescent="0.25">
      <c r="A1169" s="1">
        <v>45628</v>
      </c>
      <c r="B1169" s="8">
        <v>6032.38</v>
      </c>
      <c r="C1169" s="2">
        <v>41.99</v>
      </c>
      <c r="E1169" s="8">
        <f t="shared" si="54"/>
        <v>14.769999999999527</v>
      </c>
      <c r="F1169" s="8">
        <f t="shared" si="55"/>
        <v>-3.9999999999999147E-2</v>
      </c>
      <c r="H1169" s="12">
        <f t="shared" si="56"/>
        <v>1.9285397339084629</v>
      </c>
    </row>
    <row r="1170" spans="1:8" x14ac:dyDescent="0.25">
      <c r="A1170" s="1">
        <v>45629</v>
      </c>
      <c r="B1170" s="8">
        <v>6047.15</v>
      </c>
      <c r="C1170" s="2">
        <v>41.95</v>
      </c>
      <c r="E1170" s="8">
        <f t="shared" si="54"/>
        <v>2.7300000000004729</v>
      </c>
      <c r="F1170" s="8">
        <f t="shared" si="55"/>
        <v>-0.49000000000000199</v>
      </c>
      <c r="H1170" s="12">
        <f t="shared" si="56"/>
        <v>1.927060650232219</v>
      </c>
    </row>
    <row r="1171" spans="1:8" x14ac:dyDescent="0.25">
      <c r="A1171" s="1">
        <v>45630</v>
      </c>
      <c r="B1171" s="8">
        <v>6049.88</v>
      </c>
      <c r="C1171" s="2">
        <v>41.46</v>
      </c>
      <c r="E1171" s="8">
        <f t="shared" si="54"/>
        <v>36.609999999999673</v>
      </c>
      <c r="F1171" s="8">
        <f t="shared" si="55"/>
        <v>0.25</v>
      </c>
      <c r="H1171" s="12">
        <f t="shared" si="56"/>
        <v>1.9223221993498303</v>
      </c>
    </row>
    <row r="1172" spans="1:8" x14ac:dyDescent="0.25">
      <c r="A1172" s="1">
        <v>45631</v>
      </c>
      <c r="B1172" s="8">
        <v>6086.49</v>
      </c>
      <c r="C1172" s="2">
        <v>41.71</v>
      </c>
      <c r="E1172" s="8">
        <f t="shared" si="54"/>
        <v>-11.380000000000109</v>
      </c>
      <c r="F1172" s="8">
        <f t="shared" si="55"/>
        <v>7.9999999999998295E-2</v>
      </c>
      <c r="H1172" s="12">
        <f t="shared" si="56"/>
        <v>1.9222249370489017</v>
      </c>
    </row>
    <row r="1173" spans="1:8" x14ac:dyDescent="0.25">
      <c r="A1173" s="1">
        <v>45632</v>
      </c>
      <c r="B1173" s="8">
        <v>6075.11</v>
      </c>
      <c r="C1173" s="2">
        <v>41.79</v>
      </c>
      <c r="E1173" s="8">
        <f t="shared" si="54"/>
        <v>15.160000000000764</v>
      </c>
      <c r="F1173" s="8">
        <f t="shared" si="55"/>
        <v>-0.69999999999999574</v>
      </c>
      <c r="H1173" s="12">
        <f t="shared" si="56"/>
        <v>1.9221978236122435</v>
      </c>
    </row>
    <row r="1174" spans="1:8" x14ac:dyDescent="0.25">
      <c r="A1174" s="1">
        <v>45635</v>
      </c>
      <c r="B1174" s="8">
        <v>6090.27</v>
      </c>
      <c r="C1174" s="2">
        <v>41.09</v>
      </c>
      <c r="E1174" s="8">
        <f t="shared" si="54"/>
        <v>-37.420000000000073</v>
      </c>
      <c r="F1174" s="8">
        <f t="shared" si="55"/>
        <v>0.88999999999999346</v>
      </c>
      <c r="H1174" s="12">
        <f t="shared" si="56"/>
        <v>1.9326487413346907</v>
      </c>
    </row>
    <row r="1175" spans="1:8" x14ac:dyDescent="0.25">
      <c r="A1175" s="1">
        <v>45636</v>
      </c>
      <c r="B1175" s="8">
        <v>6052.85</v>
      </c>
      <c r="C1175" s="2">
        <v>41.98</v>
      </c>
      <c r="E1175" s="8">
        <f t="shared" si="54"/>
        <v>-17.940000000000509</v>
      </c>
      <c r="F1175" s="8">
        <f t="shared" si="55"/>
        <v>-5.9999999999995168E-2</v>
      </c>
      <c r="H1175" s="12">
        <f t="shared" si="56"/>
        <v>1.9351587620252468</v>
      </c>
    </row>
    <row r="1176" spans="1:8" x14ac:dyDescent="0.25">
      <c r="A1176" s="1">
        <v>45637</v>
      </c>
      <c r="B1176" s="8">
        <v>6034.91</v>
      </c>
      <c r="C1176" s="2">
        <v>41.92</v>
      </c>
      <c r="E1176" s="8">
        <f t="shared" si="54"/>
        <v>49.279999999999745</v>
      </c>
      <c r="F1176" s="8">
        <f t="shared" si="55"/>
        <v>-0.48000000000000398</v>
      </c>
      <c r="H1176" s="12">
        <f t="shared" si="56"/>
        <v>1.9306884601474237</v>
      </c>
    </row>
    <row r="1177" spans="1:8" x14ac:dyDescent="0.25">
      <c r="A1177" s="1">
        <v>45638</v>
      </c>
      <c r="B1177" s="8">
        <v>6084.19</v>
      </c>
      <c r="C1177" s="2">
        <v>41.44</v>
      </c>
      <c r="E1177" s="8">
        <f t="shared" si="54"/>
        <v>-32.9399999999996</v>
      </c>
      <c r="F1177" s="8">
        <f t="shared" si="55"/>
        <v>0.48000000000000398</v>
      </c>
      <c r="H1177" s="12">
        <f t="shared" si="56"/>
        <v>1.9354782254728373</v>
      </c>
    </row>
    <row r="1178" spans="1:8" x14ac:dyDescent="0.25">
      <c r="A1178" s="1">
        <v>45639</v>
      </c>
      <c r="B1178" s="8">
        <v>6051.25</v>
      </c>
      <c r="C1178" s="2">
        <v>41.92</v>
      </c>
      <c r="E1178" s="8">
        <f t="shared" si="54"/>
        <v>-0.15999999999985448</v>
      </c>
      <c r="F1178" s="8">
        <f t="shared" si="55"/>
        <v>-0.16000000000000369</v>
      </c>
      <c r="H1178" s="12">
        <f t="shared" si="56"/>
        <v>1.9279652655435267</v>
      </c>
    </row>
    <row r="1179" spans="1:8" x14ac:dyDescent="0.25">
      <c r="A1179" s="1">
        <v>45642</v>
      </c>
      <c r="B1179" s="8">
        <v>6051.09</v>
      </c>
      <c r="C1179" s="2">
        <v>41.76</v>
      </c>
      <c r="E1179" s="8">
        <f t="shared" si="54"/>
        <v>22.989999999999782</v>
      </c>
      <c r="F1179" s="8">
        <f t="shared" si="55"/>
        <v>0.85000000000000142</v>
      </c>
      <c r="H1179" s="12">
        <f t="shared" si="56"/>
        <v>1.9313267557673446</v>
      </c>
    </row>
    <row r="1180" spans="1:8" x14ac:dyDescent="0.25">
      <c r="A1180" s="1">
        <v>45643</v>
      </c>
      <c r="B1180" s="8">
        <v>6074.08</v>
      </c>
      <c r="C1180" s="2">
        <v>42.61</v>
      </c>
      <c r="E1180" s="8">
        <f t="shared" si="54"/>
        <v>-23.470000000000255</v>
      </c>
      <c r="F1180" s="8">
        <f t="shared" si="55"/>
        <v>0.96999999999999886</v>
      </c>
      <c r="H1180" s="12">
        <f t="shared" si="56"/>
        <v>1.929869241177433</v>
      </c>
    </row>
    <row r="1181" spans="1:8" x14ac:dyDescent="0.25">
      <c r="A1181" s="1">
        <v>45644</v>
      </c>
      <c r="B1181" s="8">
        <v>6050.61</v>
      </c>
      <c r="C1181" s="2">
        <v>43.58</v>
      </c>
      <c r="E1181" s="8">
        <f t="shared" si="54"/>
        <v>-178.44999999999982</v>
      </c>
      <c r="F1181" s="8">
        <f t="shared" si="55"/>
        <v>7.3800000000000026</v>
      </c>
      <c r="H1181" s="12">
        <f t="shared" si="56"/>
        <v>1.9201890811200835</v>
      </c>
    </row>
    <row r="1182" spans="1:8" x14ac:dyDescent="0.25">
      <c r="A1182" s="1">
        <v>45645</v>
      </c>
      <c r="B1182" s="8">
        <v>5872.16</v>
      </c>
      <c r="C1182" s="2">
        <v>50.96</v>
      </c>
      <c r="E1182" s="8">
        <f t="shared" si="54"/>
        <v>-5.0799999999999272</v>
      </c>
      <c r="F1182" s="8">
        <f t="shared" si="55"/>
        <v>4.3500000000000014</v>
      </c>
      <c r="H1182" s="12">
        <f t="shared" si="56"/>
        <v>1.9183021800934983</v>
      </c>
    </row>
    <row r="1183" spans="1:8" x14ac:dyDescent="0.25">
      <c r="A1183" s="1">
        <v>45646</v>
      </c>
      <c r="B1183" s="8">
        <v>5867.08</v>
      </c>
      <c r="C1183" s="2">
        <v>55.31</v>
      </c>
      <c r="E1183" s="8">
        <f t="shared" si="54"/>
        <v>63.770000000000437</v>
      </c>
      <c r="F1183" s="8">
        <f t="shared" si="55"/>
        <v>-8.2800000000000011</v>
      </c>
      <c r="H1183" s="12">
        <f t="shared" si="56"/>
        <v>1.9154517612056805</v>
      </c>
    </row>
    <row r="1184" spans="1:8" x14ac:dyDescent="0.25">
      <c r="A1184" s="1">
        <v>45649</v>
      </c>
      <c r="B1184" s="8">
        <v>5930.85</v>
      </c>
      <c r="C1184" s="2">
        <v>47.03</v>
      </c>
      <c r="E1184" s="8">
        <f t="shared" si="54"/>
        <v>43.219999999999345</v>
      </c>
      <c r="F1184" s="8">
        <f t="shared" si="55"/>
        <v>-2.9699999999999989</v>
      </c>
      <c r="H1184" s="12">
        <f t="shared" si="56"/>
        <v>1.9130346652313981</v>
      </c>
    </row>
    <row r="1185" spans="1:8" x14ac:dyDescent="0.25">
      <c r="A1185" s="1">
        <v>45650</v>
      </c>
      <c r="B1185" s="8">
        <v>5974.07</v>
      </c>
      <c r="C1185" s="2">
        <v>44.06</v>
      </c>
      <c r="E1185" s="8">
        <f t="shared" si="54"/>
        <v>65.970000000000255</v>
      </c>
      <c r="F1185" s="8">
        <f t="shared" si="55"/>
        <v>-2.5</v>
      </c>
      <c r="H1185" s="12">
        <f t="shared" si="56"/>
        <v>1.9115774150773441</v>
      </c>
    </row>
    <row r="1186" spans="1:8" x14ac:dyDescent="0.25">
      <c r="A1186" s="1">
        <v>45652</v>
      </c>
      <c r="B1186" s="8">
        <v>6040.04</v>
      </c>
      <c r="C1186" s="2">
        <v>41.56</v>
      </c>
      <c r="E1186" s="8">
        <f t="shared" si="54"/>
        <v>-2.4499999999998181</v>
      </c>
      <c r="F1186" s="8">
        <f t="shared" si="55"/>
        <v>0.25</v>
      </c>
      <c r="H1186" s="12">
        <f t="shared" si="56"/>
        <v>1.917619557821882</v>
      </c>
    </row>
    <row r="1187" spans="1:8" x14ac:dyDescent="0.25">
      <c r="A1187" s="1">
        <v>45653</v>
      </c>
      <c r="B1187" s="8">
        <v>6037.59</v>
      </c>
      <c r="C1187" s="2">
        <v>41.81</v>
      </c>
      <c r="E1187" s="8">
        <f t="shared" si="54"/>
        <v>-66.75</v>
      </c>
      <c r="F1187" s="8">
        <f t="shared" si="55"/>
        <v>2</v>
      </c>
      <c r="H1187" s="12">
        <f t="shared" si="56"/>
        <v>1.9212926699760384</v>
      </c>
    </row>
    <row r="1188" spans="1:8" x14ac:dyDescent="0.25">
      <c r="A1188" s="1">
        <v>45656</v>
      </c>
      <c r="B1188" s="8">
        <v>5970.84</v>
      </c>
      <c r="C1188" s="2">
        <v>43.81</v>
      </c>
      <c r="E1188" s="8">
        <f t="shared" si="54"/>
        <v>-63.900000000000546</v>
      </c>
      <c r="F1188" s="8">
        <f t="shared" si="55"/>
        <v>0.9199999999999946</v>
      </c>
      <c r="H1188" s="12">
        <f t="shared" si="56"/>
        <v>1.9228327987232599</v>
      </c>
    </row>
    <row r="1189" spans="1:8" x14ac:dyDescent="0.25">
      <c r="A1189" s="1">
        <v>45657</v>
      </c>
      <c r="B1189" s="8">
        <v>5906.94</v>
      </c>
      <c r="C1189" s="2">
        <v>44.73</v>
      </c>
      <c r="E1189" s="8">
        <f t="shared" si="54"/>
        <v>-25.309999999999491</v>
      </c>
      <c r="F1189" s="8">
        <f t="shared" si="55"/>
        <v>0.29000000000000625</v>
      </c>
      <c r="H1189" s="12">
        <f t="shared" si="56"/>
        <v>1.9365212440749291</v>
      </c>
    </row>
    <row r="1190" spans="1:8" x14ac:dyDescent="0.25">
      <c r="A1190" s="1">
        <v>45659</v>
      </c>
      <c r="B1190" s="8">
        <v>5881.63</v>
      </c>
      <c r="C1190" s="2">
        <v>45.02</v>
      </c>
      <c r="E1190" s="8">
        <f t="shared" si="54"/>
        <v>-13.079999999999927</v>
      </c>
      <c r="F1190" s="8">
        <f t="shared" si="55"/>
        <v>0.93999999999999773</v>
      </c>
      <c r="H1190" s="12">
        <f t="shared" si="56"/>
        <v>1.9408301771889869</v>
      </c>
    </row>
    <row r="1191" spans="1:8" x14ac:dyDescent="0.25">
      <c r="A1191" s="1">
        <v>45660</v>
      </c>
      <c r="B1191" s="8">
        <v>5868.55</v>
      </c>
      <c r="C1191" s="2">
        <v>45.96</v>
      </c>
      <c r="E1191" s="8">
        <f t="shared" si="54"/>
        <v>73.920000000000073</v>
      </c>
      <c r="F1191" s="8">
        <f t="shared" si="55"/>
        <v>-2.4699999999999989</v>
      </c>
      <c r="H1191" s="12">
        <f t="shared" si="56"/>
        <v>1.940207422824187</v>
      </c>
    </row>
    <row r="1192" spans="1:8" x14ac:dyDescent="0.25">
      <c r="A1192" s="1">
        <v>45663</v>
      </c>
      <c r="B1192" s="8">
        <v>5942.47</v>
      </c>
      <c r="C1192" s="2">
        <v>43.49</v>
      </c>
      <c r="E1192" s="8">
        <f t="shared" si="54"/>
        <v>32.909999999999854</v>
      </c>
      <c r="F1192" s="8">
        <f t="shared" si="55"/>
        <v>-0.3300000000000054</v>
      </c>
      <c r="H1192" s="12">
        <f t="shared" si="56"/>
        <v>1.9355495414414758</v>
      </c>
    </row>
    <row r="1193" spans="1:8" x14ac:dyDescent="0.25">
      <c r="A1193" s="1">
        <v>45664</v>
      </c>
      <c r="B1193" s="8">
        <v>5975.38</v>
      </c>
      <c r="C1193" s="2">
        <v>43.16</v>
      </c>
      <c r="E1193" s="8">
        <f t="shared" si="54"/>
        <v>-66.350000000000364</v>
      </c>
      <c r="F1193" s="8">
        <f t="shared" si="55"/>
        <v>2.6600000000000037</v>
      </c>
      <c r="H1193" s="12">
        <f t="shared" si="56"/>
        <v>1.9379496485658088</v>
      </c>
    </row>
    <row r="1194" spans="1:8" x14ac:dyDescent="0.25">
      <c r="A1194" s="1">
        <v>45665</v>
      </c>
      <c r="B1194" s="8">
        <v>5909.03</v>
      </c>
      <c r="C1194" s="2">
        <v>45.82</v>
      </c>
      <c r="E1194" s="8">
        <f t="shared" si="54"/>
        <v>9.2200000000002547</v>
      </c>
      <c r="F1194" s="8">
        <f t="shared" si="55"/>
        <v>-0.29999999999999716</v>
      </c>
      <c r="H1194" s="12">
        <f t="shared" si="56"/>
        <v>1.9356958457631908</v>
      </c>
    </row>
    <row r="1195" spans="1:8" x14ac:dyDescent="0.25">
      <c r="A1195" s="1">
        <v>45667</v>
      </c>
      <c r="B1195" s="8">
        <v>5918.25</v>
      </c>
      <c r="C1195" s="2">
        <v>45.52</v>
      </c>
      <c r="E1195" s="8">
        <f t="shared" si="54"/>
        <v>-91.210000000000036</v>
      </c>
      <c r="F1195" s="8">
        <f t="shared" si="55"/>
        <v>3.1299999999999955</v>
      </c>
      <c r="H1195" s="12">
        <f t="shared" si="56"/>
        <v>1.9239498842975111</v>
      </c>
    </row>
    <row r="1196" spans="1:8" x14ac:dyDescent="0.25">
      <c r="A1196" s="1">
        <v>45670</v>
      </c>
      <c r="B1196" s="8">
        <v>5827.04</v>
      </c>
      <c r="C1196" s="2">
        <v>48.65</v>
      </c>
      <c r="E1196" s="8">
        <f t="shared" si="54"/>
        <v>9.180000000000291</v>
      </c>
      <c r="F1196" s="8">
        <f t="shared" si="55"/>
        <v>-0.97999999999999687</v>
      </c>
      <c r="H1196" s="12">
        <f t="shared" si="56"/>
        <v>1.9170001702233377</v>
      </c>
    </row>
    <row r="1197" spans="1:8" x14ac:dyDescent="0.25">
      <c r="A1197" s="1">
        <v>45671</v>
      </c>
      <c r="B1197" s="8">
        <v>5836.22</v>
      </c>
      <c r="C1197" s="2">
        <v>47.67</v>
      </c>
      <c r="E1197" s="8">
        <f t="shared" si="54"/>
        <v>6.6899999999995998</v>
      </c>
      <c r="F1197" s="8">
        <f t="shared" si="55"/>
        <v>-0.94000000000000483</v>
      </c>
      <c r="H1197" s="12">
        <f t="shared" si="56"/>
        <v>1.8760645844819219</v>
      </c>
    </row>
    <row r="1198" spans="1:8" x14ac:dyDescent="0.25">
      <c r="A1198" s="1">
        <v>45672</v>
      </c>
      <c r="B1198" s="8">
        <v>5842.91</v>
      </c>
      <c r="C1198" s="2">
        <v>46.73</v>
      </c>
      <c r="E1198" s="8">
        <f t="shared" si="54"/>
        <v>107</v>
      </c>
      <c r="F1198" s="8">
        <f t="shared" si="55"/>
        <v>-3.9099999999999966</v>
      </c>
      <c r="H1198" s="12">
        <f t="shared" si="56"/>
        <v>1.8640499531162982</v>
      </c>
    </row>
    <row r="1199" spans="1:8" x14ac:dyDescent="0.25">
      <c r="A1199" s="1">
        <v>45673</v>
      </c>
      <c r="B1199" s="8">
        <v>5949.91</v>
      </c>
      <c r="C1199" s="2">
        <v>42.82</v>
      </c>
      <c r="E1199" s="8">
        <f t="shared" si="54"/>
        <v>-12.569999999999709</v>
      </c>
      <c r="F1199" s="8">
        <f t="shared" si="55"/>
        <v>7.9999999999998295E-2</v>
      </c>
      <c r="H1199" s="12">
        <f t="shared" si="56"/>
        <v>1.8192742895328391</v>
      </c>
    </row>
    <row r="1200" spans="1:8" x14ac:dyDescent="0.25">
      <c r="A1200" s="1">
        <v>45674</v>
      </c>
      <c r="B1200" s="8">
        <v>5937.34</v>
      </c>
      <c r="C1200" s="2">
        <v>42.9</v>
      </c>
      <c r="E1200" s="8">
        <f t="shared" si="54"/>
        <v>59.319999999999709</v>
      </c>
      <c r="F1200" s="8">
        <f t="shared" si="55"/>
        <v>0.24000000000000199</v>
      </c>
      <c r="H1200" s="12">
        <f t="shared" si="56"/>
        <v>1.8596286549873211</v>
      </c>
    </row>
    <row r="1201" spans="1:8" x14ac:dyDescent="0.25">
      <c r="A1201" s="1">
        <v>45678</v>
      </c>
      <c r="B1201" s="8">
        <v>5996.66</v>
      </c>
      <c r="C1201" s="2">
        <v>43.14</v>
      </c>
      <c r="E1201" s="8">
        <f t="shared" si="54"/>
        <v>52.579999999999927</v>
      </c>
      <c r="F1201" s="8">
        <f t="shared" si="55"/>
        <v>-1.759999999999998</v>
      </c>
      <c r="H1201" s="12">
        <f t="shared" si="56"/>
        <v>1.923784958806797</v>
      </c>
    </row>
    <row r="1202" spans="1:8" x14ac:dyDescent="0.25">
      <c r="A1202" s="1">
        <v>45679</v>
      </c>
      <c r="B1202" s="8">
        <v>6049.24</v>
      </c>
      <c r="C1202" s="2">
        <v>41.38</v>
      </c>
      <c r="E1202" s="8">
        <f t="shared" si="54"/>
        <v>37.130000000000109</v>
      </c>
      <c r="F1202" s="8">
        <f t="shared" si="55"/>
        <v>0.57999999999999829</v>
      </c>
      <c r="H1202" s="12">
        <f t="shared" si="56"/>
        <v>1.9547004827956882</v>
      </c>
    </row>
    <row r="1203" spans="1:8" x14ac:dyDescent="0.25">
      <c r="A1203" s="1">
        <v>45680</v>
      </c>
      <c r="B1203" s="8">
        <v>6086.37</v>
      </c>
      <c r="C1203" s="2">
        <v>41.96</v>
      </c>
      <c r="E1203" s="8">
        <f t="shared" si="54"/>
        <v>32.340000000000146</v>
      </c>
      <c r="F1203" s="8">
        <f t="shared" si="55"/>
        <v>-0.78000000000000114</v>
      </c>
      <c r="H1203" s="12">
        <f t="shared" si="56"/>
        <v>2.0138016634862073</v>
      </c>
    </row>
    <row r="1204" spans="1:8" x14ac:dyDescent="0.25">
      <c r="A1204" s="1">
        <v>45681</v>
      </c>
      <c r="B1204" s="8">
        <v>6118.71</v>
      </c>
      <c r="C1204" s="2">
        <v>41.18</v>
      </c>
      <c r="E1204" s="8">
        <f t="shared" si="54"/>
        <v>-17.470000000000255</v>
      </c>
      <c r="F1204" s="8">
        <f t="shared" si="55"/>
        <v>-0.11999999999999744</v>
      </c>
      <c r="H1204" s="12">
        <f t="shared" si="56"/>
        <v>2.0455139250659862</v>
      </c>
    </row>
    <row r="1205" spans="1:8" x14ac:dyDescent="0.25">
      <c r="A1205" s="1">
        <v>45684</v>
      </c>
      <c r="B1205" s="8">
        <v>6101.24</v>
      </c>
      <c r="C1205" s="2">
        <v>41.06</v>
      </c>
      <c r="E1205" s="8">
        <f t="shared" si="54"/>
        <v>-88.960000000000036</v>
      </c>
      <c r="F1205" s="8">
        <f t="shared" si="55"/>
        <v>2.6299999999999955</v>
      </c>
      <c r="H1205" s="12">
        <f t="shared" si="56"/>
        <v>2.1097734785045912</v>
      </c>
    </row>
    <row r="1206" spans="1:8" x14ac:dyDescent="0.25">
      <c r="A1206" s="1">
        <v>45685</v>
      </c>
      <c r="B1206" s="8">
        <v>6012.28</v>
      </c>
      <c r="C1206" s="2">
        <v>43.69</v>
      </c>
      <c r="E1206" s="8">
        <f t="shared" si="54"/>
        <v>55.420000000000073</v>
      </c>
      <c r="F1206" s="8">
        <f t="shared" si="55"/>
        <v>-1.3799999999999955</v>
      </c>
      <c r="H1206" s="12">
        <f t="shared" si="56"/>
        <v>2.1661240069163288</v>
      </c>
    </row>
    <row r="1207" spans="1:8" x14ac:dyDescent="0.25">
      <c r="A1207" s="1">
        <v>45686</v>
      </c>
      <c r="B1207" s="8">
        <v>6067.7</v>
      </c>
      <c r="C1207" s="2">
        <v>42.31</v>
      </c>
      <c r="E1207" s="8">
        <f t="shared" si="54"/>
        <v>-28.389999999999418</v>
      </c>
      <c r="F1207" s="8">
        <f t="shared" si="55"/>
        <v>-0.28000000000000114</v>
      </c>
      <c r="H1207" s="12">
        <f t="shared" si="56"/>
        <v>2.2053172185574699</v>
      </c>
    </row>
    <row r="1208" spans="1:8" x14ac:dyDescent="0.25">
      <c r="A1208" s="1">
        <v>45687</v>
      </c>
      <c r="B1208" s="8">
        <v>6039.31</v>
      </c>
      <c r="C1208" s="2">
        <v>42.03</v>
      </c>
      <c r="E1208" s="8">
        <f t="shared" si="54"/>
        <v>31.859999999999673</v>
      </c>
      <c r="F1208" s="8">
        <f t="shared" si="55"/>
        <v>-0.16000000000000369</v>
      </c>
      <c r="H1208" s="12">
        <f t="shared" si="56"/>
        <v>2.2471635416533404</v>
      </c>
    </row>
    <row r="1209" spans="1:8" x14ac:dyDescent="0.25">
      <c r="A1209" s="1">
        <v>45688</v>
      </c>
      <c r="B1209" s="8">
        <v>6071.17</v>
      </c>
      <c r="C1209" s="2">
        <v>41.87</v>
      </c>
      <c r="E1209" s="8">
        <f t="shared" si="54"/>
        <v>-30.640000000000327</v>
      </c>
      <c r="F1209" s="8">
        <f t="shared" si="55"/>
        <v>1.5</v>
      </c>
      <c r="H1209" s="12">
        <f t="shared" si="56"/>
        <v>2.2636766823410599</v>
      </c>
    </row>
    <row r="1210" spans="1:8" x14ac:dyDescent="0.25">
      <c r="A1210" s="1">
        <v>45691</v>
      </c>
      <c r="B1210" s="8">
        <v>6040.53</v>
      </c>
      <c r="C1210" s="2">
        <v>43.37</v>
      </c>
      <c r="E1210" s="8">
        <f t="shared" si="54"/>
        <v>-45.960000000000036</v>
      </c>
      <c r="F1210" s="8">
        <f t="shared" si="55"/>
        <v>0.84000000000000341</v>
      </c>
      <c r="H1210" s="12">
        <f t="shared" si="56"/>
        <v>2.271540873907163</v>
      </c>
    </row>
    <row r="1211" spans="1:8" x14ac:dyDescent="0.25">
      <c r="A1211" s="1">
        <v>45692</v>
      </c>
      <c r="B1211" s="8">
        <v>5994.57</v>
      </c>
      <c r="C1211" s="2">
        <v>44.21</v>
      </c>
      <c r="E1211" s="8">
        <f t="shared" si="54"/>
        <v>43.3100000000004</v>
      </c>
      <c r="F1211" s="8">
        <f t="shared" si="55"/>
        <v>-1.2199999999999989</v>
      </c>
      <c r="H1211" s="12">
        <f t="shared" si="56"/>
        <v>2.2849411228345544</v>
      </c>
    </row>
    <row r="1212" spans="1:8" x14ac:dyDescent="0.25">
      <c r="A1212" s="1">
        <v>45693</v>
      </c>
      <c r="B1212" s="8">
        <v>6037.88</v>
      </c>
      <c r="C1212" s="2">
        <v>42.99</v>
      </c>
      <c r="E1212" s="8">
        <f t="shared" si="54"/>
        <v>23.599999999999454</v>
      </c>
      <c r="F1212" s="8">
        <f t="shared" si="55"/>
        <v>-0.96000000000000085</v>
      </c>
      <c r="H1212" s="12">
        <f t="shared" si="56"/>
        <v>2.2922294338222198</v>
      </c>
    </row>
    <row r="1213" spans="1:8" x14ac:dyDescent="0.25">
      <c r="A1213" s="1">
        <v>45694</v>
      </c>
      <c r="B1213" s="8">
        <v>6061.48</v>
      </c>
      <c r="C1213" s="2">
        <v>42.03</v>
      </c>
      <c r="E1213" s="8">
        <f t="shared" si="54"/>
        <v>22.090000000000146</v>
      </c>
      <c r="F1213" s="8">
        <f t="shared" si="55"/>
        <v>-0.24000000000000199</v>
      </c>
      <c r="H1213" s="12">
        <f t="shared" si="56"/>
        <v>2.2969504462016852</v>
      </c>
    </row>
    <row r="1214" spans="1:8" x14ac:dyDescent="0.25">
      <c r="A1214" s="1">
        <v>45695</v>
      </c>
      <c r="B1214" s="8">
        <v>6083.57</v>
      </c>
      <c r="C1214" s="2">
        <v>41.79</v>
      </c>
      <c r="E1214" s="8">
        <f t="shared" si="54"/>
        <v>-57.579999999999927</v>
      </c>
      <c r="F1214" s="8">
        <f t="shared" si="55"/>
        <v>1.4200000000000017</v>
      </c>
      <c r="H1214" s="12">
        <f t="shared" si="56"/>
        <v>2.2981224977069465</v>
      </c>
    </row>
    <row r="1215" spans="1:8" x14ac:dyDescent="0.25">
      <c r="A1215" s="1">
        <v>45698</v>
      </c>
      <c r="B1215" s="8">
        <v>6025.99</v>
      </c>
      <c r="C1215" s="2">
        <v>43.21</v>
      </c>
      <c r="E1215" s="8">
        <f t="shared" si="54"/>
        <v>40.449999999999818</v>
      </c>
      <c r="F1215" s="8">
        <f t="shared" si="55"/>
        <v>-1.1000000000000014</v>
      </c>
      <c r="H1215" s="12">
        <f t="shared" si="56"/>
        <v>2.2908061586169479</v>
      </c>
    </row>
    <row r="1216" spans="1:8" x14ac:dyDescent="0.25">
      <c r="A1216" s="1">
        <v>45699</v>
      </c>
      <c r="B1216" s="8">
        <v>6066.44</v>
      </c>
      <c r="C1216" s="2">
        <v>42.11</v>
      </c>
      <c r="E1216" s="8">
        <f t="shared" si="54"/>
        <v>2.0600000000004002</v>
      </c>
      <c r="F1216" s="8">
        <f t="shared" si="55"/>
        <v>0.16000000000000369</v>
      </c>
      <c r="H1216" s="12">
        <f t="shared" si="56"/>
        <v>2.2862729711063206</v>
      </c>
    </row>
    <row r="1217" spans="1:8" x14ac:dyDescent="0.25">
      <c r="A1217" s="1">
        <v>45700</v>
      </c>
      <c r="B1217" s="8">
        <v>6068.5</v>
      </c>
      <c r="C1217" s="2">
        <v>42.27</v>
      </c>
      <c r="E1217" s="8">
        <f t="shared" si="54"/>
        <v>-16.529999999999745</v>
      </c>
      <c r="F1217" s="8">
        <f t="shared" si="55"/>
        <v>-0.24000000000000199</v>
      </c>
      <c r="H1217" s="12">
        <f t="shared" si="56"/>
        <v>2.2799752349546094</v>
      </c>
    </row>
    <row r="1218" spans="1:8" x14ac:dyDescent="0.25">
      <c r="A1218" s="1">
        <v>45701</v>
      </c>
      <c r="B1218" s="8">
        <v>6051.97</v>
      </c>
      <c r="C1218" s="2">
        <v>42.03</v>
      </c>
      <c r="E1218" s="8">
        <f t="shared" si="54"/>
        <v>63.099999999999454</v>
      </c>
      <c r="F1218" s="8">
        <f t="shared" si="55"/>
        <v>-0.70000000000000284</v>
      </c>
      <c r="H1218" s="12">
        <f t="shared" si="56"/>
        <v>2.2725984574267697</v>
      </c>
    </row>
    <row r="1219" spans="1:8" x14ac:dyDescent="0.25">
      <c r="A1219" s="1">
        <v>45702</v>
      </c>
      <c r="B1219" s="8">
        <v>6115.07</v>
      </c>
      <c r="C1219" s="2">
        <v>41.33</v>
      </c>
      <c r="E1219" s="8">
        <f t="shared" ref="E1219:E1258" si="57">B1220-B1219</f>
        <v>-0.43999999999959982</v>
      </c>
      <c r="F1219" s="8">
        <f t="shared" ref="F1219:F1258" si="58">C1220-C1219</f>
        <v>-0.14999999999999858</v>
      </c>
      <c r="H1219" s="12">
        <f t="shared" ref="H1219:H1258" si="59">LOG(_xlfn.STDEV.P(B1219:B1249))</f>
        <v>2.2727313865655283</v>
      </c>
    </row>
    <row r="1220" spans="1:8" x14ac:dyDescent="0.25">
      <c r="A1220" s="1">
        <v>45706</v>
      </c>
      <c r="B1220" s="8">
        <v>6114.63</v>
      </c>
      <c r="C1220" s="2">
        <v>41.18</v>
      </c>
      <c r="E1220" s="8">
        <f t="shared" si="57"/>
        <v>14.949999999999818</v>
      </c>
      <c r="F1220" s="8">
        <f t="shared" si="58"/>
        <v>-0.17999999999999972</v>
      </c>
      <c r="H1220" s="12">
        <f t="shared" si="59"/>
        <v>2.259909572017273</v>
      </c>
    </row>
    <row r="1221" spans="1:8" x14ac:dyDescent="0.25">
      <c r="A1221" s="1">
        <v>45707</v>
      </c>
      <c r="B1221" s="8">
        <v>6129.58</v>
      </c>
      <c r="C1221" s="2">
        <v>41</v>
      </c>
      <c r="E1221" s="8">
        <f t="shared" si="57"/>
        <v>14.569999999999709</v>
      </c>
      <c r="F1221" s="8">
        <f t="shared" si="58"/>
        <v>-0.5</v>
      </c>
      <c r="H1221" s="12">
        <f t="shared" si="59"/>
        <v>2.2411254764200916</v>
      </c>
    </row>
    <row r="1222" spans="1:8" x14ac:dyDescent="0.25">
      <c r="A1222" s="1">
        <v>45708</v>
      </c>
      <c r="B1222" s="8">
        <v>6144.15</v>
      </c>
      <c r="C1222" s="2">
        <v>40.5</v>
      </c>
      <c r="E1222" s="8">
        <f t="shared" si="57"/>
        <v>-26.6299999999992</v>
      </c>
      <c r="F1222" s="8">
        <f t="shared" si="58"/>
        <v>0.22999999999999687</v>
      </c>
      <c r="H1222" s="12">
        <f t="shared" si="59"/>
        <v>2.2117356917550501</v>
      </c>
    </row>
    <row r="1223" spans="1:8" x14ac:dyDescent="0.25">
      <c r="A1223" s="1">
        <v>45709</v>
      </c>
      <c r="B1223" s="8">
        <v>6117.52</v>
      </c>
      <c r="C1223" s="2">
        <v>40.729999999999997</v>
      </c>
      <c r="E1223" s="8">
        <f t="shared" si="57"/>
        <v>-104.39000000000033</v>
      </c>
      <c r="F1223" s="8">
        <f t="shared" si="58"/>
        <v>2.8300000000000054</v>
      </c>
      <c r="H1223" s="12">
        <f t="shared" si="59"/>
        <v>2.2039376922866598</v>
      </c>
    </row>
    <row r="1224" spans="1:8" x14ac:dyDescent="0.25">
      <c r="A1224" s="1">
        <v>45712</v>
      </c>
      <c r="B1224" s="8">
        <v>6013.13</v>
      </c>
      <c r="C1224" s="2">
        <v>43.56</v>
      </c>
      <c r="E1224" s="8">
        <f t="shared" si="57"/>
        <v>-29.880000000000109</v>
      </c>
      <c r="F1224" s="8">
        <f t="shared" si="58"/>
        <v>0.28000000000000114</v>
      </c>
      <c r="H1224" s="12">
        <f t="shared" si="59"/>
        <v>2.2662369423619872</v>
      </c>
    </row>
    <row r="1225" spans="1:8" x14ac:dyDescent="0.25">
      <c r="A1225" s="1">
        <v>45713</v>
      </c>
      <c r="B1225" s="8">
        <v>5983.25</v>
      </c>
      <c r="C1225" s="2">
        <v>43.84</v>
      </c>
      <c r="E1225" s="8">
        <f t="shared" si="57"/>
        <v>-28</v>
      </c>
      <c r="F1225" s="8">
        <f t="shared" si="58"/>
        <v>0.31999999999999318</v>
      </c>
      <c r="H1225" s="12">
        <f t="shared" si="59"/>
        <v>2.3188201573986955</v>
      </c>
    </row>
    <row r="1226" spans="1:8" x14ac:dyDescent="0.25">
      <c r="A1226" s="1">
        <v>45714</v>
      </c>
      <c r="B1226" s="8">
        <v>5955.25</v>
      </c>
      <c r="C1226" s="2">
        <v>44.16</v>
      </c>
      <c r="E1226" s="8">
        <f t="shared" si="57"/>
        <v>0.81000000000040018</v>
      </c>
      <c r="F1226" s="8">
        <f t="shared" si="58"/>
        <v>-0.95999999999999375</v>
      </c>
      <c r="H1226" s="12">
        <f t="shared" si="59"/>
        <v>2.3691407723718676</v>
      </c>
    </row>
    <row r="1227" spans="1:8" x14ac:dyDescent="0.25">
      <c r="A1227" s="1">
        <v>45715</v>
      </c>
      <c r="B1227" s="8">
        <v>5956.06</v>
      </c>
      <c r="C1227" s="2">
        <v>43.2</v>
      </c>
      <c r="E1227" s="8">
        <f t="shared" si="57"/>
        <v>-94.490000000000691</v>
      </c>
      <c r="F1227" s="8">
        <f t="shared" si="58"/>
        <v>2.4699999999999989</v>
      </c>
      <c r="H1227" s="12">
        <f t="shared" si="59"/>
        <v>2.3597797254326847</v>
      </c>
    </row>
    <row r="1228" spans="1:8" x14ac:dyDescent="0.25">
      <c r="A1228" s="1">
        <v>45716</v>
      </c>
      <c r="B1228" s="8">
        <v>5861.57</v>
      </c>
      <c r="C1228" s="2">
        <v>45.67</v>
      </c>
      <c r="E1228" s="8">
        <f t="shared" si="57"/>
        <v>92.930000000000291</v>
      </c>
      <c r="F1228" s="8">
        <f t="shared" si="58"/>
        <v>-0.89999999999999858</v>
      </c>
      <c r="H1228" s="12">
        <f t="shared" si="59"/>
        <v>2.3603402110302776</v>
      </c>
    </row>
    <row r="1229" spans="1:8" x14ac:dyDescent="0.25">
      <c r="A1229" s="1">
        <v>45719</v>
      </c>
      <c r="B1229" s="8">
        <v>5954.5</v>
      </c>
      <c r="C1229" s="2">
        <v>44.77</v>
      </c>
      <c r="E1229" s="8">
        <f t="shared" si="57"/>
        <v>-104.77999999999975</v>
      </c>
      <c r="F1229" s="8">
        <f t="shared" si="58"/>
        <v>3.6799999999999997</v>
      </c>
      <c r="H1229" s="12">
        <f t="shared" si="59"/>
        <v>2.35813944334555</v>
      </c>
    </row>
    <row r="1230" spans="1:8" x14ac:dyDescent="0.25">
      <c r="A1230" s="1">
        <v>45720</v>
      </c>
      <c r="B1230" s="8">
        <v>5849.72</v>
      </c>
      <c r="C1230" s="2">
        <v>48.45</v>
      </c>
      <c r="E1230" s="8">
        <f t="shared" si="57"/>
        <v>-71.570000000000618</v>
      </c>
      <c r="F1230" s="8">
        <f t="shared" si="58"/>
        <v>1.25</v>
      </c>
      <c r="H1230" s="12">
        <f t="shared" si="59"/>
        <v>2.3457142587973032</v>
      </c>
    </row>
    <row r="1231" spans="1:8" x14ac:dyDescent="0.25">
      <c r="A1231" s="1">
        <v>45721</v>
      </c>
      <c r="B1231" s="8">
        <v>5778.15</v>
      </c>
      <c r="C1231" s="2">
        <v>49.7</v>
      </c>
      <c r="E1231" s="8">
        <f t="shared" si="57"/>
        <v>64.480000000000473</v>
      </c>
      <c r="F1231" s="8">
        <f t="shared" si="58"/>
        <v>-2.2800000000000011</v>
      </c>
      <c r="H1231" s="12">
        <f t="shared" si="59"/>
        <v>2.3413234971033661</v>
      </c>
    </row>
    <row r="1232" spans="1:8" x14ac:dyDescent="0.25">
      <c r="A1232" s="1">
        <v>45722</v>
      </c>
      <c r="B1232" s="8">
        <v>5842.63</v>
      </c>
      <c r="C1232" s="2">
        <v>47.42</v>
      </c>
      <c r="E1232" s="8">
        <f t="shared" si="57"/>
        <v>-104.10999999999967</v>
      </c>
      <c r="F1232" s="8">
        <f t="shared" si="58"/>
        <v>5.259999999999998</v>
      </c>
      <c r="H1232" s="12">
        <f t="shared" si="59"/>
        <v>2.3415907040981478</v>
      </c>
    </row>
    <row r="1233" spans="1:8" x14ac:dyDescent="0.25">
      <c r="A1233" s="1">
        <v>45723</v>
      </c>
      <c r="B1233" s="8">
        <v>5738.52</v>
      </c>
      <c r="C1233" s="2">
        <v>52.68</v>
      </c>
      <c r="E1233" s="8">
        <f t="shared" si="57"/>
        <v>31.679999999999382</v>
      </c>
      <c r="F1233" s="8">
        <f t="shared" si="58"/>
        <v>-2.3900000000000006</v>
      </c>
      <c r="H1233" s="12">
        <f t="shared" si="59"/>
        <v>2.3356067841078731</v>
      </c>
    </row>
    <row r="1234" spans="1:8" x14ac:dyDescent="0.25">
      <c r="A1234" s="1">
        <v>45726</v>
      </c>
      <c r="B1234" s="8">
        <v>5770.2</v>
      </c>
      <c r="C1234" s="2">
        <v>50.29</v>
      </c>
      <c r="E1234" s="8">
        <f t="shared" si="57"/>
        <v>-155.63999999999942</v>
      </c>
      <c r="F1234" s="8">
        <f t="shared" si="58"/>
        <v>5.480000000000004</v>
      </c>
      <c r="H1234" s="12">
        <f t="shared" si="59"/>
        <v>2.3372538933203026</v>
      </c>
    </row>
    <row r="1235" spans="1:8" x14ac:dyDescent="0.25">
      <c r="A1235" s="1">
        <v>45727</v>
      </c>
      <c r="B1235" s="8">
        <v>5614.56</v>
      </c>
      <c r="C1235" s="2">
        <v>55.77</v>
      </c>
      <c r="E1235" s="8">
        <f t="shared" si="57"/>
        <v>-42.490000000000691</v>
      </c>
      <c r="F1235" s="8">
        <f t="shared" si="58"/>
        <v>-1.0000000000005116E-2</v>
      </c>
      <c r="H1235" s="12">
        <f t="shared" si="59"/>
        <v>2.3358831873022439</v>
      </c>
    </row>
    <row r="1236" spans="1:8" x14ac:dyDescent="0.25">
      <c r="A1236" s="1">
        <v>45728</v>
      </c>
      <c r="B1236" s="8">
        <v>5572.07</v>
      </c>
      <c r="C1236" s="2">
        <v>55.76</v>
      </c>
      <c r="E1236" s="8">
        <f t="shared" si="57"/>
        <v>27.230000000000473</v>
      </c>
      <c r="F1236" s="8">
        <f t="shared" si="58"/>
        <v>-2.8599999999999994</v>
      </c>
      <c r="H1236" s="12">
        <f t="shared" si="59"/>
        <v>2.343420681456915</v>
      </c>
    </row>
    <row r="1237" spans="1:8" x14ac:dyDescent="0.25">
      <c r="A1237" s="1">
        <v>45729</v>
      </c>
      <c r="B1237" s="8">
        <v>5599.3</v>
      </c>
      <c r="C1237" s="2">
        <v>52.9</v>
      </c>
      <c r="E1237" s="8">
        <f t="shared" si="57"/>
        <v>-77.779999999999745</v>
      </c>
      <c r="F1237" s="8">
        <f t="shared" si="58"/>
        <v>2.3100000000000023</v>
      </c>
      <c r="H1237" s="12">
        <f t="shared" si="59"/>
        <v>2.3522891038710765</v>
      </c>
    </row>
    <row r="1238" spans="1:8" x14ac:dyDescent="0.25">
      <c r="A1238" s="1">
        <v>45730</v>
      </c>
      <c r="B1238" s="8">
        <v>5521.52</v>
      </c>
      <c r="C1238" s="2">
        <v>55.21</v>
      </c>
      <c r="E1238" s="8">
        <f t="shared" si="57"/>
        <v>117.41999999999916</v>
      </c>
      <c r="F1238" s="8">
        <f t="shared" si="58"/>
        <v>-4.8299999999999983</v>
      </c>
      <c r="H1238" s="12">
        <f t="shared" si="59"/>
        <v>2.360901788994425</v>
      </c>
    </row>
    <row r="1239" spans="1:8" x14ac:dyDescent="0.25">
      <c r="A1239" s="1">
        <v>45733</v>
      </c>
      <c r="B1239" s="8">
        <v>5638.94</v>
      </c>
      <c r="C1239" s="2">
        <v>50.38</v>
      </c>
      <c r="E1239" s="8">
        <f t="shared" si="57"/>
        <v>36.180000000000291</v>
      </c>
      <c r="F1239" s="8">
        <f t="shared" si="58"/>
        <v>-1.8900000000000006</v>
      </c>
      <c r="H1239" s="12">
        <f t="shared" si="59"/>
        <v>2.3710030397520812</v>
      </c>
    </row>
    <row r="1240" spans="1:8" x14ac:dyDescent="0.25">
      <c r="A1240" s="1">
        <v>45734</v>
      </c>
      <c r="B1240" s="8">
        <v>5675.12</v>
      </c>
      <c r="C1240" s="2">
        <v>48.49</v>
      </c>
      <c r="E1240" s="8">
        <f t="shared" si="57"/>
        <v>-60.460000000000036</v>
      </c>
      <c r="F1240" s="8">
        <f t="shared" si="58"/>
        <v>1.3399999999999963</v>
      </c>
      <c r="H1240" s="12">
        <f t="shared" si="59"/>
        <v>2.3789422176909039</v>
      </c>
    </row>
    <row r="1241" spans="1:8" x14ac:dyDescent="0.25">
      <c r="A1241" s="1">
        <v>45735</v>
      </c>
      <c r="B1241" s="8">
        <v>5614.66</v>
      </c>
      <c r="C1241" s="2">
        <v>49.83</v>
      </c>
      <c r="E1241" s="8">
        <f t="shared" si="57"/>
        <v>60.630000000000109</v>
      </c>
      <c r="F1241" s="8">
        <f t="shared" si="58"/>
        <v>-1.6999999999999957</v>
      </c>
      <c r="H1241" s="12">
        <f t="shared" si="59"/>
        <v>2.3850517048130611</v>
      </c>
    </row>
    <row r="1242" spans="1:8" x14ac:dyDescent="0.25">
      <c r="A1242" s="1">
        <v>45736</v>
      </c>
      <c r="B1242" s="8">
        <v>5675.29</v>
      </c>
      <c r="C1242" s="2">
        <v>48.13</v>
      </c>
      <c r="E1242" s="8">
        <f t="shared" si="57"/>
        <v>-12.399999999999636</v>
      </c>
      <c r="F1242" s="8">
        <f t="shared" si="58"/>
        <v>-0.80000000000000426</v>
      </c>
      <c r="H1242" s="12">
        <f t="shared" si="59"/>
        <v>2.3944932250343687</v>
      </c>
    </row>
    <row r="1243" spans="1:8" x14ac:dyDescent="0.25">
      <c r="A1243" s="1">
        <v>45737</v>
      </c>
      <c r="B1243" s="8">
        <v>5662.89</v>
      </c>
      <c r="C1243" s="2">
        <v>47.33</v>
      </c>
      <c r="E1243" s="8">
        <f t="shared" si="57"/>
        <v>4.6700000000000728</v>
      </c>
      <c r="F1243" s="8">
        <f t="shared" si="58"/>
        <v>3.0000000000001137E-2</v>
      </c>
      <c r="H1243" s="12">
        <f t="shared" si="59"/>
        <v>2.400661302377876</v>
      </c>
    </row>
    <row r="1244" spans="1:8" x14ac:dyDescent="0.25">
      <c r="A1244" s="1">
        <v>45740</v>
      </c>
      <c r="B1244" s="8">
        <v>5667.56</v>
      </c>
      <c r="C1244" s="2">
        <v>47.36</v>
      </c>
      <c r="E1244" s="8">
        <f t="shared" si="57"/>
        <v>100.00999999999931</v>
      </c>
      <c r="F1244" s="8">
        <f t="shared" si="58"/>
        <v>-3.0499999999999972</v>
      </c>
      <c r="H1244" s="12">
        <f t="shared" si="59"/>
        <v>2.4075462026701429</v>
      </c>
    </row>
    <row r="1245" spans="1:8" x14ac:dyDescent="0.25">
      <c r="A1245" s="1">
        <v>45741</v>
      </c>
      <c r="B1245" s="8">
        <v>5767.57</v>
      </c>
      <c r="C1245" s="2">
        <v>44.31</v>
      </c>
      <c r="E1245" s="8">
        <f t="shared" si="57"/>
        <v>9.0799999999999272</v>
      </c>
      <c r="F1245" s="8">
        <f t="shared" si="58"/>
        <v>0.35999999999999943</v>
      </c>
      <c r="H1245" s="12">
        <f t="shared" si="59"/>
        <v>2.4138252140356169</v>
      </c>
    </row>
    <row r="1246" spans="1:8" x14ac:dyDescent="0.25">
      <c r="A1246" s="1">
        <v>45742</v>
      </c>
      <c r="B1246" s="8">
        <v>5776.65</v>
      </c>
      <c r="C1246" s="2">
        <v>44.67</v>
      </c>
      <c r="E1246" s="8">
        <f t="shared" si="57"/>
        <v>-64.449999999999818</v>
      </c>
      <c r="F1246" s="8">
        <f t="shared" si="58"/>
        <v>1.3599999999999994</v>
      </c>
      <c r="H1246" s="12">
        <f t="shared" si="59"/>
        <v>2.4073617603416446</v>
      </c>
    </row>
    <row r="1247" spans="1:8" x14ac:dyDescent="0.25">
      <c r="A1247" s="1">
        <v>45743</v>
      </c>
      <c r="B1247" s="8">
        <v>5712.2</v>
      </c>
      <c r="C1247" s="2">
        <v>46.03</v>
      </c>
      <c r="E1247" s="8">
        <f t="shared" si="57"/>
        <v>-18.889999999999418</v>
      </c>
      <c r="F1247" s="8">
        <f t="shared" si="58"/>
        <v>0.29999999999999716</v>
      </c>
      <c r="H1247" s="12">
        <f t="shared" si="59"/>
        <v>2.3940387427673064</v>
      </c>
    </row>
    <row r="1248" spans="1:8" x14ac:dyDescent="0.25">
      <c r="A1248" s="1">
        <v>45744</v>
      </c>
      <c r="B1248" s="8">
        <v>5693.31</v>
      </c>
      <c r="C1248" s="2">
        <v>46.33</v>
      </c>
      <c r="E1248" s="8">
        <f t="shared" si="57"/>
        <v>-112.3700000000008</v>
      </c>
      <c r="F1248" s="8">
        <f t="shared" si="58"/>
        <v>4.1499999999999986</v>
      </c>
      <c r="H1248" s="12">
        <f t="shared" si="59"/>
        <v>2.3853575052725229</v>
      </c>
    </row>
    <row r="1249" spans="1:8" x14ac:dyDescent="0.25">
      <c r="A1249" s="1">
        <v>45747</v>
      </c>
      <c r="B1249" s="8">
        <v>5580.94</v>
      </c>
      <c r="C1249" s="2">
        <v>50.48</v>
      </c>
      <c r="E1249" s="8">
        <f t="shared" si="57"/>
        <v>30.910000000000764</v>
      </c>
      <c r="F1249" s="8">
        <f t="shared" si="58"/>
        <v>-0.21999999999999886</v>
      </c>
      <c r="H1249" s="12">
        <f t="shared" si="59"/>
        <v>2.3732493232652025</v>
      </c>
    </row>
    <row r="1250" spans="1:8" x14ac:dyDescent="0.25">
      <c r="A1250" s="1">
        <v>45748</v>
      </c>
      <c r="B1250" s="8">
        <v>5611.85</v>
      </c>
      <c r="C1250" s="2">
        <v>50.26</v>
      </c>
      <c r="E1250" s="8">
        <f t="shared" si="57"/>
        <v>21.219999999999345</v>
      </c>
      <c r="F1250" s="8">
        <f t="shared" si="58"/>
        <v>7.0000000000000284E-2</v>
      </c>
      <c r="H1250" s="12">
        <f t="shared" si="59"/>
        <v>2.3763899143593936</v>
      </c>
    </row>
    <row r="1251" spans="1:8" x14ac:dyDescent="0.25">
      <c r="A1251" s="1">
        <v>45749</v>
      </c>
      <c r="B1251" s="8">
        <v>5633.07</v>
      </c>
      <c r="C1251" s="2">
        <v>50.33</v>
      </c>
      <c r="E1251" s="8">
        <f t="shared" si="57"/>
        <v>37.900000000000546</v>
      </c>
      <c r="F1251" s="8">
        <f t="shared" si="58"/>
        <v>-1.3799999999999955</v>
      </c>
      <c r="H1251" s="12">
        <f t="shared" si="59"/>
        <v>2.3683829737269901</v>
      </c>
    </row>
    <row r="1252" spans="1:8" x14ac:dyDescent="0.25">
      <c r="A1252" s="1">
        <v>45750</v>
      </c>
      <c r="B1252" s="8">
        <v>5670.97</v>
      </c>
      <c r="C1252" s="2">
        <v>48.95</v>
      </c>
      <c r="E1252" s="8">
        <f t="shared" si="57"/>
        <v>-274.44999999999982</v>
      </c>
      <c r="F1252" s="8">
        <f t="shared" si="58"/>
        <v>12</v>
      </c>
      <c r="H1252" s="12">
        <f t="shared" si="59"/>
        <v>2.3399587164740354</v>
      </c>
    </row>
    <row r="1253" spans="1:8" x14ac:dyDescent="0.25">
      <c r="A1253" s="1">
        <v>45751</v>
      </c>
      <c r="B1253" s="8">
        <v>5396.52</v>
      </c>
      <c r="C1253" s="2">
        <v>60.95</v>
      </c>
      <c r="E1253" s="8">
        <f t="shared" si="57"/>
        <v>-322.44000000000051</v>
      </c>
      <c r="F1253" s="8">
        <f t="shared" si="58"/>
        <v>12.170000000000002</v>
      </c>
      <c r="H1253" s="12">
        <f t="shared" si="59"/>
        <v>2.2406329741194</v>
      </c>
    </row>
    <row r="1254" spans="1:8" x14ac:dyDescent="0.25">
      <c r="A1254" s="1">
        <v>45754</v>
      </c>
      <c r="B1254" s="8">
        <v>5074.08</v>
      </c>
      <c r="C1254" s="2">
        <v>73.12</v>
      </c>
      <c r="E1254" s="8">
        <f t="shared" si="57"/>
        <v>-11.829999999999927</v>
      </c>
      <c r="F1254" s="8">
        <f t="shared" si="58"/>
        <v>0.39999999999999147</v>
      </c>
      <c r="H1254" s="12">
        <f t="shared" si="59"/>
        <v>2.237745439433469</v>
      </c>
    </row>
    <row r="1255" spans="1:8" x14ac:dyDescent="0.25">
      <c r="A1255" s="1">
        <v>45755</v>
      </c>
      <c r="B1255" s="8">
        <v>5062.25</v>
      </c>
      <c r="C1255" s="2">
        <v>73.52</v>
      </c>
      <c r="E1255" s="8">
        <f t="shared" si="57"/>
        <v>-79.479999999999563</v>
      </c>
      <c r="F1255" s="8">
        <f t="shared" si="58"/>
        <v>9.3100000000000023</v>
      </c>
      <c r="H1255" s="12">
        <f t="shared" si="59"/>
        <v>2.2524710861141717</v>
      </c>
    </row>
    <row r="1256" spans="1:8" x14ac:dyDescent="0.25">
      <c r="A1256" s="1">
        <v>45756</v>
      </c>
      <c r="B1256" s="8">
        <v>4982.7700000000004</v>
      </c>
      <c r="C1256" s="2">
        <v>82.83</v>
      </c>
      <c r="E1256" s="8">
        <f t="shared" si="57"/>
        <v>474.1299999999992</v>
      </c>
      <c r="F1256" s="8">
        <f t="shared" si="58"/>
        <v>-17.329999999999998</v>
      </c>
      <c r="H1256" s="12">
        <f t="shared" si="59"/>
        <v>2.2493838219330802</v>
      </c>
    </row>
    <row r="1257" spans="1:8" x14ac:dyDescent="0.25">
      <c r="A1257" s="1">
        <v>45757</v>
      </c>
      <c r="B1257" s="8">
        <v>5456.9</v>
      </c>
      <c r="C1257" s="2">
        <v>65.5</v>
      </c>
      <c r="E1257" s="8">
        <f t="shared" si="57"/>
        <v>-188.84999999999945</v>
      </c>
      <c r="F1257" s="8">
        <f t="shared" si="58"/>
        <v>12.409999999999997</v>
      </c>
      <c r="H1257" s="12">
        <f t="shared" si="59"/>
        <v>1.8870477222459812</v>
      </c>
    </row>
    <row r="1258" spans="1:8" x14ac:dyDescent="0.25">
      <c r="A1258" s="1">
        <v>45758</v>
      </c>
      <c r="B1258" s="8">
        <v>5268.05</v>
      </c>
      <c r="C1258" s="2">
        <v>77.91</v>
      </c>
      <c r="E1258" s="8">
        <f t="shared" si="57"/>
        <v>95.309999999999491</v>
      </c>
      <c r="F1258" s="8">
        <f t="shared" si="58"/>
        <v>-2.2199999999999989</v>
      </c>
      <c r="H1258" s="12">
        <f t="shared" si="59"/>
        <v>1.6781084738828265</v>
      </c>
    </row>
    <row r="1259" spans="1:8" x14ac:dyDescent="0.25">
      <c r="B1259" s="8">
        <v>5363.36</v>
      </c>
      <c r="C1259" s="2">
        <v>75.69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^spx_d (3)</vt:lpstr>
      <vt:lpstr>vix(413-411)</vt:lpstr>
      <vt:lpstr>Correlation of VIX and S&amp;P</vt:lpstr>
      <vt:lpstr>CovarianceStationaryWeaklyDepen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Lagana, Joseph A.</cp:lastModifiedBy>
  <dcterms:created xsi:type="dcterms:W3CDTF">2025-04-12T23:57:47Z</dcterms:created>
  <dcterms:modified xsi:type="dcterms:W3CDTF">2025-04-13T01:04:53Z</dcterms:modified>
</cp:coreProperties>
</file>